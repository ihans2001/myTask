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J11" i="18" l="1"/>
  <c r="H11" i="18"/>
  <c r="D11" i="18"/>
  <c r="K9" i="18"/>
  <c r="J9" i="18"/>
  <c r="E9" i="18"/>
  <c r="K8" i="18"/>
  <c r="J8" i="18"/>
  <c r="E8" i="18"/>
  <c r="K7" i="18"/>
  <c r="J7" i="18"/>
  <c r="E7" i="18"/>
  <c r="K6" i="18"/>
  <c r="J6" i="18"/>
  <c r="E6" i="18"/>
  <c r="K5" i="18"/>
  <c r="K11" i="18" s="1"/>
  <c r="J5" i="18"/>
  <c r="E5" i="18"/>
  <c r="B10" i="17"/>
  <c r="I14" i="16"/>
  <c r="I13" i="16"/>
  <c r="I12" i="16"/>
  <c r="I11" i="16"/>
  <c r="I10" i="16"/>
  <c r="I9" i="16"/>
  <c r="I8" i="16"/>
  <c r="I7" i="16"/>
  <c r="I6" i="16"/>
  <c r="I5" i="16"/>
  <c r="D18" i="15"/>
  <c r="C10" i="15" s="1"/>
  <c r="B16" i="15"/>
  <c r="B15" i="15"/>
  <c r="B14" i="15"/>
  <c r="C13" i="15"/>
  <c r="B13" i="15"/>
  <c r="B12" i="15"/>
  <c r="B11" i="15"/>
  <c r="B10" i="15"/>
  <c r="B9" i="15"/>
  <c r="B8" i="15"/>
  <c r="B7" i="15"/>
  <c r="B6" i="15"/>
  <c r="B5" i="15"/>
  <c r="J24" i="14"/>
  <c r="K24" i="14" s="1"/>
  <c r="J23" i="14"/>
  <c r="K23" i="14" s="1"/>
  <c r="K22" i="14"/>
  <c r="J22" i="14"/>
  <c r="J21" i="14"/>
  <c r="K21" i="14" s="1"/>
  <c r="J20" i="14"/>
  <c r="K20" i="14" s="1"/>
  <c r="J19" i="14"/>
  <c r="K19" i="14" s="1"/>
  <c r="J18" i="14"/>
  <c r="K18" i="14" s="1"/>
  <c r="J17" i="14"/>
  <c r="K17" i="14" s="1"/>
  <c r="J16" i="14"/>
  <c r="K16" i="14" s="1"/>
  <c r="J15" i="14"/>
  <c r="K15" i="14" s="1"/>
  <c r="J14" i="14"/>
  <c r="K14" i="14" s="1"/>
  <c r="J13" i="14"/>
  <c r="K13" i="14" s="1"/>
  <c r="J12" i="14"/>
  <c r="K12" i="14" s="1"/>
  <c r="J11" i="14"/>
  <c r="K11" i="14" s="1"/>
  <c r="J10" i="14"/>
  <c r="K10" i="14" s="1"/>
  <c r="J9" i="14"/>
  <c r="K9" i="14" s="1"/>
  <c r="J8" i="14"/>
  <c r="K8" i="14" s="1"/>
  <c r="J7" i="14"/>
  <c r="K7" i="14" s="1"/>
  <c r="J6" i="14"/>
  <c r="K6" i="14" s="1"/>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K182" i="11"/>
  <c r="J182" i="11"/>
  <c r="I182" i="11"/>
  <c r="H182" i="11"/>
  <c r="G182" i="11"/>
  <c r="F182" i="11"/>
  <c r="E182" i="11"/>
  <c r="D182" i="11"/>
  <c r="L182" i="11" s="1"/>
  <c r="C182" i="11"/>
  <c r="B182" i="11"/>
  <c r="A182" i="11"/>
  <c r="G181" i="11"/>
  <c r="F181" i="11"/>
  <c r="E181" i="11"/>
  <c r="D181" i="11"/>
  <c r="K181" i="11" s="1"/>
  <c r="C181" i="11"/>
  <c r="B181" i="11"/>
  <c r="A181" i="11"/>
  <c r="I180" i="11"/>
  <c r="H180" i="11"/>
  <c r="G180" i="11"/>
  <c r="F180" i="11"/>
  <c r="E180" i="11"/>
  <c r="D180" i="11"/>
  <c r="L180" i="11" s="1"/>
  <c r="C180" i="11"/>
  <c r="B180" i="11"/>
  <c r="A180" i="11"/>
  <c r="L179" i="11"/>
  <c r="K179" i="11"/>
  <c r="H179" i="11"/>
  <c r="G179" i="11"/>
  <c r="F179" i="11"/>
  <c r="E179" i="11"/>
  <c r="D179" i="11"/>
  <c r="C179" i="11"/>
  <c r="B179" i="11"/>
  <c r="A179" i="11"/>
  <c r="G178" i="11"/>
  <c r="F178" i="11"/>
  <c r="E178" i="11"/>
  <c r="D178" i="11"/>
  <c r="K178" i="11" s="1"/>
  <c r="C178" i="11"/>
  <c r="B178" i="11"/>
  <c r="A178" i="11"/>
  <c r="H177" i="11"/>
  <c r="G177" i="11"/>
  <c r="F177" i="11"/>
  <c r="E177" i="11"/>
  <c r="L177" i="11" s="1"/>
  <c r="D177" i="11"/>
  <c r="C177" i="11"/>
  <c r="B177" i="11"/>
  <c r="A177" i="11"/>
  <c r="K176" i="11"/>
  <c r="G176" i="11"/>
  <c r="F176" i="11"/>
  <c r="E176" i="11"/>
  <c r="D176" i="11"/>
  <c r="I176" i="11" s="1"/>
  <c r="C176" i="11"/>
  <c r="B176" i="11"/>
  <c r="A176" i="11"/>
  <c r="G175" i="11"/>
  <c r="F175" i="11"/>
  <c r="E175" i="11"/>
  <c r="D175" i="11"/>
  <c r="C175" i="11"/>
  <c r="B175" i="11"/>
  <c r="A175" i="11"/>
  <c r="K174" i="11"/>
  <c r="J174" i="11"/>
  <c r="I174" i="11"/>
  <c r="H174" i="11"/>
  <c r="G174" i="11"/>
  <c r="F174" i="11"/>
  <c r="E174" i="11"/>
  <c r="D174" i="11"/>
  <c r="L174" i="11" s="1"/>
  <c r="C174" i="11"/>
  <c r="B174" i="11"/>
  <c r="A174" i="11"/>
  <c r="G173" i="11"/>
  <c r="F173" i="11"/>
  <c r="E173" i="11"/>
  <c r="L173" i="11" s="1"/>
  <c r="D173" i="11"/>
  <c r="C173" i="11"/>
  <c r="B173" i="11"/>
  <c r="A173" i="11"/>
  <c r="H172" i="11"/>
  <c r="G172" i="11"/>
  <c r="F172" i="11"/>
  <c r="E172" i="11"/>
  <c r="L172" i="11" s="1"/>
  <c r="D172" i="11"/>
  <c r="C172" i="11"/>
  <c r="B172" i="11"/>
  <c r="A172" i="11"/>
  <c r="L171" i="11"/>
  <c r="G171" i="11"/>
  <c r="F171" i="11"/>
  <c r="E171" i="11"/>
  <c r="D171" i="11"/>
  <c r="K171" i="11" s="1"/>
  <c r="C171" i="11"/>
  <c r="B171" i="11"/>
  <c r="A171" i="11"/>
  <c r="H170" i="11"/>
  <c r="G170" i="11"/>
  <c r="F170" i="11"/>
  <c r="E170" i="11"/>
  <c r="L170" i="11" s="1"/>
  <c r="D170" i="11"/>
  <c r="C170" i="11"/>
  <c r="B170" i="11"/>
  <c r="A170" i="11"/>
  <c r="K169" i="11"/>
  <c r="G169" i="11"/>
  <c r="F169" i="11"/>
  <c r="E169" i="11"/>
  <c r="I169" i="11" s="1"/>
  <c r="D169" i="11"/>
  <c r="L169" i="11" s="1"/>
  <c r="C169" i="11"/>
  <c r="B169" i="11"/>
  <c r="A169" i="11"/>
  <c r="H168" i="11"/>
  <c r="G168" i="11"/>
  <c r="F168" i="11"/>
  <c r="E168" i="11"/>
  <c r="L168" i="11" s="1"/>
  <c r="D168" i="11"/>
  <c r="C168" i="11"/>
  <c r="B168" i="11"/>
  <c r="A168" i="11"/>
  <c r="G167" i="11"/>
  <c r="F167" i="11"/>
  <c r="E167" i="11"/>
  <c r="D167" i="11"/>
  <c r="C167" i="11"/>
  <c r="B167" i="11"/>
  <c r="A167" i="11"/>
  <c r="H166" i="11"/>
  <c r="G166" i="11"/>
  <c r="F166" i="11"/>
  <c r="E166" i="11"/>
  <c r="L166" i="11" s="1"/>
  <c r="D166" i="11"/>
  <c r="C166" i="11"/>
  <c r="B166" i="11"/>
  <c r="A166" i="11"/>
  <c r="G165" i="11"/>
  <c r="F165" i="11"/>
  <c r="E165" i="11"/>
  <c r="I165" i="11" s="1"/>
  <c r="D165" i="11"/>
  <c r="J165" i="11" s="1"/>
  <c r="C165" i="11"/>
  <c r="B165" i="11"/>
  <c r="A165" i="11"/>
  <c r="G164" i="11"/>
  <c r="F164" i="11"/>
  <c r="H164" i="11" s="1"/>
  <c r="E164" i="11"/>
  <c r="L164" i="11" s="1"/>
  <c r="D164" i="11"/>
  <c r="C164" i="11"/>
  <c r="B164" i="11"/>
  <c r="A164" i="11"/>
  <c r="K163" i="11"/>
  <c r="G163" i="11"/>
  <c r="F163" i="11"/>
  <c r="E163" i="11"/>
  <c r="D163" i="11"/>
  <c r="L163" i="11" s="1"/>
  <c r="C163" i="11"/>
  <c r="B163" i="11"/>
  <c r="A163" i="11"/>
  <c r="I162" i="11"/>
  <c r="H162" i="11"/>
  <c r="G162" i="11"/>
  <c r="F162" i="11"/>
  <c r="E162" i="11"/>
  <c r="L162" i="11" s="1"/>
  <c r="D162" i="11"/>
  <c r="C162" i="11"/>
  <c r="B162" i="11"/>
  <c r="A162" i="11"/>
  <c r="L161" i="11"/>
  <c r="K161" i="11"/>
  <c r="G161" i="11"/>
  <c r="F161" i="11"/>
  <c r="E161" i="11"/>
  <c r="H161" i="11" s="1"/>
  <c r="D161" i="11"/>
  <c r="C161" i="11"/>
  <c r="B161" i="11"/>
  <c r="A161" i="11"/>
  <c r="G160" i="11"/>
  <c r="F160" i="11"/>
  <c r="E160" i="11"/>
  <c r="D160" i="11"/>
  <c r="C160" i="11"/>
  <c r="B160" i="11"/>
  <c r="A160" i="11"/>
  <c r="J159" i="11"/>
  <c r="I159" i="11"/>
  <c r="G159" i="11"/>
  <c r="F159" i="11"/>
  <c r="E159" i="11"/>
  <c r="D159" i="11"/>
  <c r="L159" i="11" s="1"/>
  <c r="C159" i="11"/>
  <c r="B159" i="11"/>
  <c r="A159" i="11"/>
  <c r="I158" i="11"/>
  <c r="H158" i="11"/>
  <c r="G158" i="11"/>
  <c r="F158" i="11"/>
  <c r="E158" i="11"/>
  <c r="D158" i="11"/>
  <c r="C158" i="11"/>
  <c r="B158" i="11"/>
  <c r="A158" i="11"/>
  <c r="L157" i="11"/>
  <c r="G157" i="11"/>
  <c r="F157" i="11"/>
  <c r="E157" i="11"/>
  <c r="H157" i="11" s="1"/>
  <c r="D157" i="11"/>
  <c r="C157" i="11"/>
  <c r="B157" i="11"/>
  <c r="A157" i="11"/>
  <c r="G156" i="11"/>
  <c r="F156" i="11"/>
  <c r="E156" i="11"/>
  <c r="D156" i="11"/>
  <c r="C156" i="11"/>
  <c r="B156" i="11"/>
  <c r="A156" i="11"/>
  <c r="J155" i="11"/>
  <c r="I155" i="11"/>
  <c r="G155" i="11"/>
  <c r="F155" i="11"/>
  <c r="E155" i="11"/>
  <c r="D155" i="11"/>
  <c r="L155" i="11" s="1"/>
  <c r="C155" i="11"/>
  <c r="B155" i="11"/>
  <c r="A155" i="11"/>
  <c r="K154" i="11"/>
  <c r="I154" i="11"/>
  <c r="H154" i="11"/>
  <c r="G154" i="11"/>
  <c r="F154" i="11"/>
  <c r="E154" i="11"/>
  <c r="D154" i="11"/>
  <c r="C154" i="11"/>
  <c r="B154" i="11"/>
  <c r="A154" i="11"/>
  <c r="G153" i="11"/>
  <c r="F153" i="11"/>
  <c r="E153" i="11"/>
  <c r="L153" i="11" s="1"/>
  <c r="D153" i="11"/>
  <c r="C153" i="11"/>
  <c r="B153" i="11"/>
  <c r="A153" i="11"/>
  <c r="H152" i="11"/>
  <c r="G152" i="11"/>
  <c r="F152" i="11"/>
  <c r="E152" i="11"/>
  <c r="D152" i="11"/>
  <c r="C152" i="11"/>
  <c r="B152" i="11"/>
  <c r="A152" i="11"/>
  <c r="L151" i="11"/>
  <c r="K151" i="11"/>
  <c r="J151" i="11"/>
  <c r="I151" i="11"/>
  <c r="G151" i="11"/>
  <c r="F151" i="11"/>
  <c r="E151" i="11"/>
  <c r="H151" i="11" s="1"/>
  <c r="D151" i="11"/>
  <c r="C151" i="11"/>
  <c r="B151" i="11"/>
  <c r="A151" i="11"/>
  <c r="G150" i="11"/>
  <c r="F150" i="11"/>
  <c r="E150" i="11"/>
  <c r="K150" i="11" s="1"/>
  <c r="D150" i="11"/>
  <c r="C150" i="11"/>
  <c r="B150" i="11"/>
  <c r="A150" i="11"/>
  <c r="I149" i="11"/>
  <c r="G149" i="11"/>
  <c r="F149" i="11"/>
  <c r="E149" i="11"/>
  <c r="H149" i="11" s="1"/>
  <c r="D149" i="11"/>
  <c r="C149" i="11"/>
  <c r="B149" i="11"/>
  <c r="A149" i="11"/>
  <c r="K148" i="11"/>
  <c r="I148" i="11"/>
  <c r="H148" i="11"/>
  <c r="G148" i="11"/>
  <c r="F148" i="11"/>
  <c r="E148" i="11"/>
  <c r="D148" i="11"/>
  <c r="C148" i="11"/>
  <c r="B148" i="11"/>
  <c r="A148" i="11"/>
  <c r="L147" i="11"/>
  <c r="G147" i="11"/>
  <c r="F147" i="11"/>
  <c r="E147" i="11"/>
  <c r="H147" i="11" s="1"/>
  <c r="D147" i="11"/>
  <c r="C147" i="11"/>
  <c r="B147" i="11"/>
  <c r="A147" i="11"/>
  <c r="G146" i="11"/>
  <c r="F146" i="11"/>
  <c r="E146" i="11"/>
  <c r="D146" i="11"/>
  <c r="C146" i="11"/>
  <c r="B146" i="11"/>
  <c r="A146" i="11"/>
  <c r="K145" i="11"/>
  <c r="J145" i="11"/>
  <c r="I145" i="11"/>
  <c r="G145" i="11"/>
  <c r="F145" i="11"/>
  <c r="E145" i="11"/>
  <c r="H145" i="11" s="1"/>
  <c r="D145" i="11"/>
  <c r="C145" i="11"/>
  <c r="B145" i="11"/>
  <c r="A145" i="11"/>
  <c r="K144" i="11"/>
  <c r="I144" i="11"/>
  <c r="G144" i="11"/>
  <c r="F144" i="11"/>
  <c r="E144" i="11"/>
  <c r="D144" i="11"/>
  <c r="C144" i="11"/>
  <c r="B144" i="11"/>
  <c r="A144" i="11"/>
  <c r="G143" i="11"/>
  <c r="F143" i="11"/>
  <c r="E143" i="11"/>
  <c r="D143" i="11"/>
  <c r="C143" i="11"/>
  <c r="B143" i="11"/>
  <c r="A143" i="11"/>
  <c r="J142" i="11"/>
  <c r="I142" i="11"/>
  <c r="H142" i="11"/>
  <c r="G142" i="11"/>
  <c r="F142" i="11"/>
  <c r="E142" i="11"/>
  <c r="L142" i="11" s="1"/>
  <c r="D142" i="11"/>
  <c r="C142" i="11"/>
  <c r="B142" i="11"/>
  <c r="A142" i="11"/>
  <c r="L141" i="11"/>
  <c r="G141" i="11"/>
  <c r="F141" i="11"/>
  <c r="E141" i="11"/>
  <c r="H141" i="11" s="1"/>
  <c r="D141" i="11"/>
  <c r="C141" i="11"/>
  <c r="B141" i="11"/>
  <c r="A141" i="11"/>
  <c r="G140" i="11"/>
  <c r="F140" i="11"/>
  <c r="H140" i="11" s="1"/>
  <c r="E140" i="11"/>
  <c r="D140" i="11"/>
  <c r="C140" i="11"/>
  <c r="B140" i="11"/>
  <c r="A140" i="11"/>
  <c r="L139" i="11"/>
  <c r="K139" i="11"/>
  <c r="J139" i="11"/>
  <c r="I139" i="11"/>
  <c r="G139" i="11"/>
  <c r="F139" i="11"/>
  <c r="E139" i="11"/>
  <c r="D139" i="11"/>
  <c r="C139" i="11"/>
  <c r="B139" i="11"/>
  <c r="A139" i="11"/>
  <c r="G138" i="11"/>
  <c r="F138" i="11"/>
  <c r="E138" i="11"/>
  <c r="K138" i="11" s="1"/>
  <c r="D138" i="11"/>
  <c r="C138" i="11"/>
  <c r="B138" i="11"/>
  <c r="A138" i="11"/>
  <c r="J137" i="11"/>
  <c r="I137" i="11"/>
  <c r="H137" i="11"/>
  <c r="G137" i="11"/>
  <c r="F137" i="11"/>
  <c r="E137" i="11"/>
  <c r="L137" i="11" s="1"/>
  <c r="D137" i="11"/>
  <c r="C137" i="11"/>
  <c r="B137" i="11"/>
  <c r="A137" i="11"/>
  <c r="L136" i="11"/>
  <c r="G136" i="11"/>
  <c r="F136" i="11"/>
  <c r="E136" i="11"/>
  <c r="J136" i="11" s="1"/>
  <c r="D136" i="11"/>
  <c r="C136" i="11"/>
  <c r="B136" i="11"/>
  <c r="A136" i="11"/>
  <c r="J135" i="11"/>
  <c r="I135" i="11"/>
  <c r="H135" i="11"/>
  <c r="G135" i="11"/>
  <c r="F135" i="11"/>
  <c r="E135" i="11"/>
  <c r="L135" i="11" s="1"/>
  <c r="D135" i="11"/>
  <c r="C135" i="11"/>
  <c r="B135" i="11"/>
  <c r="A135" i="11"/>
  <c r="G134" i="11"/>
  <c r="F134" i="11"/>
  <c r="E134" i="11"/>
  <c r="D134" i="11"/>
  <c r="L134" i="11" s="1"/>
  <c r="C134" i="11"/>
  <c r="B134" i="11"/>
  <c r="A134" i="11"/>
  <c r="J133" i="11"/>
  <c r="I133" i="11"/>
  <c r="H133" i="11"/>
  <c r="G133" i="11"/>
  <c r="F133" i="11"/>
  <c r="E133" i="11"/>
  <c r="L133" i="11" s="1"/>
  <c r="D133" i="11"/>
  <c r="C133" i="11"/>
  <c r="B133" i="11"/>
  <c r="A133" i="11"/>
  <c r="G132" i="11"/>
  <c r="F132" i="11"/>
  <c r="E132" i="11"/>
  <c r="D132" i="11"/>
  <c r="L132" i="11" s="1"/>
  <c r="C132" i="11"/>
  <c r="B132" i="11"/>
  <c r="A132" i="11"/>
  <c r="J131" i="11"/>
  <c r="I131" i="11"/>
  <c r="H131" i="11"/>
  <c r="G131" i="11"/>
  <c r="F131" i="11"/>
  <c r="E131" i="11"/>
  <c r="L131" i="11" s="1"/>
  <c r="D131" i="11"/>
  <c r="C131" i="11"/>
  <c r="B131" i="11"/>
  <c r="A131" i="11"/>
  <c r="K130" i="11"/>
  <c r="G130" i="11"/>
  <c r="F130" i="11"/>
  <c r="E130" i="11"/>
  <c r="L130" i="11" s="1"/>
  <c r="D130" i="11"/>
  <c r="C130" i="11"/>
  <c r="B130" i="11"/>
  <c r="A130" i="11"/>
  <c r="J129" i="11"/>
  <c r="I129" i="11"/>
  <c r="H129" i="11"/>
  <c r="G129" i="11"/>
  <c r="F129" i="11"/>
  <c r="E129" i="11"/>
  <c r="L129" i="11" s="1"/>
  <c r="D129" i="11"/>
  <c r="C129" i="11"/>
  <c r="B129" i="11"/>
  <c r="A129" i="11"/>
  <c r="L128" i="11"/>
  <c r="K128" i="11"/>
  <c r="G128" i="11"/>
  <c r="F128" i="11"/>
  <c r="E128" i="11"/>
  <c r="D128" i="11"/>
  <c r="C128" i="11"/>
  <c r="B128" i="11"/>
  <c r="A128" i="11"/>
  <c r="J127" i="11"/>
  <c r="I127" i="11"/>
  <c r="H127" i="11"/>
  <c r="G127" i="11"/>
  <c r="F127" i="11"/>
  <c r="E127" i="11"/>
  <c r="L127" i="11" s="1"/>
  <c r="D127" i="11"/>
  <c r="C127" i="11"/>
  <c r="B127" i="11"/>
  <c r="A127" i="11"/>
  <c r="G126" i="11"/>
  <c r="F126" i="11"/>
  <c r="E126" i="11"/>
  <c r="D126" i="11"/>
  <c r="C126" i="11"/>
  <c r="B126" i="11"/>
  <c r="A126" i="11"/>
  <c r="J125" i="11"/>
  <c r="I125" i="11"/>
  <c r="H125" i="11"/>
  <c r="G125" i="11"/>
  <c r="F125" i="11"/>
  <c r="E125" i="11"/>
  <c r="L125" i="11" s="1"/>
  <c r="D125" i="11"/>
  <c r="C125" i="11"/>
  <c r="B125" i="11"/>
  <c r="A125" i="11"/>
  <c r="L124" i="11"/>
  <c r="K124" i="11"/>
  <c r="G124" i="11"/>
  <c r="F124" i="11"/>
  <c r="E124" i="11"/>
  <c r="D124" i="11"/>
  <c r="C124" i="11"/>
  <c r="B124" i="11"/>
  <c r="A124" i="11"/>
  <c r="J123" i="11"/>
  <c r="I123" i="11"/>
  <c r="H123" i="11"/>
  <c r="G123" i="11"/>
  <c r="F123" i="11"/>
  <c r="E123" i="11"/>
  <c r="L123" i="11" s="1"/>
  <c r="D123" i="11"/>
  <c r="C123" i="11"/>
  <c r="B123" i="11"/>
  <c r="A123" i="11"/>
  <c r="G122" i="11"/>
  <c r="F122" i="11"/>
  <c r="E122" i="11"/>
  <c r="D122" i="11"/>
  <c r="L122" i="11" s="1"/>
  <c r="C122" i="11"/>
  <c r="B122" i="11"/>
  <c r="A122" i="11"/>
  <c r="J121" i="11"/>
  <c r="I121" i="11"/>
  <c r="H121" i="11"/>
  <c r="G121" i="11"/>
  <c r="F121" i="11"/>
  <c r="E121" i="11"/>
  <c r="L121" i="11" s="1"/>
  <c r="D121" i="11"/>
  <c r="C121" i="11"/>
  <c r="B121" i="11"/>
  <c r="A121" i="11"/>
  <c r="G120" i="11"/>
  <c r="F120" i="11"/>
  <c r="E120" i="11"/>
  <c r="D120" i="11"/>
  <c r="C120" i="11"/>
  <c r="B120" i="11"/>
  <c r="A120" i="11"/>
  <c r="J119" i="11"/>
  <c r="I119" i="11"/>
  <c r="H119" i="11"/>
  <c r="G119" i="11"/>
  <c r="F119" i="11"/>
  <c r="E119" i="11"/>
  <c r="L119" i="11" s="1"/>
  <c r="D119" i="11"/>
  <c r="C119" i="11"/>
  <c r="B119" i="11"/>
  <c r="A119" i="11"/>
  <c r="L118" i="11"/>
  <c r="G118" i="11"/>
  <c r="F118" i="11"/>
  <c r="K118" i="11" s="1"/>
  <c r="E118" i="11"/>
  <c r="D118" i="11"/>
  <c r="C118" i="11"/>
  <c r="B118" i="11"/>
  <c r="A118" i="11"/>
  <c r="J117" i="11"/>
  <c r="I117" i="11"/>
  <c r="H117" i="11"/>
  <c r="G117" i="11"/>
  <c r="F117" i="11"/>
  <c r="E117" i="11"/>
  <c r="L117" i="11" s="1"/>
  <c r="D117" i="11"/>
  <c r="C117" i="11"/>
  <c r="B117" i="11"/>
  <c r="A117" i="11"/>
  <c r="G116" i="11"/>
  <c r="F116" i="11"/>
  <c r="E116" i="11"/>
  <c r="D116" i="11"/>
  <c r="C116" i="11"/>
  <c r="B116" i="11"/>
  <c r="A116" i="11"/>
  <c r="J115" i="11"/>
  <c r="I115" i="11"/>
  <c r="H115" i="11"/>
  <c r="G115" i="11"/>
  <c r="F115" i="11"/>
  <c r="E115" i="11"/>
  <c r="L115" i="11" s="1"/>
  <c r="D115" i="11"/>
  <c r="C115" i="11"/>
  <c r="B115" i="11"/>
  <c r="A115" i="11"/>
  <c r="K114" i="11"/>
  <c r="G114" i="11"/>
  <c r="F114" i="11"/>
  <c r="E114" i="11"/>
  <c r="L114" i="11" s="1"/>
  <c r="D114" i="11"/>
  <c r="C114" i="11"/>
  <c r="B114" i="11"/>
  <c r="A114" i="11"/>
  <c r="J113" i="11"/>
  <c r="I113" i="11"/>
  <c r="H113" i="11"/>
  <c r="G113" i="11"/>
  <c r="F113" i="11"/>
  <c r="E113" i="11"/>
  <c r="L113" i="11" s="1"/>
  <c r="D113" i="11"/>
  <c r="C113" i="11"/>
  <c r="B113" i="11"/>
  <c r="A113" i="11"/>
  <c r="L112" i="11"/>
  <c r="K112" i="11"/>
  <c r="G112" i="11"/>
  <c r="F112" i="11"/>
  <c r="E112" i="11"/>
  <c r="D112" i="11"/>
  <c r="C112" i="11"/>
  <c r="B112" i="11"/>
  <c r="A112" i="11"/>
  <c r="J111" i="11"/>
  <c r="I111" i="11"/>
  <c r="H111" i="11"/>
  <c r="G111" i="11"/>
  <c r="F111" i="11"/>
  <c r="E111" i="11"/>
  <c r="L111" i="11" s="1"/>
  <c r="D111" i="11"/>
  <c r="C111" i="11"/>
  <c r="B111" i="11"/>
  <c r="A111" i="11"/>
  <c r="G110" i="11"/>
  <c r="F110" i="11"/>
  <c r="E110" i="11"/>
  <c r="D110" i="11"/>
  <c r="C110" i="11"/>
  <c r="B110" i="11"/>
  <c r="A110" i="11"/>
  <c r="J109" i="11"/>
  <c r="I109" i="11"/>
  <c r="H109" i="11"/>
  <c r="G109" i="11"/>
  <c r="F109" i="11"/>
  <c r="E109" i="11"/>
  <c r="L109" i="11" s="1"/>
  <c r="D109" i="11"/>
  <c r="C109" i="11"/>
  <c r="B109" i="11"/>
  <c r="A109" i="11"/>
  <c r="L108" i="11"/>
  <c r="K108" i="11"/>
  <c r="G108" i="11"/>
  <c r="F108" i="11"/>
  <c r="E108" i="11"/>
  <c r="D108" i="11"/>
  <c r="C108" i="11"/>
  <c r="B108" i="11"/>
  <c r="A108" i="11"/>
  <c r="J107" i="11"/>
  <c r="I107" i="11"/>
  <c r="H107" i="11"/>
  <c r="G107" i="11"/>
  <c r="F107" i="11"/>
  <c r="E107" i="11"/>
  <c r="L107" i="11" s="1"/>
  <c r="D107" i="11"/>
  <c r="C107" i="11"/>
  <c r="B107" i="11"/>
  <c r="A107" i="11"/>
  <c r="G106" i="11"/>
  <c r="F106" i="11"/>
  <c r="E106" i="11"/>
  <c r="D106" i="11"/>
  <c r="L106" i="11" s="1"/>
  <c r="C106" i="11"/>
  <c r="B106" i="11"/>
  <c r="A106" i="11"/>
  <c r="J105" i="11"/>
  <c r="I105" i="11"/>
  <c r="H105" i="11"/>
  <c r="G105" i="11"/>
  <c r="F105" i="11"/>
  <c r="E105" i="11"/>
  <c r="L105" i="11" s="1"/>
  <c r="D105" i="11"/>
  <c r="C105" i="11"/>
  <c r="B105" i="11"/>
  <c r="A105" i="11"/>
  <c r="G104" i="11"/>
  <c r="F104" i="11"/>
  <c r="E104" i="11"/>
  <c r="D104" i="11"/>
  <c r="C104" i="11"/>
  <c r="B104" i="11"/>
  <c r="A104" i="11"/>
  <c r="J103" i="11"/>
  <c r="I103" i="11"/>
  <c r="H103" i="11"/>
  <c r="G103" i="11"/>
  <c r="F103" i="11"/>
  <c r="E103" i="11"/>
  <c r="L103" i="11" s="1"/>
  <c r="D103" i="11"/>
  <c r="C103" i="11"/>
  <c r="B103" i="11"/>
  <c r="A103" i="11"/>
  <c r="L102" i="11"/>
  <c r="G102" i="11"/>
  <c r="F102" i="11"/>
  <c r="K102" i="11" s="1"/>
  <c r="E102" i="11"/>
  <c r="D102" i="11"/>
  <c r="C102" i="11"/>
  <c r="B102" i="11"/>
  <c r="A102" i="11"/>
  <c r="J101" i="11"/>
  <c r="I101" i="11"/>
  <c r="H101" i="11"/>
  <c r="G101" i="11"/>
  <c r="F101" i="11"/>
  <c r="E101" i="11"/>
  <c r="D101" i="11"/>
  <c r="C101" i="11"/>
  <c r="B101" i="11"/>
  <c r="A101" i="11"/>
  <c r="G100" i="11"/>
  <c r="F100" i="11"/>
  <c r="E100" i="11"/>
  <c r="D100" i="11"/>
  <c r="C100" i="11"/>
  <c r="B100" i="11"/>
  <c r="A100" i="11"/>
  <c r="H99" i="11"/>
  <c r="G99" i="11"/>
  <c r="J99" i="11" s="1"/>
  <c r="F99" i="11"/>
  <c r="E99" i="11"/>
  <c r="D99" i="11"/>
  <c r="C99" i="11"/>
  <c r="B99" i="11"/>
  <c r="A99" i="11"/>
  <c r="K98" i="11"/>
  <c r="G98" i="11"/>
  <c r="F98" i="11"/>
  <c r="E98" i="11"/>
  <c r="L98" i="11" s="1"/>
  <c r="D98" i="11"/>
  <c r="C98" i="11"/>
  <c r="B98" i="11"/>
  <c r="A98" i="11"/>
  <c r="J97" i="11"/>
  <c r="I97" i="11"/>
  <c r="H97" i="11"/>
  <c r="G97" i="11"/>
  <c r="F97" i="11"/>
  <c r="E97" i="11"/>
  <c r="D97" i="11"/>
  <c r="C97" i="11"/>
  <c r="B97" i="11"/>
  <c r="A97" i="11"/>
  <c r="L96" i="11"/>
  <c r="K96" i="11"/>
  <c r="G96" i="11"/>
  <c r="F96" i="11"/>
  <c r="E96" i="11"/>
  <c r="D96" i="11"/>
  <c r="C96" i="11"/>
  <c r="B96" i="11"/>
  <c r="A96" i="11"/>
  <c r="J95" i="11"/>
  <c r="I95" i="11"/>
  <c r="H95" i="11"/>
  <c r="G95" i="11"/>
  <c r="F95" i="11"/>
  <c r="E95" i="11"/>
  <c r="L95" i="11" s="1"/>
  <c r="D95" i="11"/>
  <c r="C95" i="11"/>
  <c r="B95" i="11"/>
  <c r="A95" i="11"/>
  <c r="G94" i="11"/>
  <c r="F94" i="11"/>
  <c r="E94" i="11"/>
  <c r="D94" i="11"/>
  <c r="C94" i="11"/>
  <c r="B94" i="11"/>
  <c r="A94" i="11"/>
  <c r="G93" i="11"/>
  <c r="J93" i="11" s="1"/>
  <c r="F93" i="11"/>
  <c r="E93" i="11"/>
  <c r="D93" i="11"/>
  <c r="C93" i="11"/>
  <c r="B93" i="11"/>
  <c r="A93" i="11"/>
  <c r="L92" i="11"/>
  <c r="K92" i="11"/>
  <c r="G92" i="11"/>
  <c r="F92" i="11"/>
  <c r="E92" i="11"/>
  <c r="D92" i="11"/>
  <c r="C92" i="11"/>
  <c r="B92" i="11"/>
  <c r="A92" i="11"/>
  <c r="J91" i="11"/>
  <c r="I91" i="11"/>
  <c r="H91" i="11"/>
  <c r="G91" i="11"/>
  <c r="F91" i="11"/>
  <c r="E91" i="11"/>
  <c r="L91" i="11" s="1"/>
  <c r="D91" i="11"/>
  <c r="C91" i="11"/>
  <c r="B91" i="11"/>
  <c r="A91" i="11"/>
  <c r="G90" i="11"/>
  <c r="F90" i="11"/>
  <c r="E90" i="11"/>
  <c r="D90" i="11"/>
  <c r="L90" i="11" s="1"/>
  <c r="C90" i="11"/>
  <c r="B90" i="11"/>
  <c r="A90" i="11"/>
  <c r="J89" i="11"/>
  <c r="I89" i="11"/>
  <c r="H89" i="11"/>
  <c r="G89" i="11"/>
  <c r="F89" i="11"/>
  <c r="E89" i="11"/>
  <c r="L89" i="11" s="1"/>
  <c r="D89" i="11"/>
  <c r="C89" i="11"/>
  <c r="B89" i="11"/>
  <c r="A89" i="11"/>
  <c r="G88" i="11"/>
  <c r="F88" i="11"/>
  <c r="E88" i="11"/>
  <c r="D88" i="11"/>
  <c r="C88" i="11"/>
  <c r="B88" i="11"/>
  <c r="A88" i="11"/>
  <c r="I87" i="11"/>
  <c r="H87" i="11"/>
  <c r="G87" i="11"/>
  <c r="J87" i="11" s="1"/>
  <c r="F87" i="11"/>
  <c r="E87" i="11"/>
  <c r="L87" i="11" s="1"/>
  <c r="D87" i="11"/>
  <c r="C87" i="11"/>
  <c r="B87" i="11"/>
  <c r="A87" i="11"/>
  <c r="L86" i="11"/>
  <c r="G86" i="11"/>
  <c r="F86" i="11"/>
  <c r="K86" i="11" s="1"/>
  <c r="E86" i="11"/>
  <c r="D86" i="11"/>
  <c r="C86" i="11"/>
  <c r="B86" i="11"/>
  <c r="A86" i="11"/>
  <c r="J85" i="11"/>
  <c r="I85" i="11"/>
  <c r="H85" i="11"/>
  <c r="G85" i="11"/>
  <c r="F85" i="11"/>
  <c r="E85" i="11"/>
  <c r="L85" i="11" s="1"/>
  <c r="D85" i="11"/>
  <c r="C85" i="11"/>
  <c r="B85" i="11"/>
  <c r="A85" i="11"/>
  <c r="G84" i="11"/>
  <c r="F84" i="11"/>
  <c r="E84" i="11"/>
  <c r="D84" i="11"/>
  <c r="C84" i="11"/>
  <c r="B84" i="11"/>
  <c r="A84" i="11"/>
  <c r="J83" i="11"/>
  <c r="I83" i="11"/>
  <c r="H83" i="11"/>
  <c r="G83" i="11"/>
  <c r="F83" i="11"/>
  <c r="E83" i="11"/>
  <c r="L83" i="11" s="1"/>
  <c r="D83" i="11"/>
  <c r="C83" i="11"/>
  <c r="B83" i="11"/>
  <c r="A83" i="11"/>
  <c r="K82" i="11"/>
  <c r="G82" i="11"/>
  <c r="F82" i="11"/>
  <c r="E82" i="11"/>
  <c r="L82" i="11" s="1"/>
  <c r="D82" i="11"/>
  <c r="C82" i="11"/>
  <c r="B82" i="11"/>
  <c r="A82" i="11"/>
  <c r="J81" i="11"/>
  <c r="I81" i="11"/>
  <c r="H81" i="11"/>
  <c r="G81" i="11"/>
  <c r="F81" i="11"/>
  <c r="E81" i="11"/>
  <c r="D81" i="11"/>
  <c r="C81" i="11"/>
  <c r="B81" i="11"/>
  <c r="A81" i="11"/>
  <c r="G80" i="11"/>
  <c r="F80" i="11"/>
  <c r="E80" i="11"/>
  <c r="D80" i="11"/>
  <c r="K80" i="11" s="1"/>
  <c r="C80" i="11"/>
  <c r="B80" i="11"/>
  <c r="A80" i="11"/>
  <c r="G79" i="11"/>
  <c r="F79" i="11"/>
  <c r="E79" i="11"/>
  <c r="D79" i="11"/>
  <c r="C79" i="11"/>
  <c r="B79" i="11"/>
  <c r="A79" i="11"/>
  <c r="I78" i="11"/>
  <c r="G78" i="11"/>
  <c r="F78" i="11"/>
  <c r="E78" i="11"/>
  <c r="L78" i="11" s="1"/>
  <c r="D78" i="11"/>
  <c r="C78" i="11"/>
  <c r="B78" i="11"/>
  <c r="A78" i="11"/>
  <c r="J77" i="11"/>
  <c r="I77" i="11"/>
  <c r="H77" i="11"/>
  <c r="G77" i="11"/>
  <c r="F77" i="11"/>
  <c r="E77" i="11"/>
  <c r="D77" i="11"/>
  <c r="C77" i="11"/>
  <c r="B77" i="11"/>
  <c r="A77" i="11"/>
  <c r="G76" i="11"/>
  <c r="F76" i="11"/>
  <c r="E76" i="11"/>
  <c r="L76" i="11" s="1"/>
  <c r="D76" i="11"/>
  <c r="C76" i="11"/>
  <c r="B76" i="11"/>
  <c r="A76" i="11"/>
  <c r="H75" i="11"/>
  <c r="G75" i="11"/>
  <c r="F75" i="11"/>
  <c r="E75" i="11"/>
  <c r="L75" i="11" s="1"/>
  <c r="D75" i="11"/>
  <c r="C75" i="11"/>
  <c r="B75" i="11"/>
  <c r="A75" i="11"/>
  <c r="L74" i="11"/>
  <c r="K74" i="11"/>
  <c r="J74" i="11"/>
  <c r="I74" i="11"/>
  <c r="G74" i="11"/>
  <c r="F74" i="11"/>
  <c r="E74" i="11"/>
  <c r="H74" i="11" s="1"/>
  <c r="D74" i="11"/>
  <c r="C74" i="11"/>
  <c r="B74" i="11"/>
  <c r="A74" i="11"/>
  <c r="G73" i="11"/>
  <c r="F73" i="11"/>
  <c r="E73" i="11"/>
  <c r="L73" i="11" s="1"/>
  <c r="D73" i="11"/>
  <c r="C73" i="11"/>
  <c r="B73" i="11"/>
  <c r="A73" i="11"/>
  <c r="J72" i="11"/>
  <c r="I72" i="11"/>
  <c r="G72" i="11"/>
  <c r="F72" i="11"/>
  <c r="E72" i="11"/>
  <c r="L72" i="11" s="1"/>
  <c r="D72" i="11"/>
  <c r="C72" i="11"/>
  <c r="B72" i="11"/>
  <c r="A72" i="11"/>
  <c r="G71" i="11"/>
  <c r="F71" i="11"/>
  <c r="E71" i="11"/>
  <c r="J71" i="11" s="1"/>
  <c r="D71" i="11"/>
  <c r="L71" i="11" s="1"/>
  <c r="C71" i="11"/>
  <c r="B71" i="11"/>
  <c r="A71" i="11"/>
  <c r="I70" i="11"/>
  <c r="H70" i="11"/>
  <c r="G70" i="11"/>
  <c r="F70" i="11"/>
  <c r="E70" i="11"/>
  <c r="L70" i="11" s="1"/>
  <c r="D70" i="11"/>
  <c r="C70" i="11"/>
  <c r="B70" i="11"/>
  <c r="A70" i="11"/>
  <c r="G69" i="11"/>
  <c r="F69" i="11"/>
  <c r="E69" i="11"/>
  <c r="J69" i="11" s="1"/>
  <c r="D69" i="11"/>
  <c r="L69" i="11" s="1"/>
  <c r="C69" i="11"/>
  <c r="B69" i="11"/>
  <c r="A69" i="11"/>
  <c r="I68" i="11"/>
  <c r="H68" i="11"/>
  <c r="G68" i="11"/>
  <c r="F68" i="11"/>
  <c r="E68" i="11"/>
  <c r="L68" i="11" s="1"/>
  <c r="D68" i="11"/>
  <c r="C68" i="11"/>
  <c r="B68" i="11"/>
  <c r="A68" i="11"/>
  <c r="G67" i="11"/>
  <c r="F67" i="11"/>
  <c r="E67" i="11"/>
  <c r="J67" i="11" s="1"/>
  <c r="D67" i="11"/>
  <c r="L67" i="11" s="1"/>
  <c r="C67" i="11"/>
  <c r="B67" i="11"/>
  <c r="A67" i="11"/>
  <c r="I66" i="11"/>
  <c r="H66" i="11"/>
  <c r="G66" i="11"/>
  <c r="F66" i="11"/>
  <c r="E66" i="11"/>
  <c r="L66" i="11" s="1"/>
  <c r="D66" i="11"/>
  <c r="C66" i="11"/>
  <c r="B66" i="11"/>
  <c r="A66" i="11"/>
  <c r="G65" i="11"/>
  <c r="F65" i="11"/>
  <c r="E65" i="11"/>
  <c r="J65" i="11" s="1"/>
  <c r="D65" i="11"/>
  <c r="L65" i="11" s="1"/>
  <c r="C65" i="11"/>
  <c r="B65" i="11"/>
  <c r="A65" i="11"/>
  <c r="I64" i="11"/>
  <c r="H64" i="11"/>
  <c r="G64" i="11"/>
  <c r="F64" i="11"/>
  <c r="E64" i="11"/>
  <c r="L64" i="11" s="1"/>
  <c r="D64" i="11"/>
  <c r="C64" i="11"/>
  <c r="B64" i="11"/>
  <c r="A64" i="11"/>
  <c r="G63" i="11"/>
  <c r="F63" i="11"/>
  <c r="E63" i="11"/>
  <c r="J63" i="11" s="1"/>
  <c r="D63" i="11"/>
  <c r="L63" i="11" s="1"/>
  <c r="C63" i="11"/>
  <c r="B63" i="11"/>
  <c r="A63" i="11"/>
  <c r="I62" i="11"/>
  <c r="H62" i="11"/>
  <c r="G62" i="11"/>
  <c r="F62" i="11"/>
  <c r="E62" i="11"/>
  <c r="L62" i="11" s="1"/>
  <c r="D62" i="11"/>
  <c r="C62" i="11"/>
  <c r="B62" i="11"/>
  <c r="A62" i="11"/>
  <c r="G61" i="11"/>
  <c r="F61" i="11"/>
  <c r="E61" i="11"/>
  <c r="J61" i="11" s="1"/>
  <c r="D61" i="11"/>
  <c r="L61" i="11" s="1"/>
  <c r="C61" i="11"/>
  <c r="B61" i="11"/>
  <c r="A61" i="11"/>
  <c r="I60" i="11"/>
  <c r="H60" i="11"/>
  <c r="G60" i="11"/>
  <c r="F60" i="11"/>
  <c r="E60" i="11"/>
  <c r="L60" i="11" s="1"/>
  <c r="D60" i="11"/>
  <c r="C60" i="11"/>
  <c r="B60" i="11"/>
  <c r="A60" i="11"/>
  <c r="G59" i="11"/>
  <c r="F59" i="11"/>
  <c r="E59" i="11"/>
  <c r="J59" i="11" s="1"/>
  <c r="D59" i="11"/>
  <c r="L59" i="11" s="1"/>
  <c r="C59" i="11"/>
  <c r="B59" i="11"/>
  <c r="A59" i="11"/>
  <c r="I58" i="11"/>
  <c r="H58" i="11"/>
  <c r="G58" i="11"/>
  <c r="F58" i="11"/>
  <c r="E58" i="11"/>
  <c r="L58" i="11" s="1"/>
  <c r="D58" i="11"/>
  <c r="C58" i="11"/>
  <c r="B58" i="11"/>
  <c r="A58" i="11"/>
  <c r="L57" i="11"/>
  <c r="G57" i="11"/>
  <c r="F57" i="11"/>
  <c r="E57" i="11"/>
  <c r="J57" i="11" s="1"/>
  <c r="D57" i="11"/>
  <c r="C57" i="11"/>
  <c r="B57" i="11"/>
  <c r="A57" i="11"/>
  <c r="I56" i="11"/>
  <c r="H56" i="11"/>
  <c r="G56" i="11"/>
  <c r="F56" i="11"/>
  <c r="E56" i="11"/>
  <c r="L56" i="11" s="1"/>
  <c r="D56" i="11"/>
  <c r="C56" i="11"/>
  <c r="B56" i="11"/>
  <c r="A56" i="11"/>
  <c r="L55" i="11"/>
  <c r="G55" i="11"/>
  <c r="F55" i="11"/>
  <c r="E55" i="11"/>
  <c r="J55" i="11" s="1"/>
  <c r="D55" i="11"/>
  <c r="C55" i="11"/>
  <c r="B55" i="11"/>
  <c r="A55" i="11"/>
  <c r="I54" i="11"/>
  <c r="H54" i="11"/>
  <c r="G54" i="11"/>
  <c r="F54" i="11"/>
  <c r="E54" i="11"/>
  <c r="L54" i="11" s="1"/>
  <c r="D54" i="11"/>
  <c r="C54" i="11"/>
  <c r="B54" i="11"/>
  <c r="A54" i="11"/>
  <c r="L53" i="11"/>
  <c r="G53" i="11"/>
  <c r="F53" i="11"/>
  <c r="E53" i="11"/>
  <c r="J53" i="11" s="1"/>
  <c r="D53" i="11"/>
  <c r="C53" i="11"/>
  <c r="B53" i="11"/>
  <c r="A53" i="11"/>
  <c r="I52" i="11"/>
  <c r="H52" i="11"/>
  <c r="G52" i="11"/>
  <c r="F52" i="11"/>
  <c r="E52" i="11"/>
  <c r="L52" i="11" s="1"/>
  <c r="D52" i="11"/>
  <c r="C52" i="11"/>
  <c r="B52" i="11"/>
  <c r="A52" i="11"/>
  <c r="L51" i="11"/>
  <c r="G51" i="11"/>
  <c r="F51" i="11"/>
  <c r="E51" i="11"/>
  <c r="J51" i="11" s="1"/>
  <c r="D51" i="11"/>
  <c r="C51" i="11"/>
  <c r="B51" i="11"/>
  <c r="A51" i="11"/>
  <c r="I50" i="11"/>
  <c r="H50" i="11"/>
  <c r="G50" i="11"/>
  <c r="F50" i="11"/>
  <c r="E50" i="11"/>
  <c r="L50" i="11" s="1"/>
  <c r="D50" i="11"/>
  <c r="C50" i="11"/>
  <c r="B50" i="11"/>
  <c r="A50" i="11"/>
  <c r="L49" i="11"/>
  <c r="G49" i="11"/>
  <c r="F49" i="11"/>
  <c r="E49" i="11"/>
  <c r="J49" i="11" s="1"/>
  <c r="D49" i="11"/>
  <c r="C49" i="11"/>
  <c r="B49" i="11"/>
  <c r="A49" i="11"/>
  <c r="I48" i="11"/>
  <c r="H48" i="11"/>
  <c r="G48" i="11"/>
  <c r="F48" i="11"/>
  <c r="E48" i="11"/>
  <c r="L48" i="11" s="1"/>
  <c r="D48" i="11"/>
  <c r="C48" i="11"/>
  <c r="B48" i="11"/>
  <c r="A48" i="11"/>
  <c r="L47" i="11"/>
  <c r="G47" i="11"/>
  <c r="F47" i="11"/>
  <c r="E47" i="11"/>
  <c r="J47" i="11" s="1"/>
  <c r="D47" i="11"/>
  <c r="C47" i="11"/>
  <c r="B47" i="11"/>
  <c r="A47" i="11"/>
  <c r="I46" i="11"/>
  <c r="H46" i="11"/>
  <c r="G46" i="11"/>
  <c r="F46" i="11"/>
  <c r="E46" i="11"/>
  <c r="L46" i="11" s="1"/>
  <c r="D46" i="11"/>
  <c r="C46" i="11"/>
  <c r="B46" i="11"/>
  <c r="A46" i="11"/>
  <c r="G45" i="11"/>
  <c r="F45" i="11"/>
  <c r="E45" i="11"/>
  <c r="J45" i="11" s="1"/>
  <c r="D45" i="11"/>
  <c r="L45" i="11" s="1"/>
  <c r="C45" i="11"/>
  <c r="B45" i="11"/>
  <c r="A45" i="11"/>
  <c r="I44" i="11"/>
  <c r="H44" i="11"/>
  <c r="G44" i="11"/>
  <c r="F44" i="11"/>
  <c r="E44" i="11"/>
  <c r="L44" i="11" s="1"/>
  <c r="D44" i="11"/>
  <c r="C44" i="11"/>
  <c r="B44" i="11"/>
  <c r="A44" i="11"/>
  <c r="L43" i="11"/>
  <c r="G43" i="11"/>
  <c r="F43" i="11"/>
  <c r="E43" i="11"/>
  <c r="J43" i="11" s="1"/>
  <c r="D43" i="11"/>
  <c r="C43" i="11"/>
  <c r="B43" i="11"/>
  <c r="A43" i="11"/>
  <c r="I42" i="11"/>
  <c r="H42" i="11"/>
  <c r="G42" i="11"/>
  <c r="F42" i="11"/>
  <c r="E42" i="11"/>
  <c r="L42" i="11" s="1"/>
  <c r="D42" i="11"/>
  <c r="C42" i="11"/>
  <c r="B42" i="11"/>
  <c r="A42" i="11"/>
  <c r="L41" i="11"/>
  <c r="G41" i="11"/>
  <c r="F41" i="11"/>
  <c r="E41" i="11"/>
  <c r="J41" i="11" s="1"/>
  <c r="D41" i="11"/>
  <c r="C41" i="11"/>
  <c r="B41" i="11"/>
  <c r="A41" i="11"/>
  <c r="I40" i="11"/>
  <c r="H40" i="11"/>
  <c r="G40" i="11"/>
  <c r="F40" i="11"/>
  <c r="E40" i="11"/>
  <c r="L40" i="11" s="1"/>
  <c r="D40" i="11"/>
  <c r="C40" i="11"/>
  <c r="B40" i="11"/>
  <c r="A40" i="11"/>
  <c r="G39" i="11"/>
  <c r="F39" i="11"/>
  <c r="E39" i="11"/>
  <c r="J39" i="11" s="1"/>
  <c r="D39" i="11"/>
  <c r="L39" i="11" s="1"/>
  <c r="C39" i="11"/>
  <c r="B39" i="11"/>
  <c r="A39" i="11"/>
  <c r="I38" i="11"/>
  <c r="H38" i="11"/>
  <c r="G38" i="11"/>
  <c r="F38" i="11"/>
  <c r="E38" i="11"/>
  <c r="L38" i="11" s="1"/>
  <c r="D38" i="11"/>
  <c r="C38" i="11"/>
  <c r="B38" i="11"/>
  <c r="A38" i="11"/>
  <c r="L37" i="11"/>
  <c r="G37" i="11"/>
  <c r="F37" i="11"/>
  <c r="E37" i="11"/>
  <c r="J37" i="11" s="1"/>
  <c r="D37" i="11"/>
  <c r="C37" i="11"/>
  <c r="B37" i="11"/>
  <c r="A37" i="11"/>
  <c r="I36" i="11"/>
  <c r="H36" i="11"/>
  <c r="G36" i="11"/>
  <c r="F36" i="11"/>
  <c r="E36" i="11"/>
  <c r="L36" i="11" s="1"/>
  <c r="D36" i="11"/>
  <c r="C36" i="11"/>
  <c r="B36" i="11"/>
  <c r="A36" i="11"/>
  <c r="L35" i="11"/>
  <c r="G35" i="11"/>
  <c r="F35" i="11"/>
  <c r="E35" i="11"/>
  <c r="J35" i="11" s="1"/>
  <c r="D35" i="11"/>
  <c r="C35" i="11"/>
  <c r="B35" i="11"/>
  <c r="A35" i="11"/>
  <c r="I34" i="11"/>
  <c r="H34" i="11"/>
  <c r="G34" i="11"/>
  <c r="F34" i="11"/>
  <c r="E34" i="11"/>
  <c r="L34" i="11" s="1"/>
  <c r="D34" i="11"/>
  <c r="C34" i="11"/>
  <c r="B34" i="11"/>
  <c r="A34" i="11"/>
  <c r="L33" i="11"/>
  <c r="G33" i="11"/>
  <c r="F33" i="11"/>
  <c r="E33" i="11"/>
  <c r="J33" i="11" s="1"/>
  <c r="D33" i="11"/>
  <c r="C33" i="11"/>
  <c r="B33" i="11"/>
  <c r="A33" i="11"/>
  <c r="I32" i="11"/>
  <c r="H32" i="11"/>
  <c r="G32" i="11"/>
  <c r="F32" i="11"/>
  <c r="E32" i="11"/>
  <c r="L32" i="11" s="1"/>
  <c r="D32" i="11"/>
  <c r="C32" i="11"/>
  <c r="B32" i="11"/>
  <c r="A32" i="11"/>
  <c r="G31" i="11"/>
  <c r="F31" i="11"/>
  <c r="E31" i="11"/>
  <c r="J31" i="11" s="1"/>
  <c r="D31" i="11"/>
  <c r="L31" i="11" s="1"/>
  <c r="C31" i="11"/>
  <c r="B31" i="11"/>
  <c r="A31" i="11"/>
  <c r="I30" i="11"/>
  <c r="H30" i="11"/>
  <c r="G30" i="11"/>
  <c r="F30" i="11"/>
  <c r="E30" i="11"/>
  <c r="L30" i="11" s="1"/>
  <c r="D30" i="11"/>
  <c r="C30" i="11"/>
  <c r="B30" i="11"/>
  <c r="A30" i="11"/>
  <c r="G29" i="11"/>
  <c r="F29" i="11"/>
  <c r="E29" i="11"/>
  <c r="J29" i="11" s="1"/>
  <c r="D29" i="11"/>
  <c r="L29" i="11" s="1"/>
  <c r="C29" i="11"/>
  <c r="B29" i="11"/>
  <c r="A29" i="11"/>
  <c r="I28" i="11"/>
  <c r="H28" i="11"/>
  <c r="G28" i="11"/>
  <c r="F28" i="11"/>
  <c r="E28" i="11"/>
  <c r="L28" i="11" s="1"/>
  <c r="D28" i="11"/>
  <c r="C28" i="11"/>
  <c r="B28" i="11"/>
  <c r="A28" i="11"/>
  <c r="G27" i="11"/>
  <c r="F27" i="11"/>
  <c r="E27" i="11"/>
  <c r="J27" i="11" s="1"/>
  <c r="D27" i="11"/>
  <c r="L27" i="11" s="1"/>
  <c r="C27" i="11"/>
  <c r="B27" i="11"/>
  <c r="A27" i="11"/>
  <c r="I26" i="11"/>
  <c r="H26" i="11"/>
  <c r="G26" i="11"/>
  <c r="F26" i="11"/>
  <c r="E26" i="11"/>
  <c r="L26" i="11" s="1"/>
  <c r="D26" i="11"/>
  <c r="C26" i="11"/>
  <c r="B26" i="11"/>
  <c r="A26" i="11"/>
  <c r="G25" i="11"/>
  <c r="F25" i="11"/>
  <c r="E25" i="11"/>
  <c r="J25" i="11" s="1"/>
  <c r="D25" i="11"/>
  <c r="L25" i="11" s="1"/>
  <c r="C25" i="11"/>
  <c r="B25" i="11"/>
  <c r="A25" i="11"/>
  <c r="I24" i="11"/>
  <c r="H24" i="11"/>
  <c r="G24" i="11"/>
  <c r="F24" i="11"/>
  <c r="E24" i="11"/>
  <c r="L24" i="11" s="1"/>
  <c r="D24" i="11"/>
  <c r="C24" i="11"/>
  <c r="B24" i="11"/>
  <c r="A24" i="11"/>
  <c r="G23" i="11"/>
  <c r="F23" i="11"/>
  <c r="E23" i="11"/>
  <c r="J23" i="11" s="1"/>
  <c r="D23" i="11"/>
  <c r="L23" i="11" s="1"/>
  <c r="C23" i="11"/>
  <c r="B23" i="11"/>
  <c r="A23" i="11"/>
  <c r="I22" i="11"/>
  <c r="H22" i="11"/>
  <c r="G22" i="11"/>
  <c r="F22" i="11"/>
  <c r="E22" i="11"/>
  <c r="L22" i="11" s="1"/>
  <c r="D22" i="11"/>
  <c r="C22" i="11"/>
  <c r="B22" i="11"/>
  <c r="A22" i="11"/>
  <c r="G21" i="11"/>
  <c r="F21" i="11"/>
  <c r="E21" i="11"/>
  <c r="J21" i="11" s="1"/>
  <c r="D21" i="11"/>
  <c r="L21" i="11" s="1"/>
  <c r="C21" i="11"/>
  <c r="B21" i="11"/>
  <c r="A21" i="11"/>
  <c r="I20" i="11"/>
  <c r="H20" i="11"/>
  <c r="G20" i="11"/>
  <c r="F20" i="11"/>
  <c r="E20" i="11"/>
  <c r="L20" i="11" s="1"/>
  <c r="D20" i="11"/>
  <c r="C20" i="11"/>
  <c r="B20" i="11"/>
  <c r="A20" i="11"/>
  <c r="G19" i="11"/>
  <c r="F19" i="11"/>
  <c r="E19" i="11"/>
  <c r="J19" i="11" s="1"/>
  <c r="D19" i="11"/>
  <c r="L19" i="11" s="1"/>
  <c r="C19" i="11"/>
  <c r="B19" i="11"/>
  <c r="A19" i="11"/>
  <c r="I18" i="11"/>
  <c r="H18" i="11"/>
  <c r="G18" i="11"/>
  <c r="F18" i="11"/>
  <c r="E18" i="11"/>
  <c r="L18" i="11" s="1"/>
  <c r="D18" i="11"/>
  <c r="C18" i="11"/>
  <c r="B18" i="11"/>
  <c r="A18" i="11"/>
  <c r="G17" i="11"/>
  <c r="F17" i="11"/>
  <c r="E17" i="11"/>
  <c r="J17" i="11" s="1"/>
  <c r="D17" i="11"/>
  <c r="L17" i="11" s="1"/>
  <c r="C17" i="11"/>
  <c r="B17" i="11"/>
  <c r="A17" i="11"/>
  <c r="I16" i="11"/>
  <c r="H16" i="11"/>
  <c r="G16" i="11"/>
  <c r="F16" i="11"/>
  <c r="E16" i="11"/>
  <c r="L16" i="11" s="1"/>
  <c r="D16" i="11"/>
  <c r="C16" i="11"/>
  <c r="B16" i="11"/>
  <c r="A16" i="11"/>
  <c r="G15" i="11"/>
  <c r="F15" i="11"/>
  <c r="E15" i="11"/>
  <c r="J15" i="11" s="1"/>
  <c r="D15" i="11"/>
  <c r="L15" i="11" s="1"/>
  <c r="C15" i="11"/>
  <c r="B15" i="11"/>
  <c r="A15" i="11"/>
  <c r="I14" i="11"/>
  <c r="H14" i="11"/>
  <c r="G14" i="11"/>
  <c r="F14" i="11"/>
  <c r="E14" i="11"/>
  <c r="L14" i="11" s="1"/>
  <c r="D14" i="11"/>
  <c r="C14" i="11"/>
  <c r="B14" i="11"/>
  <c r="A14" i="11"/>
  <c r="G13" i="11"/>
  <c r="F13" i="11"/>
  <c r="E13" i="11"/>
  <c r="J13" i="11" s="1"/>
  <c r="D13" i="11"/>
  <c r="L13" i="11" s="1"/>
  <c r="C13" i="11"/>
  <c r="B13" i="11"/>
  <c r="A13" i="11"/>
  <c r="I12" i="11"/>
  <c r="H12" i="11"/>
  <c r="G12" i="11"/>
  <c r="F12" i="11"/>
  <c r="E12" i="11"/>
  <c r="L12" i="11" s="1"/>
  <c r="D12" i="11"/>
  <c r="C12" i="11"/>
  <c r="B12" i="11"/>
  <c r="A12" i="11"/>
  <c r="L11" i="11"/>
  <c r="G11" i="11"/>
  <c r="F11" i="11"/>
  <c r="E11" i="11"/>
  <c r="J11" i="11" s="1"/>
  <c r="D11" i="11"/>
  <c r="C11" i="11"/>
  <c r="B11" i="11"/>
  <c r="A11" i="11"/>
  <c r="I10" i="11"/>
  <c r="H10" i="11"/>
  <c r="G10" i="11"/>
  <c r="F10" i="11"/>
  <c r="E10" i="11"/>
  <c r="L10" i="11" s="1"/>
  <c r="D10" i="11"/>
  <c r="C10" i="11"/>
  <c r="B10" i="11"/>
  <c r="A10" i="11"/>
  <c r="G9" i="11"/>
  <c r="F9" i="11"/>
  <c r="E9" i="11"/>
  <c r="J9" i="11" s="1"/>
  <c r="D9" i="11"/>
  <c r="L9" i="11" s="1"/>
  <c r="C9" i="11"/>
  <c r="B9" i="11"/>
  <c r="A9" i="11"/>
  <c r="I8" i="11"/>
  <c r="H8" i="11"/>
  <c r="G8" i="11"/>
  <c r="F8" i="11"/>
  <c r="E8" i="11"/>
  <c r="L8" i="11" s="1"/>
  <c r="D8" i="1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D10" i="7"/>
  <c r="C10" i="7"/>
  <c r="B10" i="7"/>
  <c r="D9" i="7"/>
  <c r="C9" i="7"/>
  <c r="B9" i="7"/>
  <c r="F9" i="7" s="1"/>
  <c r="D8" i="7"/>
  <c r="C8" i="7"/>
  <c r="B8" i="7"/>
  <c r="F8" i="7" s="1"/>
  <c r="D7" i="7"/>
  <c r="C7" i="7"/>
  <c r="B7" i="7"/>
  <c r="F7" i="7" s="1"/>
  <c r="D6" i="7"/>
  <c r="C6" i="7"/>
  <c r="B6" i="7"/>
  <c r="F6" i="7" s="1"/>
  <c r="C5" i="7"/>
  <c r="C11" i="7" s="1"/>
  <c r="B5" i="7"/>
  <c r="B11" i="7" s="1"/>
  <c r="J33" i="5"/>
  <c r="F9" i="18" s="1"/>
  <c r="G9" i="18" s="1"/>
  <c r="I33" i="5"/>
  <c r="H33" i="5" s="1"/>
  <c r="E33" i="12" s="1"/>
  <c r="J32" i="5"/>
  <c r="I32" i="5"/>
  <c r="H32" i="5" s="1"/>
  <c r="E32" i="12" s="1"/>
  <c r="J31" i="5"/>
  <c r="F8" i="18" s="1"/>
  <c r="G8" i="18" s="1"/>
  <c r="I31" i="5"/>
  <c r="H30" i="5" s="1"/>
  <c r="E30" i="12" s="1"/>
  <c r="J30" i="5"/>
  <c r="I30" i="5"/>
  <c r="J29" i="5"/>
  <c r="I29" i="5"/>
  <c r="J28" i="5"/>
  <c r="I28" i="5"/>
  <c r="J27" i="5"/>
  <c r="I27" i="5"/>
  <c r="J26" i="5"/>
  <c r="I26" i="5"/>
  <c r="H26" i="5" s="1"/>
  <c r="E26" i="12" s="1"/>
  <c r="J25" i="5"/>
  <c r="I25" i="5"/>
  <c r="H25" i="5" s="1"/>
  <c r="E25" i="12" s="1"/>
  <c r="J24" i="5"/>
  <c r="I24" i="5"/>
  <c r="H24" i="5"/>
  <c r="E24" i="12" s="1"/>
  <c r="J23" i="5"/>
  <c r="I23" i="5"/>
  <c r="H23" i="5" s="1"/>
  <c r="E23" i="12" s="1"/>
  <c r="J22" i="5"/>
  <c r="F6" i="18" s="1"/>
  <c r="G6" i="18" s="1"/>
  <c r="I22" i="5"/>
  <c r="H22" i="5"/>
  <c r="E22" i="12" s="1"/>
  <c r="J21" i="5"/>
  <c r="I21" i="5"/>
  <c r="H12" i="5" s="1"/>
  <c r="E12" i="12" s="1"/>
  <c r="J20" i="5"/>
  <c r="F5" i="18" s="1"/>
  <c r="G5" i="18" s="1"/>
  <c r="I20" i="5"/>
  <c r="H20" i="5"/>
  <c r="E20" i="12" s="1"/>
  <c r="J19" i="5"/>
  <c r="I19" i="5"/>
  <c r="J18" i="5"/>
  <c r="I18" i="5"/>
  <c r="H18" i="5" s="1"/>
  <c r="E18" i="12" s="1"/>
  <c r="J17" i="5"/>
  <c r="I17" i="5"/>
  <c r="H17" i="5" s="1"/>
  <c r="E17" i="12" s="1"/>
  <c r="J16" i="5"/>
  <c r="I16" i="5"/>
  <c r="J15" i="5"/>
  <c r="I15" i="5"/>
  <c r="H15" i="5" s="1"/>
  <c r="E15" i="12" s="1"/>
  <c r="J14" i="5"/>
  <c r="I14" i="5"/>
  <c r="J13" i="5"/>
  <c r="I13" i="5"/>
  <c r="H13" i="5" s="1"/>
  <c r="E13" i="12" s="1"/>
  <c r="J12" i="5"/>
  <c r="I12" i="5"/>
  <c r="H28" i="5" s="1"/>
  <c r="E28" i="12" s="1"/>
  <c r="J11" i="5"/>
  <c r="I11" i="5"/>
  <c r="J10" i="5"/>
  <c r="I10" i="5"/>
  <c r="H8" i="5" s="1"/>
  <c r="E8" i="12" s="1"/>
  <c r="J9" i="5"/>
  <c r="I9" i="5"/>
  <c r="H9" i="5" s="1"/>
  <c r="E9" i="12" s="1"/>
  <c r="J8" i="5"/>
  <c r="I8" i="5"/>
  <c r="J7" i="5"/>
  <c r="I7" i="5"/>
  <c r="H11" i="5" s="1"/>
  <c r="E11" i="12" s="1"/>
  <c r="J6" i="5"/>
  <c r="I6" i="5"/>
  <c r="H6" i="5"/>
  <c r="E6" i="12" s="1"/>
  <c r="J5" i="5"/>
  <c r="F7" i="18" s="1"/>
  <c r="G7" i="18" s="1"/>
  <c r="I5" i="5"/>
  <c r="H5" i="5"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P28" i="12" l="1"/>
  <c r="H28" i="12"/>
  <c r="T28" i="12" s="1"/>
  <c r="D28" i="13"/>
  <c r="J28" i="12"/>
  <c r="V28" i="12" s="1"/>
  <c r="Q28" i="12"/>
  <c r="G28" i="12"/>
  <c r="S28" i="12" s="1"/>
  <c r="O28" i="12"/>
  <c r="N28" i="12"/>
  <c r="L28" i="12"/>
  <c r="K28" i="12"/>
  <c r="I28" i="12"/>
  <c r="U28" i="12" s="1"/>
  <c r="F28" i="12"/>
  <c r="R28" i="12" s="1"/>
  <c r="M28" i="12"/>
  <c r="D11" i="13"/>
  <c r="N11" i="12"/>
  <c r="F11" i="12"/>
  <c r="R11" i="12" s="1"/>
  <c r="AD11" i="12" s="1"/>
  <c r="AE11" i="12" s="1"/>
  <c r="M11" i="12"/>
  <c r="L11" i="12"/>
  <c r="I11" i="12"/>
  <c r="U11" i="12" s="1"/>
  <c r="H11" i="12"/>
  <c r="T11" i="12" s="1"/>
  <c r="G11" i="12"/>
  <c r="S11" i="12" s="1"/>
  <c r="Q11" i="12"/>
  <c r="P11" i="12"/>
  <c r="O11" i="12"/>
  <c r="J11" i="12"/>
  <c r="V11" i="12" s="1"/>
  <c r="K11" i="12"/>
  <c r="D26" i="13"/>
  <c r="J26" i="12"/>
  <c r="V26" i="12" s="1"/>
  <c r="P26" i="12"/>
  <c r="H26" i="12"/>
  <c r="T26" i="12" s="1"/>
  <c r="O26" i="12"/>
  <c r="N26" i="12"/>
  <c r="M26" i="12"/>
  <c r="K26" i="12"/>
  <c r="Q26" i="12"/>
  <c r="L26" i="12"/>
  <c r="I26" i="12"/>
  <c r="U26" i="12" s="1"/>
  <c r="G26" i="12"/>
  <c r="S26" i="12" s="1"/>
  <c r="F26" i="12"/>
  <c r="R26" i="12" s="1"/>
  <c r="L23" i="12"/>
  <c r="J23" i="12"/>
  <c r="V23" i="12" s="1"/>
  <c r="D23" i="13"/>
  <c r="H23" i="12"/>
  <c r="T23" i="12" s="1"/>
  <c r="Q23" i="12"/>
  <c r="G23" i="12"/>
  <c r="S23" i="12" s="1"/>
  <c r="P23" i="12"/>
  <c r="F23" i="12"/>
  <c r="R23" i="12" s="1"/>
  <c r="I23" i="12"/>
  <c r="U23" i="12" s="1"/>
  <c r="O23" i="12"/>
  <c r="N23" i="12"/>
  <c r="K23" i="12"/>
  <c r="M23" i="12"/>
  <c r="D30" i="13"/>
  <c r="L30" i="12"/>
  <c r="J30" i="12"/>
  <c r="V30" i="12" s="1"/>
  <c r="Q30" i="12"/>
  <c r="H30" i="12"/>
  <c r="T30" i="12" s="1"/>
  <c r="G30" i="12"/>
  <c r="S30" i="12" s="1"/>
  <c r="F30" i="12"/>
  <c r="R30" i="12" s="1"/>
  <c r="P30" i="12"/>
  <c r="N30" i="12"/>
  <c r="I30" i="12"/>
  <c r="U30" i="12" s="1"/>
  <c r="O30" i="12"/>
  <c r="K30" i="12"/>
  <c r="M30" i="12"/>
  <c r="D13" i="13"/>
  <c r="J13" i="12"/>
  <c r="V13" i="12" s="1"/>
  <c r="Q13" i="12"/>
  <c r="I13" i="12"/>
  <c r="U13" i="12" s="1"/>
  <c r="P13" i="12"/>
  <c r="H13" i="12"/>
  <c r="T13" i="12" s="1"/>
  <c r="O13" i="12"/>
  <c r="N13" i="12"/>
  <c r="M13" i="12"/>
  <c r="L13" i="12"/>
  <c r="K13" i="12"/>
  <c r="G13" i="12"/>
  <c r="S13" i="12" s="1"/>
  <c r="F13" i="12"/>
  <c r="R13" i="12" s="1"/>
  <c r="AD13" i="12" s="1"/>
  <c r="AE13" i="12" s="1"/>
  <c r="D17" i="13"/>
  <c r="P17" i="12"/>
  <c r="H17" i="12"/>
  <c r="T17" i="12" s="1"/>
  <c r="N17" i="12"/>
  <c r="F17" i="12"/>
  <c r="R17" i="12" s="1"/>
  <c r="Q17" i="12"/>
  <c r="O17" i="12"/>
  <c r="M17" i="12"/>
  <c r="L17" i="12"/>
  <c r="K17" i="12"/>
  <c r="J17" i="12"/>
  <c r="V17" i="12" s="1"/>
  <c r="I17" i="12"/>
  <c r="U17" i="12" s="1"/>
  <c r="G17" i="12"/>
  <c r="S17" i="12" s="1"/>
  <c r="E5" i="12"/>
  <c r="D12" i="13"/>
  <c r="P12" i="12"/>
  <c r="H12" i="12"/>
  <c r="T12" i="12" s="1"/>
  <c r="O12" i="12"/>
  <c r="G12" i="12"/>
  <c r="S12" i="12" s="1"/>
  <c r="N12" i="12"/>
  <c r="F12" i="12"/>
  <c r="R12" i="12" s="1"/>
  <c r="L12" i="12"/>
  <c r="K12" i="12"/>
  <c r="J12" i="12"/>
  <c r="V12" i="12" s="1"/>
  <c r="I12" i="12"/>
  <c r="U12" i="12" s="1"/>
  <c r="M12" i="12"/>
  <c r="Q12" i="12"/>
  <c r="P32" i="12"/>
  <c r="H32" i="12"/>
  <c r="T32" i="12" s="1"/>
  <c r="L32" i="12"/>
  <c r="J32" i="12"/>
  <c r="V32" i="12" s="1"/>
  <c r="D32" i="13"/>
  <c r="I32" i="12"/>
  <c r="U32" i="12" s="1"/>
  <c r="G32" i="12"/>
  <c r="S32" i="12" s="1"/>
  <c r="F32" i="12"/>
  <c r="R32" i="12" s="1"/>
  <c r="O32" i="12"/>
  <c r="Q32" i="12"/>
  <c r="N32" i="12"/>
  <c r="M32" i="12"/>
  <c r="K32" i="12"/>
  <c r="D9" i="13"/>
  <c r="J9" i="12"/>
  <c r="V9" i="12" s="1"/>
  <c r="Q9" i="12"/>
  <c r="I9" i="12"/>
  <c r="U9" i="12" s="1"/>
  <c r="P9" i="12"/>
  <c r="H9" i="12"/>
  <c r="T9" i="12" s="1"/>
  <c r="F9" i="12"/>
  <c r="R9" i="12" s="1"/>
  <c r="AD9" i="12" s="1"/>
  <c r="AE9" i="12" s="1"/>
  <c r="O9" i="12"/>
  <c r="N9" i="12"/>
  <c r="M9" i="12"/>
  <c r="L9" i="12"/>
  <c r="G9" i="12"/>
  <c r="S9" i="12" s="1"/>
  <c r="K9" i="12"/>
  <c r="D8" i="13"/>
  <c r="P8" i="12"/>
  <c r="H8" i="12"/>
  <c r="T8" i="12" s="1"/>
  <c r="O8" i="12"/>
  <c r="G8" i="12"/>
  <c r="S8" i="12" s="1"/>
  <c r="N8" i="12"/>
  <c r="F8" i="12"/>
  <c r="R8" i="12" s="1"/>
  <c r="Q8" i="12"/>
  <c r="M8" i="12"/>
  <c r="L8" i="12"/>
  <c r="K8" i="12"/>
  <c r="J8" i="12"/>
  <c r="V8" i="12" s="1"/>
  <c r="I8" i="12"/>
  <c r="U8" i="12" s="1"/>
  <c r="D18" i="13"/>
  <c r="J18" i="12"/>
  <c r="V18" i="12" s="1"/>
  <c r="P18" i="12"/>
  <c r="H18" i="12"/>
  <c r="T18" i="12" s="1"/>
  <c r="O18" i="12"/>
  <c r="N18" i="12"/>
  <c r="M18" i="12"/>
  <c r="G18" i="12"/>
  <c r="S18" i="12" s="1"/>
  <c r="F18" i="12"/>
  <c r="R18" i="12" s="1"/>
  <c r="Q18" i="12"/>
  <c r="L18" i="12"/>
  <c r="I18" i="12"/>
  <c r="U18" i="12" s="1"/>
  <c r="K18" i="12"/>
  <c r="D33" i="13"/>
  <c r="L33" i="12"/>
  <c r="J33" i="12"/>
  <c r="V33" i="12" s="1"/>
  <c r="H33" i="12"/>
  <c r="T33" i="12" s="1"/>
  <c r="P33" i="12"/>
  <c r="F33" i="12"/>
  <c r="R33" i="12" s="1"/>
  <c r="M33" i="12"/>
  <c r="K33" i="12"/>
  <c r="I33" i="12"/>
  <c r="U33" i="12" s="1"/>
  <c r="Q33" i="12"/>
  <c r="O33" i="12"/>
  <c r="G33" i="12"/>
  <c r="S33" i="12" s="1"/>
  <c r="N33" i="12"/>
  <c r="D25" i="13"/>
  <c r="P25" i="12"/>
  <c r="H25" i="12"/>
  <c r="T25" i="12" s="1"/>
  <c r="N25" i="12"/>
  <c r="F25" i="12"/>
  <c r="R25" i="12" s="1"/>
  <c r="Q25" i="12"/>
  <c r="O25" i="12"/>
  <c r="M25" i="12"/>
  <c r="I25" i="12"/>
  <c r="U25" i="12" s="1"/>
  <c r="G25" i="12"/>
  <c r="S25" i="12" s="1"/>
  <c r="L25" i="12"/>
  <c r="J25" i="12"/>
  <c r="V25" i="12" s="1"/>
  <c r="K25" i="12"/>
  <c r="D15" i="13"/>
  <c r="N15" i="12"/>
  <c r="F15" i="12"/>
  <c r="R15" i="12" s="1"/>
  <c r="M15" i="12"/>
  <c r="L15" i="12"/>
  <c r="G15" i="12"/>
  <c r="S15" i="12" s="1"/>
  <c r="Q15" i="12"/>
  <c r="P15" i="12"/>
  <c r="O15" i="12"/>
  <c r="K15" i="12"/>
  <c r="J15" i="12"/>
  <c r="V15" i="12" s="1"/>
  <c r="H15" i="12"/>
  <c r="T15" i="12" s="1"/>
  <c r="I15" i="12"/>
  <c r="U15" i="12" s="1"/>
  <c r="H16" i="5"/>
  <c r="E16" i="12" s="1"/>
  <c r="H19" i="5"/>
  <c r="E19" i="12" s="1"/>
  <c r="D5" i="7"/>
  <c r="D11" i="7" s="1"/>
  <c r="H7" i="5"/>
  <c r="E7" i="12" s="1"/>
  <c r="H31" i="5"/>
  <c r="E31" i="12" s="1"/>
  <c r="I9" i="18"/>
  <c r="M9" i="18"/>
  <c r="L9" i="18"/>
  <c r="K9" i="11"/>
  <c r="K11" i="11"/>
  <c r="K13" i="11"/>
  <c r="K15" i="11"/>
  <c r="K17" i="11"/>
  <c r="K19" i="11"/>
  <c r="K21" i="11"/>
  <c r="K23" i="11"/>
  <c r="K25" i="11"/>
  <c r="K27" i="11"/>
  <c r="K29" i="11"/>
  <c r="K31" i="11"/>
  <c r="K33" i="11"/>
  <c r="K35" i="11"/>
  <c r="K37" i="11"/>
  <c r="K39" i="11"/>
  <c r="K41" i="11"/>
  <c r="K43" i="11"/>
  <c r="K45" i="11"/>
  <c r="K47" i="11"/>
  <c r="K49" i="11"/>
  <c r="K51" i="11"/>
  <c r="K53" i="11"/>
  <c r="K55" i="11"/>
  <c r="K57" i="11"/>
  <c r="K59" i="11"/>
  <c r="K61" i="11"/>
  <c r="K63" i="11"/>
  <c r="K65" i="11"/>
  <c r="K67" i="11"/>
  <c r="K69" i="11"/>
  <c r="K71" i="11"/>
  <c r="L80" i="11"/>
  <c r="J88" i="11"/>
  <c r="I88" i="11"/>
  <c r="H88" i="11"/>
  <c r="L99" i="11"/>
  <c r="J104" i="11"/>
  <c r="I104" i="11"/>
  <c r="H104" i="11"/>
  <c r="J120" i="11"/>
  <c r="I120" i="11"/>
  <c r="H120" i="11"/>
  <c r="H10" i="5"/>
  <c r="E10" i="12" s="1"/>
  <c r="I5" i="18"/>
  <c r="G11" i="18"/>
  <c r="M5" i="18"/>
  <c r="L5" i="18"/>
  <c r="L79" i="11"/>
  <c r="K79" i="11"/>
  <c r="J94" i="11"/>
  <c r="I94" i="11"/>
  <c r="H94" i="11"/>
  <c r="J110" i="11"/>
  <c r="I110" i="11"/>
  <c r="H110" i="11"/>
  <c r="J126" i="11"/>
  <c r="I126" i="11"/>
  <c r="H126" i="11"/>
  <c r="H29" i="5"/>
  <c r="E29" i="12" s="1"/>
  <c r="I8" i="18"/>
  <c r="M8" i="18"/>
  <c r="L8" i="18"/>
  <c r="H76" i="11"/>
  <c r="J84" i="11"/>
  <c r="I84" i="11"/>
  <c r="H84" i="11"/>
  <c r="H93" i="11"/>
  <c r="J100" i="11"/>
  <c r="I100" i="11"/>
  <c r="H100" i="11"/>
  <c r="J116" i="11"/>
  <c r="I116" i="11"/>
  <c r="H116" i="11"/>
  <c r="J132" i="11"/>
  <c r="L167" i="11"/>
  <c r="K167" i="11"/>
  <c r="N24" i="12"/>
  <c r="F24" i="12"/>
  <c r="R24" i="12" s="1"/>
  <c r="D24" i="13"/>
  <c r="L24" i="12"/>
  <c r="Q24" i="12"/>
  <c r="G24" i="12"/>
  <c r="S24" i="12" s="1"/>
  <c r="P24" i="12"/>
  <c r="O24" i="12"/>
  <c r="M24" i="12"/>
  <c r="K24" i="12"/>
  <c r="J24" i="12"/>
  <c r="V24" i="12" s="1"/>
  <c r="I24" i="12"/>
  <c r="U24" i="12" s="1"/>
  <c r="H24" i="12"/>
  <c r="T24" i="12" s="1"/>
  <c r="J8" i="11"/>
  <c r="J10" i="11"/>
  <c r="J12" i="11"/>
  <c r="J14" i="11"/>
  <c r="J16" i="11"/>
  <c r="J18" i="11"/>
  <c r="J20" i="11"/>
  <c r="J22" i="11"/>
  <c r="J24" i="11"/>
  <c r="J26" i="11"/>
  <c r="J28" i="11"/>
  <c r="J30" i="11"/>
  <c r="J32" i="11"/>
  <c r="J34" i="11"/>
  <c r="J36" i="11"/>
  <c r="J38" i="11"/>
  <c r="J40" i="11"/>
  <c r="J42" i="11"/>
  <c r="J44" i="11"/>
  <c r="J46" i="11"/>
  <c r="J48" i="11"/>
  <c r="J50" i="11"/>
  <c r="J52" i="11"/>
  <c r="J54" i="11"/>
  <c r="J56" i="11"/>
  <c r="J58" i="11"/>
  <c r="J60" i="11"/>
  <c r="J62" i="11"/>
  <c r="J64" i="11"/>
  <c r="J66" i="11"/>
  <c r="J68" i="11"/>
  <c r="J70" i="11"/>
  <c r="K72" i="11"/>
  <c r="I75" i="11"/>
  <c r="K78" i="11"/>
  <c r="J80" i="11"/>
  <c r="H80" i="11"/>
  <c r="K88" i="11"/>
  <c r="J90" i="11"/>
  <c r="I90" i="11"/>
  <c r="H90" i="11"/>
  <c r="I93" i="11"/>
  <c r="L101" i="11"/>
  <c r="K104" i="11"/>
  <c r="J106" i="11"/>
  <c r="I106" i="11"/>
  <c r="H106" i="11"/>
  <c r="K120" i="11"/>
  <c r="J122" i="11"/>
  <c r="I122" i="11"/>
  <c r="H122" i="11"/>
  <c r="K8" i="11"/>
  <c r="K10" i="11"/>
  <c r="K12" i="11"/>
  <c r="K14" i="11"/>
  <c r="K16" i="11"/>
  <c r="K18" i="11"/>
  <c r="K20" i="11"/>
  <c r="K22" i="11"/>
  <c r="K24" i="11"/>
  <c r="K26" i="11"/>
  <c r="K28" i="11"/>
  <c r="K30" i="11"/>
  <c r="K32" i="11"/>
  <c r="K34" i="11"/>
  <c r="K36" i="11"/>
  <c r="K38" i="11"/>
  <c r="K40" i="11"/>
  <c r="K42" i="11"/>
  <c r="K44" i="11"/>
  <c r="K46" i="11"/>
  <c r="K48" i="11"/>
  <c r="K50" i="11"/>
  <c r="K52" i="11"/>
  <c r="K54" i="11"/>
  <c r="K56" i="11"/>
  <c r="K58" i="11"/>
  <c r="K60" i="11"/>
  <c r="K62" i="11"/>
  <c r="K64" i="11"/>
  <c r="K66" i="11"/>
  <c r="K68" i="11"/>
  <c r="K70" i="11"/>
  <c r="H73" i="11"/>
  <c r="J75" i="11"/>
  <c r="H79" i="11"/>
  <c r="L88" i="11"/>
  <c r="K94" i="11"/>
  <c r="J96" i="11"/>
  <c r="I96" i="11"/>
  <c r="H96" i="11"/>
  <c r="I99" i="11"/>
  <c r="L104" i="11"/>
  <c r="K110" i="11"/>
  <c r="J112" i="11"/>
  <c r="I112" i="11"/>
  <c r="H112" i="11"/>
  <c r="L120" i="11"/>
  <c r="K126" i="11"/>
  <c r="J128" i="11"/>
  <c r="I128" i="11"/>
  <c r="H128" i="11"/>
  <c r="H143" i="11"/>
  <c r="L143" i="11"/>
  <c r="K143" i="11"/>
  <c r="J143" i="11"/>
  <c r="I143" i="11"/>
  <c r="H14" i="5"/>
  <c r="E14" i="12" s="1"/>
  <c r="D22" i="13"/>
  <c r="J22" i="12"/>
  <c r="V22" i="12" s="1"/>
  <c r="P22" i="12"/>
  <c r="H22" i="12"/>
  <c r="T22" i="12" s="1"/>
  <c r="K22" i="12"/>
  <c r="I22" i="12"/>
  <c r="U22" i="12" s="1"/>
  <c r="G22" i="12"/>
  <c r="S22" i="12" s="1"/>
  <c r="N22" i="12"/>
  <c r="M22" i="12"/>
  <c r="L22" i="12"/>
  <c r="F22" i="12"/>
  <c r="R22" i="12" s="1"/>
  <c r="O22" i="12"/>
  <c r="Q22" i="12"/>
  <c r="H9" i="11"/>
  <c r="H184" i="11" s="1"/>
  <c r="H11" i="11"/>
  <c r="H13" i="11"/>
  <c r="H15" i="11"/>
  <c r="H17" i="11"/>
  <c r="H19" i="11"/>
  <c r="H21" i="11"/>
  <c r="H23" i="11"/>
  <c r="H25" i="11"/>
  <c r="H27" i="11"/>
  <c r="H29" i="11"/>
  <c r="H31" i="11"/>
  <c r="H33" i="11"/>
  <c r="H35" i="11"/>
  <c r="H37" i="11"/>
  <c r="H39" i="11"/>
  <c r="H41" i="11"/>
  <c r="H43" i="11"/>
  <c r="H45" i="11"/>
  <c r="H47" i="11"/>
  <c r="H49" i="11"/>
  <c r="H51" i="11"/>
  <c r="H53" i="11"/>
  <c r="H55" i="11"/>
  <c r="H57" i="11"/>
  <c r="H59" i="11"/>
  <c r="H61" i="11"/>
  <c r="H63" i="11"/>
  <c r="H65" i="11"/>
  <c r="H67" i="11"/>
  <c r="H69" i="11"/>
  <c r="H71" i="11"/>
  <c r="I73" i="11"/>
  <c r="K75" i="11"/>
  <c r="I76" i="11"/>
  <c r="L77" i="11"/>
  <c r="L184" i="11" s="1"/>
  <c r="G9" i="7" s="1"/>
  <c r="K77" i="11"/>
  <c r="I79" i="11"/>
  <c r="L81" i="11"/>
  <c r="K81" i="11"/>
  <c r="K84" i="11"/>
  <c r="J86" i="11"/>
  <c r="I86" i="11"/>
  <c r="H86" i="11"/>
  <c r="L94" i="11"/>
  <c r="L97" i="11"/>
  <c r="K100" i="11"/>
  <c r="J102" i="11"/>
  <c r="I102" i="11"/>
  <c r="H102" i="11"/>
  <c r="L110" i="11"/>
  <c r="K116" i="11"/>
  <c r="J118" i="11"/>
  <c r="I118" i="11"/>
  <c r="H118" i="11"/>
  <c r="L126" i="11"/>
  <c r="K132" i="11"/>
  <c r="J134" i="11"/>
  <c r="H21" i="5"/>
  <c r="E21" i="12" s="1"/>
  <c r="I7" i="18"/>
  <c r="M7" i="18"/>
  <c r="L7" i="18"/>
  <c r="H27" i="5"/>
  <c r="E27" i="12" s="1"/>
  <c r="D6" i="13"/>
  <c r="L6" i="12"/>
  <c r="K6" i="12"/>
  <c r="O6" i="12"/>
  <c r="N6" i="12"/>
  <c r="M6" i="12"/>
  <c r="J6" i="12"/>
  <c r="V6" i="12" s="1"/>
  <c r="I6" i="12"/>
  <c r="U6" i="12" s="1"/>
  <c r="H6" i="12"/>
  <c r="T6" i="12" s="1"/>
  <c r="P6" i="12"/>
  <c r="F6" i="12"/>
  <c r="R6" i="12" s="1"/>
  <c r="Q6" i="12"/>
  <c r="G6" i="12"/>
  <c r="S6" i="12" s="1"/>
  <c r="F5" i="7"/>
  <c r="I9" i="11"/>
  <c r="I184" i="11" s="1"/>
  <c r="G6" i="7" s="1"/>
  <c r="I11" i="11"/>
  <c r="I13" i="11"/>
  <c r="I15" i="11"/>
  <c r="I17" i="11"/>
  <c r="I19" i="11"/>
  <c r="I21" i="11"/>
  <c r="I23" i="11"/>
  <c r="I25" i="11"/>
  <c r="I27" i="11"/>
  <c r="I29" i="11"/>
  <c r="I31" i="11"/>
  <c r="I33" i="11"/>
  <c r="I35" i="11"/>
  <c r="I37" i="11"/>
  <c r="I39" i="11"/>
  <c r="I41" i="11"/>
  <c r="I43" i="11"/>
  <c r="I45" i="11"/>
  <c r="I47" i="11"/>
  <c r="I49" i="11"/>
  <c r="I51" i="11"/>
  <c r="I53" i="11"/>
  <c r="I55" i="11"/>
  <c r="I57" i="11"/>
  <c r="I59" i="11"/>
  <c r="I61" i="11"/>
  <c r="I63" i="11"/>
  <c r="I65" i="11"/>
  <c r="I67" i="11"/>
  <c r="I69" i="11"/>
  <c r="I71" i="11"/>
  <c r="H72" i="11"/>
  <c r="J73" i="11"/>
  <c r="J76" i="11"/>
  <c r="J79" i="11"/>
  <c r="I80" i="11"/>
  <c r="L84" i="11"/>
  <c r="K90" i="11"/>
  <c r="J92" i="11"/>
  <c r="I92" i="11"/>
  <c r="H92" i="11"/>
  <c r="L100" i="11"/>
  <c r="K106" i="11"/>
  <c r="J108" i="11"/>
  <c r="I108" i="11"/>
  <c r="H108" i="11"/>
  <c r="L116" i="11"/>
  <c r="K122" i="11"/>
  <c r="J124" i="11"/>
  <c r="I124" i="11"/>
  <c r="H124" i="11"/>
  <c r="L146" i="11"/>
  <c r="J146" i="11"/>
  <c r="K146" i="11"/>
  <c r="I146" i="11"/>
  <c r="H146" i="11"/>
  <c r="N20" i="12"/>
  <c r="F20" i="12"/>
  <c r="R20" i="12" s="1"/>
  <c r="L20" i="12"/>
  <c r="D20" i="13"/>
  <c r="K20" i="12"/>
  <c r="J20" i="12"/>
  <c r="V20" i="12" s="1"/>
  <c r="I20" i="12"/>
  <c r="U20" i="12" s="1"/>
  <c r="G20" i="12"/>
  <c r="S20" i="12" s="1"/>
  <c r="Q20" i="12"/>
  <c r="P20" i="12"/>
  <c r="O20" i="12"/>
  <c r="H20" i="12"/>
  <c r="T20" i="12" s="1"/>
  <c r="M20" i="12"/>
  <c r="I6" i="18"/>
  <c r="M6" i="18"/>
  <c r="L6" i="18"/>
  <c r="K73" i="11"/>
  <c r="K76" i="11"/>
  <c r="J78" i="11"/>
  <c r="H78" i="11"/>
  <c r="J82" i="11"/>
  <c r="I82" i="11"/>
  <c r="H82" i="11"/>
  <c r="L93" i="11"/>
  <c r="J98" i="11"/>
  <c r="I98" i="11"/>
  <c r="H98" i="11"/>
  <c r="J114" i="11"/>
  <c r="I114" i="11"/>
  <c r="H114" i="11"/>
  <c r="J130" i="11"/>
  <c r="I130" i="11"/>
  <c r="H130" i="11"/>
  <c r="K134" i="11"/>
  <c r="K136" i="11"/>
  <c r="L140" i="11"/>
  <c r="K141" i="11"/>
  <c r="K147" i="11"/>
  <c r="L152" i="11"/>
  <c r="J152" i="11"/>
  <c r="K157" i="11"/>
  <c r="L138" i="11"/>
  <c r="H153" i="11"/>
  <c r="L156" i="11"/>
  <c r="K156" i="11"/>
  <c r="J156" i="11"/>
  <c r="L160" i="11"/>
  <c r="K160" i="11"/>
  <c r="J160" i="11"/>
  <c r="J163" i="11"/>
  <c r="I167" i="11"/>
  <c r="L150" i="11"/>
  <c r="J150" i="11"/>
  <c r="K83" i="11"/>
  <c r="K85" i="11"/>
  <c r="K87" i="11"/>
  <c r="K89" i="11"/>
  <c r="K91" i="11"/>
  <c r="K93" i="11"/>
  <c r="K95" i="11"/>
  <c r="K97" i="11"/>
  <c r="K99" i="11"/>
  <c r="K101" i="11"/>
  <c r="K103" i="11"/>
  <c r="K105" i="11"/>
  <c r="K107" i="11"/>
  <c r="K109" i="11"/>
  <c r="K111" i="11"/>
  <c r="K113" i="11"/>
  <c r="K115" i="11"/>
  <c r="K117" i="11"/>
  <c r="K119" i="11"/>
  <c r="K121" i="11"/>
  <c r="K123" i="11"/>
  <c r="K125" i="11"/>
  <c r="K127" i="11"/>
  <c r="K129" i="11"/>
  <c r="K131" i="11"/>
  <c r="K133" i="11"/>
  <c r="K135" i="11"/>
  <c r="K137" i="11"/>
  <c r="I140" i="11"/>
  <c r="K142" i="11"/>
  <c r="L144" i="11"/>
  <c r="J144" i="11"/>
  <c r="L145" i="11"/>
  <c r="J149" i="11"/>
  <c r="I152" i="11"/>
  <c r="K155" i="11"/>
  <c r="K159" i="11"/>
  <c r="K165" i="11"/>
  <c r="I171" i="11"/>
  <c r="H132" i="11"/>
  <c r="H134" i="11"/>
  <c r="H136" i="11"/>
  <c r="H138" i="11"/>
  <c r="H139" i="11"/>
  <c r="J140" i="11"/>
  <c r="K149" i="11"/>
  <c r="K152" i="11"/>
  <c r="I153" i="11"/>
  <c r="L154" i="11"/>
  <c r="J154" i="11"/>
  <c r="H156" i="11"/>
  <c r="H160" i="11"/>
  <c r="L165" i="11"/>
  <c r="I132" i="11"/>
  <c r="I134" i="11"/>
  <c r="I136" i="11"/>
  <c r="I138" i="11"/>
  <c r="K140" i="11"/>
  <c r="I141" i="11"/>
  <c r="I147" i="11"/>
  <c r="L148" i="11"/>
  <c r="J148" i="11"/>
  <c r="L149" i="11"/>
  <c r="H150" i="11"/>
  <c r="J153" i="11"/>
  <c r="I156" i="11"/>
  <c r="I157" i="11"/>
  <c r="L158" i="11"/>
  <c r="K158" i="11"/>
  <c r="J158" i="11"/>
  <c r="I160" i="11"/>
  <c r="I161" i="11"/>
  <c r="J138" i="11"/>
  <c r="J141" i="11"/>
  <c r="H144" i="11"/>
  <c r="J147" i="11"/>
  <c r="I150" i="11"/>
  <c r="K153" i="11"/>
  <c r="H155" i="11"/>
  <c r="J157" i="11"/>
  <c r="H159" i="11"/>
  <c r="J161" i="11"/>
  <c r="I163" i="11"/>
  <c r="J175" i="11"/>
  <c r="I175" i="11"/>
  <c r="L175" i="11"/>
  <c r="K175" i="11"/>
  <c r="H175" i="11"/>
  <c r="J167" i="11"/>
  <c r="J169" i="11"/>
  <c r="J171" i="11"/>
  <c r="J176" i="11"/>
  <c r="L178" i="11"/>
  <c r="L181" i="11"/>
  <c r="L176" i="11"/>
  <c r="I164" i="11"/>
  <c r="I166" i="11"/>
  <c r="I168" i="11"/>
  <c r="I170" i="11"/>
  <c r="I172" i="11"/>
  <c r="J173" i="11"/>
  <c r="I173" i="11"/>
  <c r="K177" i="11"/>
  <c r="J181" i="11"/>
  <c r="I181" i="11"/>
  <c r="J162" i="11"/>
  <c r="J164" i="11"/>
  <c r="J166" i="11"/>
  <c r="J168" i="11"/>
  <c r="J170" i="11"/>
  <c r="J172" i="11"/>
  <c r="H178" i="11"/>
  <c r="J180" i="11"/>
  <c r="K162" i="11"/>
  <c r="K164" i="11"/>
  <c r="K166" i="11"/>
  <c r="K168" i="11"/>
  <c r="K170" i="11"/>
  <c r="K172" i="11"/>
  <c r="I178" i="11"/>
  <c r="J179" i="11"/>
  <c r="I179" i="11"/>
  <c r="K180" i="11"/>
  <c r="H163" i="11"/>
  <c r="H165" i="11"/>
  <c r="H167" i="11"/>
  <c r="H169" i="11"/>
  <c r="H171" i="11"/>
  <c r="H173" i="11"/>
  <c r="H176" i="11"/>
  <c r="J178" i="11"/>
  <c r="H181" i="11"/>
  <c r="K173" i="11"/>
  <c r="J177" i="11"/>
  <c r="I177" i="11"/>
  <c r="C9" i="15"/>
  <c r="C14" i="15"/>
  <c r="C5" i="15"/>
  <c r="C16" i="15"/>
  <c r="C12" i="15"/>
  <c r="C8" i="15"/>
  <c r="C15" i="15"/>
  <c r="C11" i="15"/>
  <c r="C7" i="15"/>
  <c r="C6" i="15"/>
  <c r="G5" i="7" l="1"/>
  <c r="L19" i="12"/>
  <c r="J19" i="12"/>
  <c r="V19" i="12" s="1"/>
  <c r="N19" i="12"/>
  <c r="M19" i="12"/>
  <c r="K19" i="12"/>
  <c r="O19" i="12"/>
  <c r="I19" i="12"/>
  <c r="U19" i="12" s="1"/>
  <c r="H19" i="12"/>
  <c r="T19" i="12" s="1"/>
  <c r="G19" i="12"/>
  <c r="S19" i="12" s="1"/>
  <c r="F19" i="12"/>
  <c r="R19" i="12" s="1"/>
  <c r="D19" i="13"/>
  <c r="P19" i="12"/>
  <c r="Q19" i="12"/>
  <c r="F33" i="13"/>
  <c r="E33" i="13"/>
  <c r="Q33" i="13" s="1"/>
  <c r="P33" i="13"/>
  <c r="P9" i="13"/>
  <c r="F9" i="13"/>
  <c r="E9" i="13"/>
  <c r="Q9" i="13" s="1"/>
  <c r="F22" i="13"/>
  <c r="P22" i="13"/>
  <c r="E22" i="13"/>
  <c r="Q22" i="13" s="1"/>
  <c r="AD24" i="12"/>
  <c r="AE24" i="12" s="1"/>
  <c r="N16" i="12"/>
  <c r="Q16" i="12"/>
  <c r="H16" i="12"/>
  <c r="T16" i="12" s="1"/>
  <c r="P16" i="12"/>
  <c r="G16" i="12"/>
  <c r="S16" i="12" s="1"/>
  <c r="D16" i="13"/>
  <c r="O16" i="12"/>
  <c r="F16" i="12"/>
  <c r="R16" i="12" s="1"/>
  <c r="AD16" i="12" s="1"/>
  <c r="AE16" i="12" s="1"/>
  <c r="J16" i="12"/>
  <c r="V16" i="12" s="1"/>
  <c r="I16" i="12"/>
  <c r="U16" i="12" s="1"/>
  <c r="M16" i="12"/>
  <c r="K16" i="12"/>
  <c r="L16" i="12"/>
  <c r="F32" i="13"/>
  <c r="P32" i="13"/>
  <c r="E32" i="13"/>
  <c r="Q32" i="13" s="1"/>
  <c r="F17" i="13"/>
  <c r="E17" i="13"/>
  <c r="Q17" i="13" s="1"/>
  <c r="P17" i="13"/>
  <c r="AD23" i="12"/>
  <c r="AE23" i="12" s="1"/>
  <c r="AD26" i="12"/>
  <c r="AE26" i="12" s="1"/>
  <c r="D21" i="13"/>
  <c r="P21" i="12"/>
  <c r="H21" i="12"/>
  <c r="T21" i="12" s="1"/>
  <c r="N21" i="12"/>
  <c r="F21" i="12"/>
  <c r="R21" i="12" s="1"/>
  <c r="K21" i="12"/>
  <c r="J21" i="12"/>
  <c r="V21" i="12" s="1"/>
  <c r="I21" i="12"/>
  <c r="U21" i="12" s="1"/>
  <c r="Q21" i="12"/>
  <c r="O21" i="12"/>
  <c r="M21" i="12"/>
  <c r="L21" i="12"/>
  <c r="G21" i="12"/>
  <c r="S21" i="12" s="1"/>
  <c r="D14" i="13"/>
  <c r="L14" i="12"/>
  <c r="K14" i="12"/>
  <c r="J14" i="12"/>
  <c r="V14" i="12" s="1"/>
  <c r="P14" i="12"/>
  <c r="O14" i="12"/>
  <c r="N14" i="12"/>
  <c r="M14" i="12"/>
  <c r="I14" i="12"/>
  <c r="U14" i="12" s="1"/>
  <c r="H14" i="12"/>
  <c r="T14" i="12" s="1"/>
  <c r="Q14" i="12"/>
  <c r="F14" i="12"/>
  <c r="R14" i="12" s="1"/>
  <c r="G14" i="12"/>
  <c r="S14" i="12" s="1"/>
  <c r="K184" i="11"/>
  <c r="G8" i="7" s="1"/>
  <c r="P12" i="13"/>
  <c r="F12" i="13"/>
  <c r="E12" i="13"/>
  <c r="Q12" i="13" s="1"/>
  <c r="F11" i="13"/>
  <c r="P11" i="13"/>
  <c r="E11" i="13"/>
  <c r="Q11" i="13" s="1"/>
  <c r="F24" i="13"/>
  <c r="P24" i="13"/>
  <c r="E24" i="13"/>
  <c r="Q24" i="13" s="1"/>
  <c r="F20" i="13"/>
  <c r="E20" i="13"/>
  <c r="Q20" i="13" s="1"/>
  <c r="P20" i="13"/>
  <c r="AD6" i="12"/>
  <c r="AE6" i="12" s="1"/>
  <c r="P25" i="13"/>
  <c r="E25" i="13"/>
  <c r="Q25" i="13" s="1"/>
  <c r="F25" i="13"/>
  <c r="AD33" i="12"/>
  <c r="AE33" i="12" s="1"/>
  <c r="F8" i="13"/>
  <c r="P8" i="13"/>
  <c r="E8" i="13"/>
  <c r="Q8" i="13" s="1"/>
  <c r="H35" i="5"/>
  <c r="F30" i="13"/>
  <c r="E30" i="13"/>
  <c r="Q30" i="13" s="1"/>
  <c r="P30" i="13"/>
  <c r="M11" i="18"/>
  <c r="L11" i="18"/>
  <c r="C10" i="4"/>
  <c r="AD15" i="12"/>
  <c r="AE15" i="12" s="1"/>
  <c r="AD12" i="12"/>
  <c r="AE12" i="12" s="1"/>
  <c r="D5" i="13"/>
  <c r="E35" i="12"/>
  <c r="J5" i="12"/>
  <c r="V5" i="12" s="1"/>
  <c r="Q5" i="12"/>
  <c r="I5" i="12"/>
  <c r="U5" i="12" s="1"/>
  <c r="G5" i="12"/>
  <c r="S5" i="12" s="1"/>
  <c r="P5" i="12"/>
  <c r="F5" i="12"/>
  <c r="R5" i="12" s="1"/>
  <c r="O5" i="12"/>
  <c r="N5" i="12"/>
  <c r="M5" i="12"/>
  <c r="L5" i="12"/>
  <c r="H5" i="12"/>
  <c r="T5" i="12" s="1"/>
  <c r="K5" i="12"/>
  <c r="AD28" i="12"/>
  <c r="AE28" i="12" s="1"/>
  <c r="AD20" i="12"/>
  <c r="AE20" i="12" s="1"/>
  <c r="F6" i="13"/>
  <c r="P6" i="13"/>
  <c r="E6" i="13"/>
  <c r="Q6" i="13" s="1"/>
  <c r="J184" i="11"/>
  <c r="G7" i="7" s="1"/>
  <c r="D29" i="13"/>
  <c r="J29" i="12"/>
  <c r="V29" i="12" s="1"/>
  <c r="O29" i="12"/>
  <c r="F29" i="12"/>
  <c r="R29" i="12" s="1"/>
  <c r="AD29" i="12" s="1"/>
  <c r="AE29" i="12" s="1"/>
  <c r="M29" i="12"/>
  <c r="G29" i="12"/>
  <c r="S29" i="12" s="1"/>
  <c r="Q29" i="12"/>
  <c r="P29" i="12"/>
  <c r="L29" i="12"/>
  <c r="I29" i="12"/>
  <c r="U29" i="12" s="1"/>
  <c r="H29" i="12"/>
  <c r="T29" i="12" s="1"/>
  <c r="K29" i="12"/>
  <c r="N29" i="12"/>
  <c r="I11" i="18"/>
  <c r="N31" i="12"/>
  <c r="F31" i="12"/>
  <c r="R31" i="12" s="1"/>
  <c r="D31" i="13"/>
  <c r="P31" i="12"/>
  <c r="G31" i="12"/>
  <c r="S31" i="12" s="1"/>
  <c r="M31" i="12"/>
  <c r="I31" i="12"/>
  <c r="U31" i="12" s="1"/>
  <c r="H31" i="12"/>
  <c r="T31" i="12" s="1"/>
  <c r="O31" i="12"/>
  <c r="Q31" i="12"/>
  <c r="L31" i="12"/>
  <c r="J31" i="12"/>
  <c r="V31" i="12" s="1"/>
  <c r="K31" i="12"/>
  <c r="AD8" i="12"/>
  <c r="AE8" i="12" s="1"/>
  <c r="AD17" i="12"/>
  <c r="AE17" i="12" s="1"/>
  <c r="AD30" i="12"/>
  <c r="AE30" i="12" s="1"/>
  <c r="F26" i="13"/>
  <c r="E26" i="13"/>
  <c r="Q26" i="13" s="1"/>
  <c r="P26" i="13"/>
  <c r="P28" i="13"/>
  <c r="F28" i="13"/>
  <c r="E28" i="13"/>
  <c r="Q28" i="13" s="1"/>
  <c r="D10" i="13"/>
  <c r="L10" i="12"/>
  <c r="K10" i="12"/>
  <c r="J10" i="12"/>
  <c r="V10" i="12" s="1"/>
  <c r="G10" i="12"/>
  <c r="S10" i="12" s="1"/>
  <c r="Q10" i="12"/>
  <c r="F10" i="12"/>
  <c r="R10" i="12" s="1"/>
  <c r="AD10" i="12" s="1"/>
  <c r="AE10" i="12" s="1"/>
  <c r="P10" i="12"/>
  <c r="O10" i="12"/>
  <c r="N10" i="12"/>
  <c r="M10" i="12"/>
  <c r="H10" i="12"/>
  <c r="T10" i="12" s="1"/>
  <c r="I10" i="12"/>
  <c r="U10" i="12" s="1"/>
  <c r="N7" i="12"/>
  <c r="F7" i="12"/>
  <c r="R7" i="12" s="1"/>
  <c r="M7" i="12"/>
  <c r="O7" i="12"/>
  <c r="D7" i="13"/>
  <c r="L7" i="12"/>
  <c r="K7" i="12"/>
  <c r="J7" i="12"/>
  <c r="V7" i="12" s="1"/>
  <c r="I7" i="12"/>
  <c r="U7" i="12" s="1"/>
  <c r="H7" i="12"/>
  <c r="T7" i="12" s="1"/>
  <c r="P7" i="12"/>
  <c r="Q7" i="12"/>
  <c r="G7" i="12"/>
  <c r="S7" i="12" s="1"/>
  <c r="F15" i="13"/>
  <c r="E15" i="13"/>
  <c r="Q15" i="13" s="1"/>
  <c r="P15" i="13"/>
  <c r="AD18" i="12"/>
  <c r="AE18" i="12" s="1"/>
  <c r="F18" i="13"/>
  <c r="E18" i="13"/>
  <c r="Q18" i="13" s="1"/>
  <c r="P18" i="13"/>
  <c r="AD32" i="12"/>
  <c r="AE32" i="12" s="1"/>
  <c r="F13" i="13"/>
  <c r="E13" i="13"/>
  <c r="Q13" i="13" s="1"/>
  <c r="P13" i="13"/>
  <c r="F23" i="13"/>
  <c r="E23" i="13"/>
  <c r="Q23" i="13" s="1"/>
  <c r="P23" i="13"/>
  <c r="N27" i="12"/>
  <c r="F27" i="12"/>
  <c r="R27" i="12" s="1"/>
  <c r="M27" i="12"/>
  <c r="D27" i="13"/>
  <c r="K27" i="12"/>
  <c r="P27" i="12"/>
  <c r="O27" i="12"/>
  <c r="L27" i="12"/>
  <c r="I27" i="12"/>
  <c r="U27" i="12" s="1"/>
  <c r="Q27" i="12"/>
  <c r="J27" i="12"/>
  <c r="V27" i="12" s="1"/>
  <c r="H27" i="12"/>
  <c r="T27" i="12" s="1"/>
  <c r="G27" i="12"/>
  <c r="S27" i="12" s="1"/>
  <c r="AD22" i="12"/>
  <c r="AE22" i="12" s="1"/>
  <c r="E10" i="7"/>
  <c r="E9" i="7"/>
  <c r="E8" i="7"/>
  <c r="E7" i="7"/>
  <c r="E6" i="7"/>
  <c r="E5" i="7"/>
  <c r="AD25" i="12"/>
  <c r="AE25" i="12" s="1"/>
  <c r="J26" i="13" l="1"/>
  <c r="H26" i="13"/>
  <c r="R26" i="13"/>
  <c r="G13" i="7"/>
  <c r="F7" i="13"/>
  <c r="P7" i="13"/>
  <c r="E7" i="13"/>
  <c r="Q7" i="13" s="1"/>
  <c r="J24" i="13"/>
  <c r="H24" i="13"/>
  <c r="R24" i="13"/>
  <c r="J33" i="13"/>
  <c r="H33" i="13"/>
  <c r="R33" i="13"/>
  <c r="AD27" i="12"/>
  <c r="AE27" i="12" s="1"/>
  <c r="F10" i="13"/>
  <c r="P10" i="13"/>
  <c r="E10" i="13"/>
  <c r="Q10" i="13" s="1"/>
  <c r="J6" i="13"/>
  <c r="R6" i="13"/>
  <c r="H6" i="13"/>
  <c r="F5" i="13"/>
  <c r="P5" i="13"/>
  <c r="D35" i="13"/>
  <c r="E5" i="13"/>
  <c r="H30" i="13"/>
  <c r="R30" i="13"/>
  <c r="J30" i="13"/>
  <c r="AD14" i="12"/>
  <c r="AE14" i="12" s="1"/>
  <c r="F21" i="13"/>
  <c r="P21" i="13"/>
  <c r="E21" i="13"/>
  <c r="Q21" i="13" s="1"/>
  <c r="J32" i="13"/>
  <c r="H32" i="13"/>
  <c r="R32" i="13"/>
  <c r="F16" i="13"/>
  <c r="E16" i="13"/>
  <c r="Q16" i="13" s="1"/>
  <c r="P16" i="13"/>
  <c r="I185" i="11"/>
  <c r="H185" i="11"/>
  <c r="R18" i="13"/>
  <c r="J18" i="13"/>
  <c r="H18" i="13"/>
  <c r="AD7" i="12"/>
  <c r="AE7" i="12" s="1"/>
  <c r="J28" i="13"/>
  <c r="H28" i="13"/>
  <c r="R28" i="13"/>
  <c r="H11" i="13"/>
  <c r="R11" i="13"/>
  <c r="J11" i="13"/>
  <c r="F19" i="13"/>
  <c r="E19" i="13"/>
  <c r="Q19" i="13" s="1"/>
  <c r="P19" i="13"/>
  <c r="J185" i="11"/>
  <c r="J22" i="13"/>
  <c r="H22" i="13"/>
  <c r="R22" i="13"/>
  <c r="F14" i="13"/>
  <c r="E14" i="13"/>
  <c r="Q14" i="13" s="1"/>
  <c r="P14" i="13"/>
  <c r="J9" i="13"/>
  <c r="R9" i="13"/>
  <c r="H9" i="13"/>
  <c r="AD19" i="12"/>
  <c r="AE19" i="12" s="1"/>
  <c r="K185" i="11"/>
  <c r="J13" i="13"/>
  <c r="H13" i="13"/>
  <c r="R13" i="13"/>
  <c r="F31" i="13"/>
  <c r="P31" i="13"/>
  <c r="E31" i="13"/>
  <c r="Q31" i="13" s="1"/>
  <c r="F29" i="13"/>
  <c r="E29" i="13"/>
  <c r="Q29" i="13" s="1"/>
  <c r="P29" i="13"/>
  <c r="J8" i="13"/>
  <c r="H8" i="13"/>
  <c r="R8" i="13"/>
  <c r="J20" i="13"/>
  <c r="H20" i="13"/>
  <c r="R20" i="13"/>
  <c r="J12" i="13"/>
  <c r="H12" i="13"/>
  <c r="R12" i="13"/>
  <c r="AD21" i="12"/>
  <c r="AE21" i="12" s="1"/>
  <c r="L185" i="11"/>
  <c r="H15" i="13"/>
  <c r="R15" i="13"/>
  <c r="J15" i="13"/>
  <c r="J25" i="13"/>
  <c r="H25" i="13"/>
  <c r="R25" i="13"/>
  <c r="AD5" i="12"/>
  <c r="H23" i="13"/>
  <c r="J23" i="13"/>
  <c r="R23" i="13"/>
  <c r="F27" i="13"/>
  <c r="P27" i="13"/>
  <c r="E27" i="13"/>
  <c r="Q27" i="13" s="1"/>
  <c r="AD31" i="12"/>
  <c r="AE31" i="12" s="1"/>
  <c r="H7" i="7"/>
  <c r="I7" i="7" s="1"/>
  <c r="J17" i="13"/>
  <c r="H17" i="13"/>
  <c r="R17" i="13"/>
  <c r="P35" i="13" l="1"/>
  <c r="H7" i="13"/>
  <c r="J7" i="13"/>
  <c r="R7" i="13"/>
  <c r="H31" i="13"/>
  <c r="R31" i="13"/>
  <c r="J31" i="13"/>
  <c r="J5" i="13"/>
  <c r="F35" i="13"/>
  <c r="R5" i="13"/>
  <c r="H5" i="13"/>
  <c r="J10" i="13"/>
  <c r="H10" i="13"/>
  <c r="R10" i="13"/>
  <c r="H6" i="7"/>
  <c r="I6" i="7" s="1"/>
  <c r="H9" i="7"/>
  <c r="I9" i="7" s="1"/>
  <c r="J21" i="13"/>
  <c r="R21" i="13"/>
  <c r="H21" i="13"/>
  <c r="AD35" i="12"/>
  <c r="G27" i="13"/>
  <c r="S27" i="13" s="1"/>
  <c r="G11" i="13"/>
  <c r="G23" i="13"/>
  <c r="G7" i="13"/>
  <c r="S7" i="13" s="1"/>
  <c r="G32" i="13"/>
  <c r="G29" i="13"/>
  <c r="S29" i="13" s="1"/>
  <c r="G26" i="13"/>
  <c r="G16" i="13"/>
  <c r="S16" i="13" s="1"/>
  <c r="G13" i="13"/>
  <c r="G19" i="13"/>
  <c r="S19" i="13" s="1"/>
  <c r="G30" i="13"/>
  <c r="G20" i="13"/>
  <c r="G31" i="13"/>
  <c r="S31" i="13" s="1"/>
  <c r="G28" i="13"/>
  <c r="G24" i="13"/>
  <c r="G25" i="13"/>
  <c r="G21" i="13"/>
  <c r="S21" i="13" s="1"/>
  <c r="G17" i="13"/>
  <c r="G22" i="13"/>
  <c r="G18" i="13"/>
  <c r="G12" i="13"/>
  <c r="G10" i="13"/>
  <c r="S10" i="13" s="1"/>
  <c r="G9" i="13"/>
  <c r="G5" i="13"/>
  <c r="K5" i="13" s="1"/>
  <c r="O5" i="13" s="1"/>
  <c r="G33" i="13"/>
  <c r="G15" i="13"/>
  <c r="AE5" i="12"/>
  <c r="G8" i="13"/>
  <c r="G6" i="13"/>
  <c r="G14" i="13"/>
  <c r="S14" i="13" s="1"/>
  <c r="H14" i="13"/>
  <c r="R14" i="13"/>
  <c r="J14" i="13"/>
  <c r="K14" i="13"/>
  <c r="O14" i="13" s="1"/>
  <c r="H19" i="13"/>
  <c r="J19" i="13"/>
  <c r="R19" i="13"/>
  <c r="H5" i="7"/>
  <c r="I5" i="7" s="1"/>
  <c r="H27" i="13"/>
  <c r="R27" i="13"/>
  <c r="K27" i="13"/>
  <c r="O27" i="13" s="1"/>
  <c r="I27" i="13"/>
  <c r="J27" i="13"/>
  <c r="J16" i="13"/>
  <c r="H16" i="13"/>
  <c r="I16" i="13"/>
  <c r="R16" i="13"/>
  <c r="K16" i="13"/>
  <c r="O16" i="13" s="1"/>
  <c r="J29" i="13"/>
  <c r="K29" i="13"/>
  <c r="O29" i="13" s="1"/>
  <c r="H29" i="13"/>
  <c r="R29" i="13"/>
  <c r="I29" i="13"/>
  <c r="H8" i="7"/>
  <c r="I8" i="7" s="1"/>
  <c r="E35" i="13"/>
  <c r="Q5" i="13"/>
  <c r="Q35" i="13" s="1"/>
  <c r="S15" i="13" l="1"/>
  <c r="I15" i="13"/>
  <c r="K15" i="13"/>
  <c r="D31" i="4"/>
  <c r="S13" i="13"/>
  <c r="K13" i="13"/>
  <c r="I13" i="13"/>
  <c r="S17" i="13"/>
  <c r="K17" i="13"/>
  <c r="I17" i="13"/>
  <c r="S33" i="13"/>
  <c r="I33" i="13"/>
  <c r="K33" i="13"/>
  <c r="K19" i="13"/>
  <c r="O19" i="13" s="1"/>
  <c r="G35" i="13"/>
  <c r="C7" i="4" s="1"/>
  <c r="S5" i="13"/>
  <c r="S25" i="13"/>
  <c r="K25" i="13"/>
  <c r="I25" i="13"/>
  <c r="I10" i="13"/>
  <c r="R35" i="13"/>
  <c r="C11" i="4" s="1"/>
  <c r="K7" i="13"/>
  <c r="O7" i="13" s="1"/>
  <c r="S9" i="13"/>
  <c r="K9" i="13"/>
  <c r="I9" i="13"/>
  <c r="S24" i="13"/>
  <c r="K24" i="13"/>
  <c r="I24" i="13"/>
  <c r="S26" i="13"/>
  <c r="I26" i="13"/>
  <c r="K26" i="13"/>
  <c r="K10" i="13"/>
  <c r="O10" i="13" s="1"/>
  <c r="J35" i="13"/>
  <c r="H35" i="13"/>
  <c r="C6" i="4"/>
  <c r="I7" i="13"/>
  <c r="S6" i="13"/>
  <c r="K6" i="13"/>
  <c r="I6" i="13"/>
  <c r="D33" i="4"/>
  <c r="I19" i="13"/>
  <c r="S28" i="13"/>
  <c r="K28" i="13"/>
  <c r="I28" i="13"/>
  <c r="I21" i="13"/>
  <c r="D22" i="4"/>
  <c r="S12" i="13"/>
  <c r="K12" i="13"/>
  <c r="I12" i="13"/>
  <c r="S32" i="13"/>
  <c r="K32" i="13"/>
  <c r="I32" i="13"/>
  <c r="I31" i="13"/>
  <c r="D24" i="4"/>
  <c r="S8" i="13"/>
  <c r="I8" i="13"/>
  <c r="K8" i="13"/>
  <c r="S18" i="13"/>
  <c r="K18" i="13"/>
  <c r="I18" i="13"/>
  <c r="S20" i="13"/>
  <c r="I20" i="13"/>
  <c r="K20" i="13"/>
  <c r="K21" i="13"/>
  <c r="O21" i="13" s="1"/>
  <c r="D27" i="4"/>
  <c r="D46" i="4"/>
  <c r="D44" i="4"/>
  <c r="I14" i="13"/>
  <c r="S22" i="13"/>
  <c r="I22" i="13"/>
  <c r="K22" i="13"/>
  <c r="S30" i="13"/>
  <c r="K30" i="13"/>
  <c r="I30" i="13"/>
  <c r="S23" i="13"/>
  <c r="I23" i="13"/>
  <c r="K23" i="13"/>
  <c r="D38" i="4"/>
  <c r="I5" i="13"/>
  <c r="K31" i="13"/>
  <c r="O31" i="13" s="1"/>
  <c r="D36" i="4"/>
  <c r="S11" i="13"/>
  <c r="K11" i="13"/>
  <c r="I11" i="13"/>
  <c r="O8" i="13" l="1"/>
  <c r="D25" i="4"/>
  <c r="I35" i="13"/>
  <c r="O24" i="13"/>
  <c r="D41" i="4"/>
  <c r="O15" i="13"/>
  <c r="D32" i="4"/>
  <c r="O18" i="13"/>
  <c r="D35" i="4"/>
  <c r="O28" i="13"/>
  <c r="D45" i="4"/>
  <c r="D48" i="4"/>
  <c r="O22" i="13"/>
  <c r="D39" i="4"/>
  <c r="O12" i="13"/>
  <c r="D29" i="4"/>
  <c r="O25" i="13"/>
  <c r="D42" i="4"/>
  <c r="O23" i="13"/>
  <c r="D40" i="4"/>
  <c r="O20" i="13"/>
  <c r="D37" i="4"/>
  <c r="K35" i="13"/>
  <c r="C8" i="4" s="1"/>
  <c r="O17" i="13"/>
  <c r="D34" i="4"/>
  <c r="O32" i="13"/>
  <c r="D49" i="4"/>
  <c r="O33" i="13"/>
  <c r="D50" i="4"/>
  <c r="O6" i="13"/>
  <c r="D23" i="4"/>
  <c r="O9" i="13"/>
  <c r="D26" i="4"/>
  <c r="S35" i="13"/>
  <c r="C12" i="4" s="1"/>
  <c r="O30" i="13"/>
  <c r="D47" i="4"/>
  <c r="O11" i="13"/>
  <c r="D28" i="4"/>
  <c r="O26" i="13"/>
  <c r="D43" i="4"/>
  <c r="O13" i="13"/>
  <c r="D30" i="4"/>
  <c r="C18" i="4" l="1"/>
  <c r="C17" i="4"/>
  <c r="C16" i="4"/>
  <c r="E16" i="4" l="1"/>
  <c r="D16" i="4"/>
  <c r="G16" i="4"/>
  <c r="F16" i="4"/>
  <c r="G17" i="4"/>
  <c r="E17" i="4"/>
  <c r="D17" i="4"/>
  <c r="F17" i="4"/>
  <c r="D18" i="4"/>
  <c r="G18" i="4"/>
  <c r="F18" i="4"/>
  <c r="E18"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<sst xmlns="http://schemas.openxmlformats.org/spreadsheetml/2006/main" count="2343" uniqueCount="822">
  <si>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</si>
  <si>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</si>
  <si>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</si>
  <si>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</si>
  <si>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</si>
  <si>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</si>
  <si>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</si>
  <si>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</si>
  <si>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</si>
  <si>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</si>
  <si>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</si>
  <si>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</si>
  <si>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</si>
  <si>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</si>
  <si>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</si>
  <si>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</si>
  <si>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</si>
  <si>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</si>
  <si>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</si>
  <si>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</si>
  <si>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</si>
  <si>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</si>
  <si>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</si>
  <si>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</si>
  <si>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</si>
  <si>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</si>
  <si>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</si>
  <si>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</si>
  <si>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</si>
  <si>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</si>
  <si>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</si>
  <si>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</si>
  <si>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</si>
  <si>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</si>
  <si>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</si>
  <si>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</si>
  <si>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</si>
  <si>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</si>
  <si>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</si>
  <si>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</si>
  <si>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</si>
  <si>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</si>
  <si>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</si>
  <si>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</si>
  <si>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</si>
  <si>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</si>
  <si>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</si>
  <si>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</si>
  <si>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</si>
  <si>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</si>
  <si>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</si>
  <si>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</si>
  <si>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</si>
  <si>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</si>
  <si>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</si>
  <si>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</si>
  <si>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</si>
  <si>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</si>
  <si>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</si>
  <si>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</si>
  <si>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</si>
  <si>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</si>
  <si>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</si>
  <si>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</si>
  <si>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</si>
  <si>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</si>
  <si>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</si>
  <si>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</si>
  <si>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</si>
  <si>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</si>
  <si>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</si>
  <si>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</si>
  <si>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</si>
  <si>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</si>
  <si>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</si>
  <si>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</si>
  <si>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</si>
  <si>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</si>
  <si>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</si>
  <si>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</si>
  <si>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</si>
  <si>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</si>
  <si>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</si>
  <si>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</si>
  <si>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</si>
  <si>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</si>
  <si>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</si>
  <si>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</si>
  <si>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</si>
  <si>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</si>
  <si>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</si>
  <si>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</si>
  <si>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</si>
  <si>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</si>
  <si>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</si>
  <si>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</si>
  <si>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</si>
  <si>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</si>
  <si>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</si>
  <si>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</si>
  <si>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</si>
  <si>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</si>
  <si>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</si>
  <si>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</si>
  <si>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</si>
  <si>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</si>
  <si>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</si>
  <si>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</si>
  <si>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</si>
  <si>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</si>
  <si>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</si>
  <si>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</si>
  <si>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</si>
  <si>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</si>
  <si>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</si>
  <si>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</si>
  <si>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</si>
  <si>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</si>
  <si>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</si>
  <si>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</si>
  <si>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</si>
  <si>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</si>
  <si>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</si>
  <si>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</si>
  <si>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</si>
  <si>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</si>
  <si>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</si>
  <si>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</si>
  <si>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</si>
  <si>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</si>
  <si>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</si>
  <si>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</si>
  <si>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</si>
  <si>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</si>
  <si>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</si>
  <si>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</si>
  <si>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</si>
  <si>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</si>
  <si>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</si>
  <si>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</si>
  <si>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</si>
  <si>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</si>
  <si>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</si>
  <si>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</si>
  <si>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</si>
  <si>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</si>
  <si>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</si>
  <si>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</si>
  <si>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</si>
  <si>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</si>
  <si>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</si>
  <si>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</si>
  <si>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</si>
  <si>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</si>
  <si>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</si>
  <si>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</si>
  <si>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</si>
  <si>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</si>
  <si>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</si>
  <si>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</si>
  <si>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</si>
  <si>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</si>
  <si>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</si>
  <si>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</si>
  <si>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</si>
  <si>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</si>
  <si>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</si>
  <si>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</si>
  <si>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</si>
  <si>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</si>
  <si>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</si>
  <si>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</si>
  <si>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</si>
  <si>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</si>
  <si>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</si>
  <si>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</si>
  <si>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</si>
  <si>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</si>
  <si>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</si>
  <si>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</si>
  <si>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</si>
  <si>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</si>
  <si>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</si>
  <si>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</si>
  <si>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</si>
  <si>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</si>
  <si>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</si>
  <si>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</si>
  <si>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</si>
  <si>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</si>
  <si>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</si>
  <si>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</si>
  <si>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</si>
  <si>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</si>
  <si>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</si>
  <si>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</si>
  <si>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</si>
  <si>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</si>
  <si>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</si>
  <si>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</si>
  <si>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</si>
  <si>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</si>
  <si>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</si>
  <si>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</si>
  <si>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</si>
  <si>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</si>
  <si>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</si>
  <si>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</si>
  <si>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</si>
  <si>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</si>
  <si>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</si>
  <si>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</si>
  <si>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</si>
  <si>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</si>
  <si>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</si>
  <si>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</si>
  <si>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</si>
  <si>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</si>
  <si>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</si>
  <si>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</si>
  <si>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</si>
  <si>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</si>
  <si>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</si>
  <si>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</si>
  <si>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</si>
  <si>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</si>
  <si>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</si>
  <si>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</si>
  <si>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</si>
  <si>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</si>
  <si>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</si>
  <si>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</si>
  <si>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</si>
  <si>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</si>
  <si>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</si>
  <si>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</si>
  <si>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</si>
  <si>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</si>
  <si>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</si>
  <si>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</si>
  <si>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</si>
  <si>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</si>
  <si>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</si>
  <si>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</si>
  <si>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</si>
  <si>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</si>
  <si>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</si>
  <si>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</si>
  <si>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</si>
  <si>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</si>
  <si>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</si>
  <si>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</si>
  <si>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</si>
  <si>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</si>
  <si>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</si>
  <si>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</si>
  <si>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</si>
  <si>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</si>
  <si>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</si>
  <si>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</si>
  <si>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</si>
  <si>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</si>
  <si>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</si>
  <si>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</si>
  <si>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</si>
  <si>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</si>
  <si>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</si>
  <si>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</si>
  <si>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</si>
  <si>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</si>
  <si>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</si>
  <si>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</si>
  <si>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</si>
  <si>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</si>
  <si>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</si>
  <si>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</si>
  <si>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</si>
  <si>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</si>
  <si>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</si>
  <si>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</si>
  <si>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</si>
  <si>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</si>
  <si>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</si>
  <si>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</si>
  <si>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</si>
  <si>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</si>
  <si>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</si>
  <si>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</si>
  <si>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</si>
  <si>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</si>
  <si>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</si>
  <si>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</si>
  <si>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</si>
  <si>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</si>
  <si>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</si>
  <si>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</si>
  <si>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</si>
  <si>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</si>
  <si>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</si>
  <si>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</si>
  <si>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</si>
  <si>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</si>
  <si>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</si>
  <si>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</si>
  <si>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</si>
  <si>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</si>
  <si>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</si>
  <si>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</si>
  <si>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</si>
  <si>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</si>
  <si>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</si>
  <si>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</si>
  <si>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</si>
  <si>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</si>
  <si>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</si>
  <si>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</si>
  <si>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</si>
  <si>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</si>
  <si>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</si>
  <si>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</si>
  <si>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</si>
  <si>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</si>
  <si>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</si>
  <si>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</si>
  <si>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</si>
  <si>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</si>
  <si>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</si>
  <si>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</si>
  <si>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t>진행중</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</si>
  <si>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</si>
  <si>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</si>
  <si>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</si>
  <si>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</si>
  <si>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</si>
  <si>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</si>
  <si>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</si>
  <si>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</si>
  <si>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</si>
  <si>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t>검토중</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</si>
  <si>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</si>
  <si>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</si>
  <si>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r>
      <rPr>
        <sz val="9"/>
        <rFont val="Times New Roman"/>
        <family val="1"/>
        <charset val="1"/>
      </rPr>
      <t xml:space="preserve">Release Note / </t>
    </r>
    <r>
      <rPr>
        <sz val="9"/>
        <rFont val="Noto Sans CJK SC"/>
        <family val="2"/>
      </rPr>
      <t>릴리스 노트</t>
    </r>
  </si>
  <si>
    <t>자가평가워크북 [릴리즈이력 참조] 시트 BP#6 동일</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</si>
  <si>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</si>
  <si>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</si>
  <si>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</si>
  <si>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</si>
  <si>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</si>
  <si>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</si>
  <si>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</si>
  <si>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</si>
  <si>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</si>
  <si>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</si>
  <si>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</si>
  <si>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</si>
  <si>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</si>
  <si>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</si>
  <si>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</si>
  <si>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</si>
  <si>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</si>
  <si>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</si>
  <si>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</si>
  <si>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</si>
  <si>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</si>
  <si>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</si>
  <si>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</si>
  <si>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</si>
  <si>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</si>
  <si>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</si>
  <si>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</si>
  <si>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</si>
  <si>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</si>
  <si>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</si>
  <si>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</si>
  <si>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</si>
  <si>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</si>
  <si>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</si>
  <si>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</si>
  <si>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</si>
  <si>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</si>
  <si>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</si>
  <si>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</si>
  <si>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</si>
  <si>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</si>
  <si>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</si>
  <si>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</si>
  <si>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</si>
  <si>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</si>
  <si>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</si>
  <si>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</si>
  <si>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</si>
  <si>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</si>
  <si>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</si>
  <si>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</si>
  <si>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</si>
  <si>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</si>
  <si>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</si>
  <si>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</si>
  <si>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</si>
  <si>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</si>
  <si>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</si>
  <si>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</si>
  <si>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</si>
  <si>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</si>
  <si>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</si>
  <si>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</si>
  <si>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</si>
  <si>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</si>
  <si>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</si>
  <si>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</si>
  <si>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</si>
  <si>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</si>
  <si>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</si>
  <si>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</si>
  <si>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</si>
  <si>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</si>
  <si>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</si>
  <si>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</si>
  <si>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</si>
  <si>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</si>
  <si>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</si>
  <si>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</si>
  <si>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</si>
  <si>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</si>
  <si>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</si>
  <si>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</si>
  <si>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</si>
  <si>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</si>
  <si>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</si>
  <si>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</si>
  <si>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</si>
  <si>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t>미착수</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</si>
  <si>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</si>
  <si>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</si>
  <si>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</si>
  <si>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</si>
  <si>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</si>
  <si>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</si>
  <si>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</si>
  <si>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</si>
  <si>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</si>
  <si>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</si>
  <si>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</si>
  <si>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</si>
  <si>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</si>
  <si>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</si>
  <si>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</si>
  <si>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</si>
  <si>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</si>
  <si>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</si>
  <si>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</si>
  <si>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</si>
  <si>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</si>
  <si>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</si>
  <si>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</si>
  <si>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</si>
  <si>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</si>
  <si>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</si>
  <si>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</si>
  <si>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</si>
  <si>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</si>
  <si>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</si>
  <si>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</si>
  <si>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</si>
  <si>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</si>
  <si>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</si>
  <si>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</si>
  <si>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</si>
  <si>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</si>
  <si>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</si>
  <si>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</si>
  <si>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</si>
  <si>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</si>
  <si>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</si>
  <si>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</si>
  <si>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</si>
  <si>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</si>
  <si>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</si>
  <si>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</si>
  <si>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</si>
  <si>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</si>
  <si>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</si>
  <si>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</si>
  <si>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</si>
  <si>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</si>
  <si>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</si>
  <si>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</si>
  <si>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</si>
  <si>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</si>
  <si>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</si>
  <si>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</si>
  <si>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</si>
  <si>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</si>
  <si>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</si>
  <si>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</si>
  <si>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</si>
  <si>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</si>
  <si>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</si>
  <si>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</si>
  <si>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</si>
  <si>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</si>
  <si>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</si>
  <si>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</si>
  <si>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</si>
  <si>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</si>
  <si>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</si>
  <si>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</si>
  <si>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</si>
  <si>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</si>
  <si>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</si>
  <si>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</si>
  <si>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</si>
  <si>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</si>
  <si>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</si>
  <si>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</si>
  <si>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</si>
  <si>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</si>
  <si>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</si>
  <si>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</si>
  <si>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</si>
  <si>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</si>
  <si>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</si>
  <si>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</si>
  <si>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</si>
  <si>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</si>
  <si>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</si>
  <si>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</si>
  <si>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</si>
  <si>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</si>
  <si>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</si>
  <si>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</si>
  <si>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</si>
  <si>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</si>
  <si>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</si>
  <si>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</si>
  <si>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</si>
  <si>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</si>
  <si>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</si>
  <si>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</si>
  <si>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</si>
  <si>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</si>
  <si>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</si>
  <si>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</si>
  <si>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</si>
  <si>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</si>
  <si>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</si>
  <si>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</si>
  <si>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</si>
  <si>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</si>
  <si>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</si>
  <si>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</si>
  <si>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</si>
  <si>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</si>
  <si>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</si>
  <si>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</si>
  <si>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</si>
  <si>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</si>
  <si>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</si>
  <si>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</si>
  <si>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</si>
  <si>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</si>
  <si>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</si>
  <si>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</si>
  <si>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</si>
  <si>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</si>
  <si>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</si>
  <si>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</si>
  <si>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</si>
  <si>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</si>
  <si>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</si>
  <si>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</si>
  <si>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</si>
  <si>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</si>
  <si>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</si>
  <si>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</si>
  <si>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</si>
  <si>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</si>
  <si>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</si>
  <si>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</si>
  <si>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</si>
  <si>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</si>
  <si>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</si>
  <si>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</si>
  <si>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</si>
  <si>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</si>
  <si>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</si>
  <si>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</si>
  <si>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</si>
  <si>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</si>
  <si>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</si>
  <si>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</si>
  <si>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</si>
  <si>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</si>
  <si>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</si>
  <si>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</si>
  <si>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</si>
  <si>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</si>
  <si>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</si>
  <si>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</si>
  <si>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</si>
  <si>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</si>
  <si>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</si>
  <si>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</si>
  <si>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</si>
  <si>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</si>
  <si>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</si>
  <si>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</si>
  <si>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</si>
  <si>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</si>
  <si>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</si>
  <si>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</si>
  <si>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</si>
  <si>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</si>
  <si>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</si>
  <si>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</si>
  <si>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</si>
  <si>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</si>
  <si>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</si>
  <si>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</si>
  <si>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</si>
  <si>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</si>
  <si>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</si>
  <si>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</si>
  <si>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</si>
  <si>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</si>
  <si>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</si>
  <si>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</si>
  <si>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</si>
  <si>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</si>
  <si>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</si>
  <si>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</si>
  <si>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</si>
  <si>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</si>
  <si>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</si>
  <si>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</si>
  <si>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</si>
  <si>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</si>
  <si>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</si>
  <si>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</si>
  <si>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</si>
  <si>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</si>
  <si>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</si>
  <si>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</si>
  <si>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</si>
  <si>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</si>
  <si>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</si>
  <si>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</si>
  <si>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</si>
  <si>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</si>
  <si>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</si>
  <si>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</si>
  <si>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</si>
  <si>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</si>
  <si>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</si>
  <si>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</si>
  <si>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</si>
  <si>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</si>
  <si>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</si>
  <si>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</si>
  <si>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</si>
  <si>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</si>
  <si>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</si>
  <si>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</si>
  <si>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</si>
  <si>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</si>
  <si>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</si>
  <si>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</si>
  <si>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</si>
  <si>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</si>
  <si>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</si>
  <si>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</si>
  <si>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</si>
  <si>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</si>
  <si>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</si>
  <si>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</si>
  <si>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</si>
  <si>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</si>
  <si>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</si>
  <si>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</si>
  <si>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</si>
  <si>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</si>
  <si>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</si>
  <si>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</si>
  <si>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</si>
  <si>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</si>
  <si>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</si>
  <si>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</si>
  <si>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</si>
  <si>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</si>
  <si>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</si>
  <si>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</si>
  <si>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</si>
  <si>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</si>
  <si>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</si>
  <si>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</si>
  <si>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</si>
  <si>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</si>
  <si>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</si>
  <si>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</si>
  <si>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</si>
  <si>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</si>
  <si>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</si>
  <si>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</si>
  <si>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</si>
  <si>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</si>
  <si>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</si>
  <si>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</si>
  <si>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</si>
  <si>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</si>
  <si>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</si>
  <si>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</si>
  <si>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</si>
  <si>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</si>
  <si>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</si>
  <si>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</si>
  <si>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</si>
  <si>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</si>
  <si>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</si>
  <si>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</si>
  <si>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</si>
  <si>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</si>
  <si>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</si>
  <si>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</si>
  <si>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</si>
  <si>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</si>
  <si>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</si>
  <si>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</si>
  <si>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</si>
  <si>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</si>
  <si>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</si>
  <si>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</si>
  <si>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</si>
  <si>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</si>
  <si>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</si>
  <si>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</si>
  <si>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</si>
  <si>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</si>
  <si>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</si>
  <si>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</si>
  <si>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</si>
  <si>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경미한 표기 오류</t>
  </si>
  <si>
    <r>
      <rPr>
        <sz val="9"/>
        <rFont val="Noto Sans CJK SC"/>
        <family val="2"/>
      </rPr>
      <t>박</t>
    </r>
    <r>
      <rPr>
        <sz val="9"/>
        <rFont val="Times New Roman"/>
        <family val="1"/>
        <charset val="1"/>
      </rPr>
      <t>OO(PM)</t>
    </r>
  </si>
  <si>
    <t>M2</t>
  </si>
  <si>
    <t>편차 없음</t>
  </si>
  <si>
    <t>특이사항 없음</t>
  </si>
  <si>
    <t>M3</t>
  </si>
  <si>
    <t>경미한 근거자료 누락</t>
  </si>
  <si>
    <t>M4</t>
  </si>
  <si>
    <t>경미한 채점 편차</t>
  </si>
  <si>
    <t>M5</t>
  </si>
  <si>
    <t>M6</t>
  </si>
  <si>
    <t>M7</t>
  </si>
  <si>
    <t>M8</t>
  </si>
  <si>
    <t>M9</t>
  </si>
  <si>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</si>
  <si>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</si>
  <si>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</si>
  <si>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</si>
  <si>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</si>
  <si>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</si>
  <si>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</si>
  <si>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</si>
  <si>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</si>
  <si>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</si>
  <si>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</si>
  <si>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</si>
  <si>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</si>
  <si>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</si>
  <si>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</si>
  <si>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</si>
  <si>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</si>
  <si>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</si>
  <si>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</si>
  <si>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</si>
  <si>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</si>
  <si>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</si>
  <si>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RB-002</t>
  </si>
  <si>
    <t>RB-003</t>
  </si>
  <si>
    <t>RB-004</t>
  </si>
  <si>
    <t>RB-005</t>
  </si>
  <si>
    <t>RB-006</t>
  </si>
  <si>
    <t>RB-007</t>
  </si>
  <si>
    <t>RB-008</t>
  </si>
  <si>
    <t>RB-009</t>
  </si>
  <si>
    <t>RB-010</t>
  </si>
  <si>
    <t>체크 항목</t>
  </si>
  <si>
    <t>가중치(%)</t>
  </si>
  <si>
    <t>일자</t>
  </si>
  <si>
    <t>빌드 완료</t>
  </si>
  <si>
    <r>
      <rPr>
        <sz val="10"/>
        <rFont val="Noto Sans CJK SC"/>
        <family val="2"/>
      </rPr>
      <t>김</t>
    </r>
    <r>
      <rPr>
        <sz val="10"/>
        <rFont val="Times New Roman"/>
        <family val="1"/>
        <charset val="1"/>
      </rPr>
      <t>OO</t>
    </r>
  </si>
  <si>
    <t>2026-XX-XX</t>
  </si>
  <si>
    <t>회귀시험 통과</t>
  </si>
  <si>
    <r>
      <rPr>
        <sz val="10"/>
        <rFont val="Noto Sans CJK SC"/>
        <family val="2"/>
      </rPr>
      <t>이</t>
    </r>
    <r>
      <rPr>
        <sz val="10"/>
        <rFont val="Times New Roman"/>
        <family val="1"/>
        <charset val="1"/>
      </rPr>
      <t>OO</t>
    </r>
  </si>
  <si>
    <t>계획대로 순항 중</t>
  </si>
  <si>
    <t>배포 패키지 준비/승인</t>
  </si>
  <si>
    <t>미완료</t>
  </si>
  <si>
    <r>
      <rPr>
        <sz val="10"/>
        <rFont val="Times New Roman"/>
        <family val="1"/>
        <charset val="1"/>
      </rPr>
      <t xml:space="preserve">P1 </t>
    </r>
    <r>
      <rPr>
        <sz val="10"/>
        <rFont val="Noto Sans CJK SC"/>
        <family val="2"/>
      </rPr>
      <t>마일스톤 이후 예정대로 진행</t>
    </r>
  </si>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</sst>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8">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4" fillId="14" borderId="7" xfId="0" applyFont="1" applyFill="1" applyBorder="1" applyAlignment="1"/>
    <xf numFmtId="0" fontId="16" fillId="0" borderId="7" xfId="0" applyFont="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5개월차 기준</v>
      </c>
      <c r="D5" s="65"/>
      <c r="E5" s="65"/>
      <c r="F5" s="65"/>
      <c r="G5" s="65"/>
    </row>
    <row r="6" spans="2:7" ht="12.75" customHeight="1">
      <c r="B6" s="50" t="s">
        <v>176</v>
      </c>
      <c r="C6" s="67">
        <f>IFERROR(EVMS_대시보드!F35/EVMS_대시보드!D35,0)</f>
        <v>0.78543286447826877</v>
      </c>
      <c r="D6" s="65"/>
      <c r="E6" s="65"/>
      <c r="F6" s="65"/>
      <c r="G6" s="65"/>
    </row>
    <row r="7" spans="2:7" ht="12.75" customHeight="1">
      <c r="B7" s="50" t="s">
        <v>177</v>
      </c>
      <c r="C7" s="67">
        <f>IFERROR(EVMS_대시보드!G35/EVMS_대시보드!D35,0)</f>
        <v>0.39964473684210539</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0.68210526315789477</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0.80982736574797887</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VAL.1</v>
      </c>
      <c r="D16" s="74" t="str">
        <f>INDEX(EVMS_대시보드!$C$5:$C$33,MATCH($C16,EVMS_대시보드!$B$5:$B$33,0))</f>
        <v>제품확인(Validation)</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미시작</v>
      </c>
      <c r="G16" s="77">
        <f>IFERROR(INDEX(CA_개요!$K$5:$K$33,MATCH($C16,CA_개요!$B$5:$B$33,0)),"")</f>
        <v>0</v>
      </c>
    </row>
    <row r="17" spans="2:7" ht="15" customHeight="1">
      <c r="B17" s="72">
        <v>2</v>
      </c>
      <c r="C17" s="73" t="str">
        <f>INDEX(EVMS_대시보드!$B$5:$B$33,MATCH(SMALL(EVMS_대시보드!$O$5:$O$33,2),EVMS_대시보드!$O$5:$O$33,0))</f>
        <v>SYS.5</v>
      </c>
      <c r="D17" s="74" t="str">
        <f>INDEX(EVMS_대시보드!$C$5:$C$33,MATCH($C17,EVMS_대시보드!$B$5:$B$33,0))</f>
        <v>시스템 검증</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f>IFERROR(INDEX(CA_개요!$K$5:$K$33,MATCH($C17,CA_개요!$B$5:$B$33,0)),"")</f>
        <v>0</v>
      </c>
    </row>
    <row r="18" spans="2:7" ht="15" customHeight="1">
      <c r="B18" s="72">
        <v>3</v>
      </c>
      <c r="C18" s="73" t="str">
        <f>INDEX(EVMS_대시보드!$B$5:$B$33,MATCH(SMALL(EVMS_대시보드!$O$5:$O$33,3),EVMS_대시보드!$O$5:$O$33,0))</f>
        <v>SWE.6</v>
      </c>
      <c r="D18" s="74" t="str">
        <f>INDEX(EVMS_대시보드!$C$5:$C$33,MATCH($C18,EVMS_대시보드!$B$5:$B$33,0))</f>
        <v>SW 검증</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위험</v>
      </c>
      <c r="G18" s="77">
        <f>IFERROR(INDEX(CA_개요!$K$5:$K$33,MATCH($C18,CA_개요!$B$5:$B$33,0)),"")</f>
        <v>0</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정상</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위험</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정상</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정상</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정상</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정상</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정상</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위험</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미시작</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위험</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위험</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85</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75</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85</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67.900000000000006</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71.900000000000006</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67.900000000000006</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62.5</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75</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100</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100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55</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10</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100</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100</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100</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100</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100</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100</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57.1</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10</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0</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55</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10.7</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62.5</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12.5</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0.25</v>
      </c>
      <c r="M9" s="106" t="s">
        <v>328</v>
      </c>
      <c r="N9" s="110" t="s">
        <v>322</v>
      </c>
      <c r="O9" s="107"/>
    </row>
    <row r="10" spans="1:15" ht="14.25" customHeight="1">
      <c r="A10" s="100">
        <v>6</v>
      </c>
      <c r="B10" s="101" t="s">
        <v>212</v>
      </c>
      <c r="C10" s="102" t="s">
        <v>213</v>
      </c>
      <c r="D10" s="101"/>
      <c r="E10" s="101">
        <v>1</v>
      </c>
      <c r="F10" s="103" t="s">
        <v>329</v>
      </c>
      <c r="G10" s="102" t="s">
        <v>330</v>
      </c>
      <c r="H10" s="101" t="s">
        <v>214</v>
      </c>
      <c r="I10" s="101"/>
      <c r="J10" s="101"/>
      <c r="K10" s="102" t="s">
        <v>331</v>
      </c>
      <c r="L10" s="105">
        <v>1</v>
      </c>
      <c r="M10" s="106" t="s">
        <v>317</v>
      </c>
      <c r="N10" s="100"/>
      <c r="O10" s="107"/>
    </row>
    <row r="11" spans="1:15" ht="14.25" customHeight="1">
      <c r="A11" s="100">
        <v>7</v>
      </c>
      <c r="B11" s="101" t="s">
        <v>212</v>
      </c>
      <c r="C11" s="102" t="s">
        <v>213</v>
      </c>
      <c r="D11" s="101"/>
      <c r="E11" s="101">
        <v>2</v>
      </c>
      <c r="F11" s="103" t="s">
        <v>332</v>
      </c>
      <c r="G11" s="102" t="s">
        <v>330</v>
      </c>
      <c r="H11" s="101" t="s">
        <v>214</v>
      </c>
      <c r="I11" s="101"/>
      <c r="J11" s="101"/>
      <c r="K11" s="102" t="s">
        <v>333</v>
      </c>
      <c r="L11" s="105">
        <v>1</v>
      </c>
      <c r="M11" s="106" t="s">
        <v>317</v>
      </c>
      <c r="N11" s="100"/>
      <c r="O11" s="107"/>
    </row>
    <row r="12" spans="1:15" ht="22.5" customHeight="1">
      <c r="A12" s="100">
        <v>8</v>
      </c>
      <c r="B12" s="101" t="s">
        <v>212</v>
      </c>
      <c r="C12" s="102" t="s">
        <v>213</v>
      </c>
      <c r="D12" s="101"/>
      <c r="E12" s="101">
        <v>3</v>
      </c>
      <c r="F12" s="103" t="s">
        <v>334</v>
      </c>
      <c r="G12" s="102" t="s">
        <v>330</v>
      </c>
      <c r="H12" s="101" t="s">
        <v>214</v>
      </c>
      <c r="I12" s="101"/>
      <c r="J12" s="101"/>
      <c r="K12" s="102" t="s">
        <v>335</v>
      </c>
      <c r="L12" s="105">
        <v>1</v>
      </c>
      <c r="M12" s="106" t="s">
        <v>317</v>
      </c>
      <c r="N12" s="100"/>
      <c r="O12" s="107"/>
    </row>
    <row r="13" spans="1:15" ht="22.5" customHeight="1">
      <c r="A13" s="100">
        <v>9</v>
      </c>
      <c r="B13" s="101" t="s">
        <v>212</v>
      </c>
      <c r="C13" s="102" t="s">
        <v>213</v>
      </c>
      <c r="D13" s="101"/>
      <c r="E13" s="101">
        <v>4</v>
      </c>
      <c r="F13" s="103" t="s">
        <v>336</v>
      </c>
      <c r="G13" s="102" t="s">
        <v>330</v>
      </c>
      <c r="H13" s="101" t="s">
        <v>214</v>
      </c>
      <c r="I13" s="101"/>
      <c r="J13" s="101"/>
      <c r="K13" s="102" t="s">
        <v>337</v>
      </c>
      <c r="L13" s="105">
        <v>0.6</v>
      </c>
      <c r="M13" s="106" t="s">
        <v>338</v>
      </c>
      <c r="N13" s="100"/>
      <c r="O13" s="107"/>
    </row>
    <row r="14" spans="1:15" ht="14.25" customHeight="1">
      <c r="A14" s="100">
        <v>10</v>
      </c>
      <c r="B14" s="101" t="s">
        <v>212</v>
      </c>
      <c r="C14" s="102" t="s">
        <v>213</v>
      </c>
      <c r="D14" s="101"/>
      <c r="E14" s="101">
        <v>5</v>
      </c>
      <c r="F14" s="103" t="s">
        <v>339</v>
      </c>
      <c r="G14" s="102" t="s">
        <v>330</v>
      </c>
      <c r="H14" s="101" t="s">
        <v>214</v>
      </c>
      <c r="I14" s="101"/>
      <c r="J14" s="101"/>
      <c r="K14" s="102" t="s">
        <v>340</v>
      </c>
      <c r="L14" s="105">
        <v>0.6</v>
      </c>
      <c r="M14" s="106" t="s">
        <v>338</v>
      </c>
      <c r="N14" s="100"/>
      <c r="O14" s="107"/>
    </row>
    <row r="15" spans="1:15" ht="14.25" customHeight="1">
      <c r="A15" s="100">
        <v>11</v>
      </c>
      <c r="B15" s="101" t="s">
        <v>212</v>
      </c>
      <c r="C15" s="102" t="s">
        <v>213</v>
      </c>
      <c r="D15" s="101"/>
      <c r="E15" s="101">
        <v>6</v>
      </c>
      <c r="F15" s="103" t="s">
        <v>341</v>
      </c>
      <c r="G15" s="102" t="s">
        <v>330</v>
      </c>
      <c r="H15" s="101" t="s">
        <v>214</v>
      </c>
      <c r="I15" s="101"/>
      <c r="J15" s="101"/>
      <c r="K15" s="102" t="s">
        <v>342</v>
      </c>
      <c r="L15" s="105">
        <v>0.6</v>
      </c>
      <c r="M15" s="106" t="s">
        <v>338</v>
      </c>
      <c r="N15" s="100"/>
      <c r="O15" s="107"/>
    </row>
    <row r="16" spans="1:15" ht="22.5" customHeight="1">
      <c r="A16" s="100">
        <v>12</v>
      </c>
      <c r="B16" s="101" t="s">
        <v>212</v>
      </c>
      <c r="C16" s="102" t="s">
        <v>213</v>
      </c>
      <c r="D16" s="101"/>
      <c r="E16" s="101">
        <v>7</v>
      </c>
      <c r="F16" s="103" t="s">
        <v>343</v>
      </c>
      <c r="G16" s="102" t="s">
        <v>330</v>
      </c>
      <c r="H16" s="101" t="s">
        <v>214</v>
      </c>
      <c r="I16" s="101"/>
      <c r="J16" s="101"/>
      <c r="K16" s="102" t="s">
        <v>344</v>
      </c>
      <c r="L16" s="105">
        <v>0.6</v>
      </c>
      <c r="M16" s="106" t="s">
        <v>338</v>
      </c>
      <c r="N16" s="100"/>
      <c r="O16" s="107"/>
    </row>
    <row r="17" spans="1:15" ht="14.25" customHeight="1">
      <c r="A17" s="100">
        <v>13</v>
      </c>
      <c r="B17" s="101" t="s">
        <v>212</v>
      </c>
      <c r="C17" s="102" t="s">
        <v>213</v>
      </c>
      <c r="D17" s="101"/>
      <c r="E17" s="101">
        <v>8</v>
      </c>
      <c r="F17" s="103" t="s">
        <v>345</v>
      </c>
      <c r="G17" s="102" t="s">
        <v>330</v>
      </c>
      <c r="H17" s="101" t="s">
        <v>214</v>
      </c>
      <c r="I17" s="101"/>
      <c r="J17" s="101"/>
      <c r="K17" s="102" t="s">
        <v>346</v>
      </c>
      <c r="L17" s="105">
        <v>0.6</v>
      </c>
      <c r="M17" s="106" t="s">
        <v>338</v>
      </c>
      <c r="N17" s="100"/>
      <c r="O17" s="107"/>
    </row>
    <row r="18" spans="1:15" ht="22.5" customHeight="1">
      <c r="A18" s="100">
        <v>14</v>
      </c>
      <c r="B18" s="101" t="s">
        <v>218</v>
      </c>
      <c r="C18" s="102" t="s">
        <v>219</v>
      </c>
      <c r="D18" s="101"/>
      <c r="E18" s="101">
        <v>1</v>
      </c>
      <c r="F18" s="103" t="s">
        <v>347</v>
      </c>
      <c r="G18" s="100" t="s">
        <v>245</v>
      </c>
      <c r="H18" s="101" t="s">
        <v>214</v>
      </c>
      <c r="I18" s="101" t="s">
        <v>348</v>
      </c>
      <c r="J18" s="104">
        <v>0.4</v>
      </c>
      <c r="K18" s="102" t="s">
        <v>316</v>
      </c>
      <c r="L18" s="105">
        <v>1</v>
      </c>
      <c r="M18" s="106" t="s">
        <v>317</v>
      </c>
      <c r="N18" s="100"/>
      <c r="O18" s="107"/>
    </row>
    <row r="19" spans="1:15" ht="22.5" customHeight="1">
      <c r="A19" s="100">
        <v>15</v>
      </c>
      <c r="B19" s="101" t="s">
        <v>218</v>
      </c>
      <c r="C19" s="102" t="s">
        <v>219</v>
      </c>
      <c r="D19" s="101"/>
      <c r="E19" s="101">
        <v>2</v>
      </c>
      <c r="F19" s="103" t="s">
        <v>349</v>
      </c>
      <c r="G19" s="100" t="s">
        <v>245</v>
      </c>
      <c r="H19" s="101" t="s">
        <v>214</v>
      </c>
      <c r="I19" s="101" t="s">
        <v>348</v>
      </c>
      <c r="J19" s="104">
        <v>0.4</v>
      </c>
      <c r="K19" s="102" t="s">
        <v>350</v>
      </c>
      <c r="L19" s="105">
        <v>1</v>
      </c>
      <c r="M19" s="106" t="s">
        <v>317</v>
      </c>
      <c r="N19" s="100"/>
      <c r="O19" s="107"/>
    </row>
    <row r="20" spans="1:15" ht="14.25" customHeight="1">
      <c r="A20" s="100">
        <v>16</v>
      </c>
      <c r="B20" s="101" t="s">
        <v>218</v>
      </c>
      <c r="C20" s="102" t="s">
        <v>219</v>
      </c>
      <c r="D20" s="101"/>
      <c r="E20" s="101">
        <v>3</v>
      </c>
      <c r="F20" s="103" t="s">
        <v>351</v>
      </c>
      <c r="G20" s="100" t="s">
        <v>245</v>
      </c>
      <c r="H20" s="101" t="s">
        <v>214</v>
      </c>
      <c r="I20" s="101" t="s">
        <v>315</v>
      </c>
      <c r="J20" s="104">
        <v>1</v>
      </c>
      <c r="K20" s="102" t="s">
        <v>352</v>
      </c>
      <c r="L20" s="105">
        <v>1</v>
      </c>
      <c r="M20" s="106" t="s">
        <v>317</v>
      </c>
      <c r="N20" s="100"/>
      <c r="O20" s="107"/>
    </row>
    <row r="21" spans="1:15" ht="22.5" customHeight="1">
      <c r="A21" s="100">
        <v>17</v>
      </c>
      <c r="B21" s="101" t="s">
        <v>218</v>
      </c>
      <c r="C21" s="102" t="s">
        <v>219</v>
      </c>
      <c r="D21" s="101"/>
      <c r="E21" s="101">
        <v>4</v>
      </c>
      <c r="F21" s="103" t="s">
        <v>353</v>
      </c>
      <c r="G21" s="100" t="s">
        <v>245</v>
      </c>
      <c r="H21" s="101" t="s">
        <v>214</v>
      </c>
      <c r="I21" s="101" t="s">
        <v>348</v>
      </c>
      <c r="J21" s="104">
        <v>0.4</v>
      </c>
      <c r="K21" s="102" t="s">
        <v>354</v>
      </c>
      <c r="L21" s="105">
        <v>1</v>
      </c>
      <c r="M21" s="106" t="s">
        <v>317</v>
      </c>
      <c r="N21" s="100"/>
      <c r="O21" s="107"/>
    </row>
    <row r="22" spans="1:15" ht="22.5" customHeight="1">
      <c r="A22" s="100">
        <v>18</v>
      </c>
      <c r="B22" s="101" t="s">
        <v>218</v>
      </c>
      <c r="C22" s="102" t="s">
        <v>219</v>
      </c>
      <c r="D22" s="101"/>
      <c r="E22" s="101">
        <v>5</v>
      </c>
      <c r="F22" s="103" t="s">
        <v>355</v>
      </c>
      <c r="G22" s="100" t="s">
        <v>245</v>
      </c>
      <c r="H22" s="101" t="s">
        <v>214</v>
      </c>
      <c r="I22" s="101" t="s">
        <v>348</v>
      </c>
      <c r="J22" s="104">
        <v>0.4</v>
      </c>
      <c r="K22" s="102" t="s">
        <v>356</v>
      </c>
      <c r="L22" s="105">
        <v>1</v>
      </c>
      <c r="M22" s="106" t="s">
        <v>317</v>
      </c>
      <c r="N22" s="100"/>
      <c r="O22" s="107"/>
    </row>
    <row r="23" spans="1:15" ht="22.5" customHeight="1">
      <c r="A23" s="100">
        <v>19</v>
      </c>
      <c r="B23" s="101" t="s">
        <v>218</v>
      </c>
      <c r="C23" s="102" t="s">
        <v>219</v>
      </c>
      <c r="D23" s="101"/>
      <c r="E23" s="101">
        <v>6</v>
      </c>
      <c r="F23" s="103" t="s">
        <v>357</v>
      </c>
      <c r="G23" s="100" t="s">
        <v>245</v>
      </c>
      <c r="H23" s="101" t="s">
        <v>214</v>
      </c>
      <c r="I23" s="101" t="s">
        <v>348</v>
      </c>
      <c r="J23" s="104">
        <v>0.4</v>
      </c>
      <c r="K23" s="102" t="s">
        <v>358</v>
      </c>
      <c r="L23" s="105">
        <v>1</v>
      </c>
      <c r="M23" s="106" t="s">
        <v>317</v>
      </c>
      <c r="N23" s="100"/>
      <c r="O23" s="107"/>
    </row>
    <row r="24" spans="1:15" ht="22.5" customHeight="1">
      <c r="A24" s="100">
        <v>20</v>
      </c>
      <c r="B24" s="101" t="s">
        <v>218</v>
      </c>
      <c r="C24" s="102" t="s">
        <v>219</v>
      </c>
      <c r="D24" s="101"/>
      <c r="E24" s="101">
        <v>7</v>
      </c>
      <c r="F24" s="103" t="s">
        <v>359</v>
      </c>
      <c r="G24" s="100" t="s">
        <v>245</v>
      </c>
      <c r="H24" s="101" t="s">
        <v>214</v>
      </c>
      <c r="I24" s="101" t="s">
        <v>348</v>
      </c>
      <c r="J24" s="104">
        <v>0.4</v>
      </c>
      <c r="K24" s="102" t="s">
        <v>360</v>
      </c>
      <c r="L24" s="105">
        <v>1</v>
      </c>
      <c r="M24" s="106" t="s">
        <v>317</v>
      </c>
      <c r="N24" s="100"/>
      <c r="O24" s="107"/>
    </row>
    <row r="25" spans="1:15" ht="14.25" customHeight="1">
      <c r="A25" s="100">
        <v>21</v>
      </c>
      <c r="B25" s="101" t="s">
        <v>218</v>
      </c>
      <c r="C25" s="102" t="s">
        <v>219</v>
      </c>
      <c r="D25" s="101"/>
      <c r="E25" s="101">
        <v>8</v>
      </c>
      <c r="F25" s="103" t="s">
        <v>361</v>
      </c>
      <c r="G25" s="100" t="s">
        <v>245</v>
      </c>
      <c r="H25" s="101" t="s">
        <v>214</v>
      </c>
      <c r="I25" s="101" t="s">
        <v>348</v>
      </c>
      <c r="J25" s="104">
        <v>0.4</v>
      </c>
      <c r="K25" s="102" t="s">
        <v>362</v>
      </c>
      <c r="L25" s="105">
        <v>1</v>
      </c>
      <c r="M25" s="106" t="s">
        <v>317</v>
      </c>
      <c r="N25" s="100"/>
      <c r="O25" s="107"/>
    </row>
    <row r="26" spans="1:15" ht="14.25" customHeight="1">
      <c r="A26" s="100">
        <v>22</v>
      </c>
      <c r="B26" s="101" t="s">
        <v>218</v>
      </c>
      <c r="C26" s="102" t="s">
        <v>219</v>
      </c>
      <c r="D26" s="101"/>
      <c r="E26" s="101">
        <v>9</v>
      </c>
      <c r="F26" s="103" t="s">
        <v>363</v>
      </c>
      <c r="G26" s="100" t="s">
        <v>326</v>
      </c>
      <c r="H26" s="101" t="s">
        <v>214</v>
      </c>
      <c r="I26" s="101" t="s">
        <v>315</v>
      </c>
      <c r="J26" s="104">
        <v>1</v>
      </c>
      <c r="K26" s="102" t="s">
        <v>364</v>
      </c>
      <c r="L26" s="105">
        <v>0.25</v>
      </c>
      <c r="M26" s="106" t="s">
        <v>328</v>
      </c>
      <c r="N26" s="100"/>
      <c r="O26" s="107"/>
    </row>
    <row r="27" spans="1:15" ht="14.25" customHeight="1">
      <c r="A27" s="108">
        <v>23</v>
      </c>
      <c r="B27" s="109" t="s">
        <v>218</v>
      </c>
      <c r="C27" s="110" t="s">
        <v>219</v>
      </c>
      <c r="D27" s="109"/>
      <c r="E27" s="109">
        <v>10</v>
      </c>
      <c r="F27" s="111" t="s">
        <v>365</v>
      </c>
      <c r="G27" s="108" t="s">
        <v>326</v>
      </c>
      <c r="H27" s="109" t="s">
        <v>125</v>
      </c>
      <c r="I27" s="109"/>
      <c r="J27" s="109"/>
      <c r="K27" s="110" t="s">
        <v>366</v>
      </c>
      <c r="L27" s="105">
        <v>0.25</v>
      </c>
      <c r="M27" s="106" t="s">
        <v>328</v>
      </c>
      <c r="N27" s="108"/>
      <c r="O27" s="107"/>
    </row>
    <row r="28" spans="1:15" ht="22.5" customHeight="1">
      <c r="A28" s="100">
        <v>24</v>
      </c>
      <c r="B28" s="101" t="s">
        <v>223</v>
      </c>
      <c r="C28" s="102" t="s">
        <v>224</v>
      </c>
      <c r="D28" s="101"/>
      <c r="E28" s="101">
        <v>1</v>
      </c>
      <c r="F28" s="103" t="s">
        <v>367</v>
      </c>
      <c r="G28" s="100" t="s">
        <v>245</v>
      </c>
      <c r="H28" s="101" t="s">
        <v>214</v>
      </c>
      <c r="I28" s="101" t="s">
        <v>348</v>
      </c>
      <c r="J28" s="104">
        <v>0.4</v>
      </c>
      <c r="K28" s="102" t="s">
        <v>316</v>
      </c>
      <c r="L28" s="105">
        <v>1</v>
      </c>
      <c r="M28" s="106" t="s">
        <v>317</v>
      </c>
      <c r="N28" s="100"/>
      <c r="O28" s="107"/>
    </row>
    <row r="29" spans="1:15" ht="22.5" customHeight="1">
      <c r="A29" s="100">
        <v>25</v>
      </c>
      <c r="B29" s="101" t="s">
        <v>223</v>
      </c>
      <c r="C29" s="102" t="s">
        <v>224</v>
      </c>
      <c r="D29" s="101"/>
      <c r="E29" s="101">
        <v>2</v>
      </c>
      <c r="F29" s="103" t="s">
        <v>368</v>
      </c>
      <c r="G29" s="100" t="s">
        <v>245</v>
      </c>
      <c r="H29" s="101" t="s">
        <v>214</v>
      </c>
      <c r="I29" s="101" t="s">
        <v>348</v>
      </c>
      <c r="J29" s="104">
        <v>0.4</v>
      </c>
      <c r="K29" s="102" t="s">
        <v>350</v>
      </c>
      <c r="L29" s="105">
        <v>1</v>
      </c>
      <c r="M29" s="106" t="s">
        <v>317</v>
      </c>
      <c r="N29" s="100"/>
      <c r="O29" s="107"/>
    </row>
    <row r="30" spans="1:15" ht="14.25" customHeight="1">
      <c r="A30" s="108">
        <v>26</v>
      </c>
      <c r="B30" s="109" t="s">
        <v>223</v>
      </c>
      <c r="C30" s="110" t="s">
        <v>224</v>
      </c>
      <c r="D30" s="109"/>
      <c r="E30" s="109">
        <v>3</v>
      </c>
      <c r="F30" s="111" t="s">
        <v>369</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370</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371</v>
      </c>
      <c r="G32" s="108" t="s">
        <v>326</v>
      </c>
      <c r="H32" s="109" t="s">
        <v>125</v>
      </c>
      <c r="I32" s="109"/>
      <c r="J32" s="109"/>
      <c r="K32" s="110" t="s">
        <v>327</v>
      </c>
      <c r="L32" s="105">
        <v>0.25</v>
      </c>
      <c r="M32" s="106" t="s">
        <v>328</v>
      </c>
      <c r="N32" s="108"/>
      <c r="O32" s="107"/>
    </row>
    <row r="33" spans="1:15" ht="14.25" customHeight="1">
      <c r="A33" s="108">
        <v>29</v>
      </c>
      <c r="B33" s="109" t="s">
        <v>223</v>
      </c>
      <c r="C33" s="110" t="s">
        <v>224</v>
      </c>
      <c r="D33" s="109"/>
      <c r="E33" s="109">
        <v>6</v>
      </c>
      <c r="F33" s="111" t="s">
        <v>372</v>
      </c>
      <c r="G33" s="108" t="s">
        <v>326</v>
      </c>
      <c r="H33" s="109" t="s">
        <v>125</v>
      </c>
      <c r="I33" s="109"/>
      <c r="J33" s="109"/>
      <c r="K33" s="110" t="s">
        <v>373</v>
      </c>
      <c r="L33" s="105">
        <v>0.25</v>
      </c>
      <c r="M33" s="106" t="s">
        <v>328</v>
      </c>
      <c r="N33" s="108"/>
      <c r="O33" s="107"/>
    </row>
    <row r="34" spans="1:15" ht="14.25" customHeight="1">
      <c r="A34" s="108">
        <v>30</v>
      </c>
      <c r="B34" s="109" t="s">
        <v>223</v>
      </c>
      <c r="C34" s="110" t="s">
        <v>224</v>
      </c>
      <c r="D34" s="109"/>
      <c r="E34" s="109">
        <v>7</v>
      </c>
      <c r="F34" s="111" t="s">
        <v>374</v>
      </c>
      <c r="G34" s="108" t="s">
        <v>326</v>
      </c>
      <c r="H34" s="109" t="s">
        <v>125</v>
      </c>
      <c r="I34" s="109"/>
      <c r="J34" s="109"/>
      <c r="K34" s="110" t="s">
        <v>375</v>
      </c>
      <c r="L34" s="105">
        <v>0.25</v>
      </c>
      <c r="M34" s="106" t="s">
        <v>328</v>
      </c>
      <c r="N34" s="108"/>
      <c r="O34" s="107"/>
    </row>
    <row r="35" spans="1:15" ht="14.25" customHeight="1">
      <c r="A35" s="100">
        <v>31</v>
      </c>
      <c r="B35" s="101" t="s">
        <v>226</v>
      </c>
      <c r="C35" s="102" t="s">
        <v>227</v>
      </c>
      <c r="D35" s="101"/>
      <c r="E35" s="101">
        <v>1</v>
      </c>
      <c r="F35" s="103" t="s">
        <v>376</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377</v>
      </c>
      <c r="G36" s="100" t="s">
        <v>245</v>
      </c>
      <c r="H36" s="101" t="s">
        <v>214</v>
      </c>
      <c r="I36" s="101" t="s">
        <v>315</v>
      </c>
      <c r="J36" s="104">
        <v>1</v>
      </c>
      <c r="K36" s="102" t="s">
        <v>350</v>
      </c>
      <c r="L36" s="105">
        <v>1</v>
      </c>
      <c r="M36" s="106" t="s">
        <v>317</v>
      </c>
      <c r="N36" s="100"/>
      <c r="O36" s="107"/>
    </row>
    <row r="37" spans="1:15" ht="14.25" customHeight="1">
      <c r="A37" s="100">
        <v>33</v>
      </c>
      <c r="B37" s="101" t="s">
        <v>226</v>
      </c>
      <c r="C37" s="102" t="s">
        <v>227</v>
      </c>
      <c r="D37" s="101"/>
      <c r="E37" s="101">
        <v>3</v>
      </c>
      <c r="F37" s="103" t="s">
        <v>378</v>
      </c>
      <c r="G37" s="100" t="s">
        <v>245</v>
      </c>
      <c r="H37" s="101" t="s">
        <v>214</v>
      </c>
      <c r="I37" s="101" t="s">
        <v>348</v>
      </c>
      <c r="J37" s="104">
        <v>0.4</v>
      </c>
      <c r="K37" s="102" t="s">
        <v>352</v>
      </c>
      <c r="L37" s="105">
        <v>1</v>
      </c>
      <c r="M37" s="106" t="s">
        <v>317</v>
      </c>
      <c r="N37" s="100"/>
      <c r="O37" s="107"/>
    </row>
    <row r="38" spans="1:15" ht="14.25" customHeight="1">
      <c r="A38" s="108">
        <v>34</v>
      </c>
      <c r="B38" s="109" t="s">
        <v>226</v>
      </c>
      <c r="C38" s="110" t="s">
        <v>227</v>
      </c>
      <c r="D38" s="109"/>
      <c r="E38" s="109">
        <v>4</v>
      </c>
      <c r="F38" s="111" t="s">
        <v>379</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380</v>
      </c>
      <c r="G39" s="100" t="s">
        <v>260</v>
      </c>
      <c r="H39" s="101" t="s">
        <v>214</v>
      </c>
      <c r="I39" s="101" t="s">
        <v>315</v>
      </c>
      <c r="J39" s="104">
        <v>1</v>
      </c>
      <c r="K39" s="102" t="s">
        <v>381</v>
      </c>
      <c r="L39" s="105">
        <v>1</v>
      </c>
      <c r="M39" s="106" t="s">
        <v>317</v>
      </c>
      <c r="N39" s="100"/>
      <c r="O39" s="107"/>
    </row>
    <row r="40" spans="1:15" ht="14.25" customHeight="1">
      <c r="A40" s="108">
        <v>36</v>
      </c>
      <c r="B40" s="109" t="s">
        <v>226</v>
      </c>
      <c r="C40" s="110" t="s">
        <v>227</v>
      </c>
      <c r="D40" s="109"/>
      <c r="E40" s="109">
        <v>6</v>
      </c>
      <c r="F40" s="111" t="s">
        <v>382</v>
      </c>
      <c r="G40" s="108" t="s">
        <v>326</v>
      </c>
      <c r="H40" s="109" t="s">
        <v>125</v>
      </c>
      <c r="I40" s="109"/>
      <c r="J40" s="109"/>
      <c r="K40" s="110" t="s">
        <v>373</v>
      </c>
      <c r="L40" s="105">
        <v>0.25</v>
      </c>
      <c r="M40" s="106" t="s">
        <v>328</v>
      </c>
      <c r="N40" s="108"/>
      <c r="O40" s="107"/>
    </row>
    <row r="41" spans="1:15" ht="14.25" customHeight="1">
      <c r="A41" s="100">
        <v>37</v>
      </c>
      <c r="B41" s="101" t="s">
        <v>226</v>
      </c>
      <c r="C41" s="102" t="s">
        <v>227</v>
      </c>
      <c r="D41" s="101"/>
      <c r="E41" s="101">
        <v>7</v>
      </c>
      <c r="F41" s="103" t="s">
        <v>383</v>
      </c>
      <c r="G41" s="100" t="s">
        <v>326</v>
      </c>
      <c r="H41" s="101" t="s">
        <v>214</v>
      </c>
      <c r="I41" s="101" t="s">
        <v>315</v>
      </c>
      <c r="J41" s="104">
        <v>1</v>
      </c>
      <c r="K41" s="102" t="s">
        <v>375</v>
      </c>
      <c r="L41" s="105">
        <v>0.25</v>
      </c>
      <c r="M41" s="106" t="s">
        <v>328</v>
      </c>
      <c r="N41" s="100"/>
      <c r="O41" s="107"/>
    </row>
    <row r="42" spans="1:15" ht="22.5" customHeight="1">
      <c r="A42" s="100">
        <v>38</v>
      </c>
      <c r="B42" s="101" t="s">
        <v>226</v>
      </c>
      <c r="C42" s="102" t="s">
        <v>227</v>
      </c>
      <c r="D42" s="101"/>
      <c r="E42" s="101">
        <v>8</v>
      </c>
      <c r="F42" s="103" t="s">
        <v>384</v>
      </c>
      <c r="G42" s="100" t="s">
        <v>326</v>
      </c>
      <c r="H42" s="101" t="s">
        <v>214</v>
      </c>
      <c r="I42" s="101" t="s">
        <v>315</v>
      </c>
      <c r="J42" s="104">
        <v>1</v>
      </c>
      <c r="K42" s="102" t="s">
        <v>385</v>
      </c>
      <c r="L42" s="105">
        <v>0.25</v>
      </c>
      <c r="M42" s="106" t="s">
        <v>328</v>
      </c>
      <c r="N42" s="100"/>
      <c r="O42" s="107"/>
    </row>
    <row r="43" spans="1:15" ht="14.25" customHeight="1">
      <c r="A43" s="108">
        <v>39</v>
      </c>
      <c r="B43" s="109" t="s">
        <v>229</v>
      </c>
      <c r="C43" s="110" t="s">
        <v>230</v>
      </c>
      <c r="D43" s="109"/>
      <c r="E43" s="109">
        <v>1</v>
      </c>
      <c r="F43" s="111" t="s">
        <v>386</v>
      </c>
      <c r="G43" s="108" t="s">
        <v>260</v>
      </c>
      <c r="H43" s="109" t="s">
        <v>125</v>
      </c>
      <c r="I43" s="109"/>
      <c r="J43" s="109"/>
      <c r="K43" s="110" t="s">
        <v>387</v>
      </c>
      <c r="L43" s="105">
        <v>1</v>
      </c>
      <c r="M43" s="106" t="s">
        <v>317</v>
      </c>
      <c r="N43" s="108"/>
      <c r="O43" s="107"/>
    </row>
    <row r="44" spans="1:15" ht="14.25" customHeight="1">
      <c r="A44" s="108">
        <v>40</v>
      </c>
      <c r="B44" s="109" t="s">
        <v>229</v>
      </c>
      <c r="C44" s="110" t="s">
        <v>230</v>
      </c>
      <c r="D44" s="109"/>
      <c r="E44" s="109">
        <v>2</v>
      </c>
      <c r="F44" s="111" t="s">
        <v>388</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389</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390</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391</v>
      </c>
      <c r="G47" s="108" t="s">
        <v>326</v>
      </c>
      <c r="H47" s="109" t="s">
        <v>125</v>
      </c>
      <c r="I47" s="109"/>
      <c r="J47" s="109"/>
      <c r="K47" s="110" t="s">
        <v>327</v>
      </c>
      <c r="L47" s="105">
        <v>0.25</v>
      </c>
      <c r="M47" s="106" t="s">
        <v>328</v>
      </c>
      <c r="N47" s="108"/>
      <c r="O47" s="107"/>
    </row>
    <row r="48" spans="1:15" ht="14.25" customHeight="1">
      <c r="A48" s="108">
        <v>44</v>
      </c>
      <c r="B48" s="109" t="s">
        <v>229</v>
      </c>
      <c r="C48" s="110" t="s">
        <v>230</v>
      </c>
      <c r="D48" s="109"/>
      <c r="E48" s="109">
        <v>6</v>
      </c>
      <c r="F48" s="111" t="s">
        <v>392</v>
      </c>
      <c r="G48" s="108" t="s">
        <v>326</v>
      </c>
      <c r="H48" s="109" t="s">
        <v>125</v>
      </c>
      <c r="I48" s="109"/>
      <c r="J48" s="109"/>
      <c r="K48" s="110" t="s">
        <v>373</v>
      </c>
      <c r="L48" s="105">
        <v>0.25</v>
      </c>
      <c r="M48" s="106" t="s">
        <v>328</v>
      </c>
      <c r="N48" s="108"/>
      <c r="O48" s="107"/>
    </row>
    <row r="49" spans="1:15" ht="14.25" customHeight="1">
      <c r="A49" s="108">
        <v>45</v>
      </c>
      <c r="B49" s="109" t="s">
        <v>229</v>
      </c>
      <c r="C49" s="110" t="s">
        <v>230</v>
      </c>
      <c r="D49" s="109"/>
      <c r="E49" s="109">
        <v>7</v>
      </c>
      <c r="F49" s="111" t="s">
        <v>393</v>
      </c>
      <c r="G49" s="108" t="s">
        <v>326</v>
      </c>
      <c r="H49" s="109" t="s">
        <v>125</v>
      </c>
      <c r="I49" s="109"/>
      <c r="J49" s="109"/>
      <c r="K49" s="110" t="s">
        <v>375</v>
      </c>
      <c r="L49" s="105">
        <v>0.25</v>
      </c>
      <c r="M49" s="106" t="s">
        <v>328</v>
      </c>
      <c r="N49" s="108"/>
      <c r="O49" s="107"/>
    </row>
    <row r="50" spans="1:15" ht="14.25" customHeight="1">
      <c r="A50" s="108">
        <v>46</v>
      </c>
      <c r="B50" s="109" t="s">
        <v>234</v>
      </c>
      <c r="C50" s="110" t="s">
        <v>235</v>
      </c>
      <c r="D50" s="109"/>
      <c r="E50" s="109">
        <v>1</v>
      </c>
      <c r="F50" s="111" t="s">
        <v>394</v>
      </c>
      <c r="G50" s="108" t="s">
        <v>260</v>
      </c>
      <c r="H50" s="109" t="s">
        <v>125</v>
      </c>
      <c r="I50" s="109"/>
      <c r="J50" s="109"/>
      <c r="K50" s="110" t="s">
        <v>387</v>
      </c>
      <c r="L50" s="105">
        <v>1</v>
      </c>
      <c r="M50" s="106" t="s">
        <v>317</v>
      </c>
      <c r="N50" s="108"/>
      <c r="O50" s="107"/>
    </row>
    <row r="51" spans="1:15" ht="14.25" customHeight="1">
      <c r="A51" s="108">
        <v>47</v>
      </c>
      <c r="B51" s="109" t="s">
        <v>234</v>
      </c>
      <c r="C51" s="110" t="s">
        <v>235</v>
      </c>
      <c r="D51" s="109"/>
      <c r="E51" s="109">
        <v>2</v>
      </c>
      <c r="F51" s="111" t="s">
        <v>395</v>
      </c>
      <c r="G51" s="108" t="s">
        <v>260</v>
      </c>
      <c r="H51" s="109" t="s">
        <v>125</v>
      </c>
      <c r="I51" s="109"/>
      <c r="J51" s="109"/>
      <c r="K51" s="110" t="s">
        <v>319</v>
      </c>
      <c r="L51" s="105">
        <v>1</v>
      </c>
      <c r="M51" s="106" t="s">
        <v>317</v>
      </c>
      <c r="N51" s="108"/>
      <c r="O51" s="107"/>
    </row>
    <row r="52" spans="1:15" ht="14.25" customHeight="1">
      <c r="A52" s="108">
        <v>48</v>
      </c>
      <c r="B52" s="109" t="s">
        <v>234</v>
      </c>
      <c r="C52" s="110" t="s">
        <v>235</v>
      </c>
      <c r="D52" s="109"/>
      <c r="E52" s="109">
        <v>3</v>
      </c>
      <c r="F52" s="111" t="s">
        <v>396</v>
      </c>
      <c r="G52" s="108" t="s">
        <v>260</v>
      </c>
      <c r="H52" s="109" t="s">
        <v>125</v>
      </c>
      <c r="I52" s="109"/>
      <c r="J52" s="109"/>
      <c r="K52" s="110" t="s">
        <v>321</v>
      </c>
      <c r="L52" s="105">
        <v>1</v>
      </c>
      <c r="M52" s="106" t="s">
        <v>317</v>
      </c>
      <c r="N52" s="108"/>
      <c r="O52" s="107"/>
    </row>
    <row r="53" spans="1:15" ht="14.25" customHeight="1">
      <c r="A53" s="100">
        <v>49</v>
      </c>
      <c r="B53" s="101" t="s">
        <v>234</v>
      </c>
      <c r="C53" s="102" t="s">
        <v>235</v>
      </c>
      <c r="D53" s="101"/>
      <c r="E53" s="101">
        <v>4</v>
      </c>
      <c r="F53" s="103" t="s">
        <v>397</v>
      </c>
      <c r="G53" s="100" t="s">
        <v>326</v>
      </c>
      <c r="H53" s="101" t="s">
        <v>214</v>
      </c>
      <c r="I53" s="101" t="s">
        <v>315</v>
      </c>
      <c r="J53" s="104">
        <v>1</v>
      </c>
      <c r="K53" s="102" t="s">
        <v>398</v>
      </c>
      <c r="L53" s="105">
        <v>0.25</v>
      </c>
      <c r="M53" s="106" t="s">
        <v>328</v>
      </c>
      <c r="N53" s="100"/>
      <c r="O53" s="107"/>
    </row>
    <row r="54" spans="1:15" ht="14.25" customHeight="1">
      <c r="A54" s="108">
        <v>50</v>
      </c>
      <c r="B54" s="109" t="s">
        <v>234</v>
      </c>
      <c r="C54" s="110" t="s">
        <v>235</v>
      </c>
      <c r="D54" s="109"/>
      <c r="E54" s="109">
        <v>5</v>
      </c>
      <c r="F54" s="111" t="s">
        <v>399</v>
      </c>
      <c r="G54" s="108" t="s">
        <v>326</v>
      </c>
      <c r="H54" s="109" t="s">
        <v>125</v>
      </c>
      <c r="I54" s="109"/>
      <c r="J54" s="109"/>
      <c r="K54" s="110" t="s">
        <v>327</v>
      </c>
      <c r="L54" s="105">
        <v>0.25</v>
      </c>
      <c r="M54" s="106" t="s">
        <v>328</v>
      </c>
      <c r="N54" s="108"/>
      <c r="O54" s="107"/>
    </row>
    <row r="55" spans="1:15" ht="14.25" customHeight="1">
      <c r="A55" s="108">
        <v>51</v>
      </c>
      <c r="B55" s="109" t="s">
        <v>234</v>
      </c>
      <c r="C55" s="110" t="s">
        <v>235</v>
      </c>
      <c r="D55" s="109"/>
      <c r="E55" s="109">
        <v>6</v>
      </c>
      <c r="F55" s="111" t="s">
        <v>400</v>
      </c>
      <c r="G55" s="108" t="s">
        <v>326</v>
      </c>
      <c r="H55" s="109" t="s">
        <v>125</v>
      </c>
      <c r="I55" s="109"/>
      <c r="J55" s="109"/>
      <c r="K55" s="110" t="s">
        <v>373</v>
      </c>
      <c r="L55" s="105">
        <v>0.25</v>
      </c>
      <c r="M55" s="106" t="s">
        <v>328</v>
      </c>
      <c r="N55" s="108"/>
      <c r="O55" s="107"/>
    </row>
    <row r="56" spans="1:15" ht="14.25" customHeight="1">
      <c r="A56" s="100">
        <v>52</v>
      </c>
      <c r="B56" s="101" t="s">
        <v>238</v>
      </c>
      <c r="C56" s="100" t="s">
        <v>401</v>
      </c>
      <c r="D56" s="101"/>
      <c r="E56" s="101">
        <v>1</v>
      </c>
      <c r="F56" s="103" t="s">
        <v>402</v>
      </c>
      <c r="G56" s="100" t="s">
        <v>245</v>
      </c>
      <c r="H56" s="101" t="s">
        <v>214</v>
      </c>
      <c r="I56" s="101" t="s">
        <v>348</v>
      </c>
      <c r="J56" s="104">
        <v>0.4</v>
      </c>
      <c r="K56" s="102" t="s">
        <v>316</v>
      </c>
      <c r="L56" s="105">
        <v>1</v>
      </c>
      <c r="M56" s="106" t="s">
        <v>317</v>
      </c>
      <c r="N56" s="100"/>
      <c r="O56" s="107"/>
    </row>
    <row r="57" spans="1:15" ht="14.25" customHeight="1">
      <c r="A57" s="100">
        <v>53</v>
      </c>
      <c r="B57" s="101" t="s">
        <v>238</v>
      </c>
      <c r="C57" s="100" t="s">
        <v>401</v>
      </c>
      <c r="D57" s="101"/>
      <c r="E57" s="101">
        <v>2</v>
      </c>
      <c r="F57" s="103" t="s">
        <v>403</v>
      </c>
      <c r="G57" s="100" t="s">
        <v>245</v>
      </c>
      <c r="H57" s="101" t="s">
        <v>214</v>
      </c>
      <c r="I57" s="101" t="s">
        <v>348</v>
      </c>
      <c r="J57" s="104">
        <v>0.4</v>
      </c>
      <c r="K57" s="102" t="s">
        <v>350</v>
      </c>
      <c r="L57" s="105">
        <v>1</v>
      </c>
      <c r="M57" s="106" t="s">
        <v>317</v>
      </c>
      <c r="N57" s="100"/>
      <c r="O57" s="107"/>
    </row>
    <row r="58" spans="1:15" ht="14.25" customHeight="1">
      <c r="A58" s="100">
        <v>54</v>
      </c>
      <c r="B58" s="101" t="s">
        <v>238</v>
      </c>
      <c r="C58" s="100" t="s">
        <v>401</v>
      </c>
      <c r="D58" s="101"/>
      <c r="E58" s="101">
        <v>3</v>
      </c>
      <c r="F58" s="103" t="s">
        <v>404</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401</v>
      </c>
      <c r="D59" s="101"/>
      <c r="E59" s="101">
        <v>4</v>
      </c>
      <c r="F59" s="103" t="s">
        <v>405</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401</v>
      </c>
      <c r="D60" s="101"/>
      <c r="E60" s="101">
        <v>5</v>
      </c>
      <c r="F60" s="103" t="s">
        <v>406</v>
      </c>
      <c r="G60" s="100" t="s">
        <v>326</v>
      </c>
      <c r="H60" s="101" t="s">
        <v>214</v>
      </c>
      <c r="I60" s="101" t="s">
        <v>315</v>
      </c>
      <c r="J60" s="104">
        <v>1</v>
      </c>
      <c r="K60" s="102" t="s">
        <v>327</v>
      </c>
      <c r="L60" s="105">
        <v>0.25</v>
      </c>
      <c r="M60" s="106" t="s">
        <v>328</v>
      </c>
      <c r="N60" s="100"/>
      <c r="O60" s="107"/>
    </row>
    <row r="61" spans="1:15" ht="22.5" customHeight="1">
      <c r="A61" s="100">
        <v>57</v>
      </c>
      <c r="B61" s="101" t="s">
        <v>238</v>
      </c>
      <c r="C61" s="100" t="s">
        <v>401</v>
      </c>
      <c r="D61" s="101"/>
      <c r="E61" s="101">
        <v>6</v>
      </c>
      <c r="F61" s="103" t="s">
        <v>407</v>
      </c>
      <c r="G61" s="100" t="s">
        <v>326</v>
      </c>
      <c r="H61" s="101" t="s">
        <v>214</v>
      </c>
      <c r="I61" s="101" t="s">
        <v>315</v>
      </c>
      <c r="J61" s="104">
        <v>1</v>
      </c>
      <c r="K61" s="102" t="s">
        <v>373</v>
      </c>
      <c r="L61" s="105">
        <v>0.25</v>
      </c>
      <c r="M61" s="106" t="s">
        <v>328</v>
      </c>
      <c r="N61" s="100"/>
      <c r="O61" s="107"/>
    </row>
    <row r="62" spans="1:15" ht="14.25" customHeight="1">
      <c r="A62" s="100">
        <v>58</v>
      </c>
      <c r="B62" s="101" t="s">
        <v>242</v>
      </c>
      <c r="C62" s="102" t="s">
        <v>243</v>
      </c>
      <c r="D62" s="101"/>
      <c r="E62" s="101">
        <v>1</v>
      </c>
      <c r="F62" s="103" t="s">
        <v>408</v>
      </c>
      <c r="G62" s="100" t="s">
        <v>245</v>
      </c>
      <c r="H62" s="101" t="s">
        <v>214</v>
      </c>
      <c r="I62" s="101" t="s">
        <v>348</v>
      </c>
      <c r="J62" s="104">
        <v>0.4</v>
      </c>
      <c r="K62" s="102" t="s">
        <v>316</v>
      </c>
      <c r="L62" s="105">
        <v>1</v>
      </c>
      <c r="M62" s="106" t="s">
        <v>317</v>
      </c>
      <c r="N62" s="100"/>
      <c r="O62" s="107"/>
    </row>
    <row r="63" spans="1:15" ht="22.5" customHeight="1">
      <c r="A63" s="100">
        <v>59</v>
      </c>
      <c r="B63" s="101" t="s">
        <v>242</v>
      </c>
      <c r="C63" s="102" t="s">
        <v>243</v>
      </c>
      <c r="D63" s="101"/>
      <c r="E63" s="101">
        <v>2</v>
      </c>
      <c r="F63" s="103" t="s">
        <v>409</v>
      </c>
      <c r="G63" s="100" t="s">
        <v>245</v>
      </c>
      <c r="H63" s="101" t="s">
        <v>214</v>
      </c>
      <c r="I63" s="101" t="s">
        <v>348</v>
      </c>
      <c r="J63" s="104">
        <v>0.4</v>
      </c>
      <c r="K63" s="102" t="s">
        <v>350</v>
      </c>
      <c r="L63" s="105">
        <v>1</v>
      </c>
      <c r="M63" s="106" t="s">
        <v>317</v>
      </c>
      <c r="N63" s="100"/>
      <c r="O63" s="107"/>
    </row>
    <row r="64" spans="1:15" ht="14.25" customHeight="1">
      <c r="A64" s="100">
        <v>60</v>
      </c>
      <c r="B64" s="101" t="s">
        <v>242</v>
      </c>
      <c r="C64" s="102" t="s">
        <v>243</v>
      </c>
      <c r="D64" s="101"/>
      <c r="E64" s="101">
        <v>3</v>
      </c>
      <c r="F64" s="103" t="s">
        <v>410</v>
      </c>
      <c r="G64" s="100" t="s">
        <v>245</v>
      </c>
      <c r="H64" s="101" t="s">
        <v>214</v>
      </c>
      <c r="I64" s="101" t="s">
        <v>315</v>
      </c>
      <c r="J64" s="104">
        <v>1</v>
      </c>
      <c r="K64" s="102" t="s">
        <v>352</v>
      </c>
      <c r="L64" s="105">
        <v>1</v>
      </c>
      <c r="M64" s="106" t="s">
        <v>317</v>
      </c>
      <c r="N64" s="100"/>
      <c r="O64" s="107"/>
    </row>
    <row r="65" spans="1:15" ht="14.25" customHeight="1">
      <c r="A65" s="100">
        <v>61</v>
      </c>
      <c r="B65" s="101" t="s">
        <v>242</v>
      </c>
      <c r="C65" s="102" t="s">
        <v>243</v>
      </c>
      <c r="D65" s="101"/>
      <c r="E65" s="101">
        <v>4</v>
      </c>
      <c r="F65" s="103" t="s">
        <v>411</v>
      </c>
      <c r="G65" s="100" t="s">
        <v>245</v>
      </c>
      <c r="H65" s="101" t="s">
        <v>214</v>
      </c>
      <c r="I65" s="101" t="s">
        <v>315</v>
      </c>
      <c r="J65" s="104">
        <v>1</v>
      </c>
      <c r="K65" s="102" t="s">
        <v>354</v>
      </c>
      <c r="L65" s="105">
        <v>1</v>
      </c>
      <c r="M65" s="106" t="s">
        <v>317</v>
      </c>
      <c r="N65" s="100"/>
      <c r="O65" s="107"/>
    </row>
    <row r="66" spans="1:15" ht="22.5" customHeight="1">
      <c r="A66" s="100">
        <v>62</v>
      </c>
      <c r="B66" s="101" t="s">
        <v>242</v>
      </c>
      <c r="C66" s="102" t="s">
        <v>243</v>
      </c>
      <c r="D66" s="101"/>
      <c r="E66" s="101">
        <v>5</v>
      </c>
      <c r="F66" s="103" t="s">
        <v>412</v>
      </c>
      <c r="G66" s="100" t="s">
        <v>245</v>
      </c>
      <c r="H66" s="101" t="s">
        <v>214</v>
      </c>
      <c r="I66" s="101" t="s">
        <v>315</v>
      </c>
      <c r="J66" s="104">
        <v>1</v>
      </c>
      <c r="K66" s="102" t="s">
        <v>356</v>
      </c>
      <c r="L66" s="105">
        <v>1</v>
      </c>
      <c r="M66" s="106" t="s">
        <v>317</v>
      </c>
      <c r="N66" s="100"/>
      <c r="O66" s="107"/>
    </row>
    <row r="67" spans="1:15" ht="14.25" customHeight="1">
      <c r="A67" s="100">
        <v>63</v>
      </c>
      <c r="B67" s="101" t="s">
        <v>242</v>
      </c>
      <c r="C67" s="102" t="s">
        <v>243</v>
      </c>
      <c r="D67" s="101"/>
      <c r="E67" s="101">
        <v>6</v>
      </c>
      <c r="F67" s="103" t="s">
        <v>413</v>
      </c>
      <c r="G67" s="100" t="s">
        <v>245</v>
      </c>
      <c r="H67" s="101" t="s">
        <v>214</v>
      </c>
      <c r="I67" s="101" t="s">
        <v>315</v>
      </c>
      <c r="J67" s="104">
        <v>1</v>
      </c>
      <c r="K67" s="102" t="s">
        <v>358</v>
      </c>
      <c r="L67" s="105">
        <v>1</v>
      </c>
      <c r="M67" s="106" t="s">
        <v>317</v>
      </c>
      <c r="N67" s="100"/>
      <c r="O67" s="107"/>
    </row>
    <row r="68" spans="1:15" ht="14.25" customHeight="1">
      <c r="A68" s="100">
        <v>64</v>
      </c>
      <c r="B68" s="101" t="s">
        <v>246</v>
      </c>
      <c r="C68" s="102" t="s">
        <v>247</v>
      </c>
      <c r="D68" s="101"/>
      <c r="E68" s="101">
        <v>1</v>
      </c>
      <c r="F68" s="103" t="s">
        <v>414</v>
      </c>
      <c r="G68" s="100" t="s">
        <v>245</v>
      </c>
      <c r="H68" s="101" t="s">
        <v>214</v>
      </c>
      <c r="I68" s="101" t="s">
        <v>348</v>
      </c>
      <c r="J68" s="104">
        <v>0.4</v>
      </c>
      <c r="K68" s="102" t="s">
        <v>316</v>
      </c>
      <c r="L68" s="105">
        <v>1</v>
      </c>
      <c r="M68" s="106" t="s">
        <v>317</v>
      </c>
      <c r="N68" s="100"/>
      <c r="O68" s="107"/>
    </row>
    <row r="69" spans="1:15" ht="14.25" customHeight="1">
      <c r="A69" s="100">
        <v>65</v>
      </c>
      <c r="B69" s="101" t="s">
        <v>246</v>
      </c>
      <c r="C69" s="102" t="s">
        <v>247</v>
      </c>
      <c r="D69" s="101"/>
      <c r="E69" s="101">
        <v>2</v>
      </c>
      <c r="F69" s="103" t="s">
        <v>415</v>
      </c>
      <c r="G69" s="100" t="s">
        <v>245</v>
      </c>
      <c r="H69" s="101" t="s">
        <v>214</v>
      </c>
      <c r="I69" s="101" t="s">
        <v>348</v>
      </c>
      <c r="J69" s="104">
        <v>0.4</v>
      </c>
      <c r="K69" s="102" t="s">
        <v>350</v>
      </c>
      <c r="L69" s="105">
        <v>1</v>
      </c>
      <c r="M69" s="106" t="s">
        <v>317</v>
      </c>
      <c r="N69" s="100"/>
      <c r="O69" s="107"/>
    </row>
    <row r="70" spans="1:15" ht="14.25" customHeight="1">
      <c r="A70" s="100">
        <v>66</v>
      </c>
      <c r="B70" s="101" t="s">
        <v>246</v>
      </c>
      <c r="C70" s="102" t="s">
        <v>247</v>
      </c>
      <c r="D70" s="101"/>
      <c r="E70" s="101">
        <v>3</v>
      </c>
      <c r="F70" s="103" t="s">
        <v>416</v>
      </c>
      <c r="G70" s="100" t="s">
        <v>245</v>
      </c>
      <c r="H70" s="101" t="s">
        <v>214</v>
      </c>
      <c r="I70" s="101" t="s">
        <v>315</v>
      </c>
      <c r="J70" s="104">
        <v>1</v>
      </c>
      <c r="K70" s="102" t="s">
        <v>352</v>
      </c>
      <c r="L70" s="105">
        <v>1</v>
      </c>
      <c r="M70" s="106" t="s">
        <v>317</v>
      </c>
      <c r="N70" s="100"/>
      <c r="O70" s="107"/>
    </row>
    <row r="71" spans="1:15" ht="22.5" customHeight="1">
      <c r="A71" s="100">
        <v>67</v>
      </c>
      <c r="B71" s="101" t="s">
        <v>246</v>
      </c>
      <c r="C71" s="102" t="s">
        <v>247</v>
      </c>
      <c r="D71" s="101"/>
      <c r="E71" s="101">
        <v>4</v>
      </c>
      <c r="F71" s="103" t="s">
        <v>417</v>
      </c>
      <c r="G71" s="100" t="s">
        <v>245</v>
      </c>
      <c r="H71" s="101" t="s">
        <v>214</v>
      </c>
      <c r="I71" s="101" t="s">
        <v>315</v>
      </c>
      <c r="J71" s="104">
        <v>1</v>
      </c>
      <c r="K71" s="102" t="s">
        <v>354</v>
      </c>
      <c r="L71" s="105">
        <v>1</v>
      </c>
      <c r="M71" s="106" t="s">
        <v>317</v>
      </c>
      <c r="N71" s="100"/>
      <c r="O71" s="107"/>
    </row>
    <row r="72" spans="1:15" ht="14.25" customHeight="1">
      <c r="A72" s="100">
        <v>68</v>
      </c>
      <c r="B72" s="101" t="s">
        <v>246</v>
      </c>
      <c r="C72" s="102" t="s">
        <v>247</v>
      </c>
      <c r="D72" s="101"/>
      <c r="E72" s="101">
        <v>5</v>
      </c>
      <c r="F72" s="103" t="s">
        <v>418</v>
      </c>
      <c r="G72" s="100" t="s">
        <v>245</v>
      </c>
      <c r="H72" s="101" t="s">
        <v>214</v>
      </c>
      <c r="I72" s="101" t="s">
        <v>315</v>
      </c>
      <c r="J72" s="104">
        <v>1</v>
      </c>
      <c r="K72" s="102" t="s">
        <v>356</v>
      </c>
      <c r="L72" s="105">
        <v>1</v>
      </c>
      <c r="M72" s="106" t="s">
        <v>317</v>
      </c>
      <c r="N72" s="100"/>
      <c r="O72" s="107"/>
    </row>
    <row r="73" spans="1:15" ht="14.25" customHeight="1">
      <c r="A73" s="100">
        <v>69</v>
      </c>
      <c r="B73" s="101" t="s">
        <v>248</v>
      </c>
      <c r="C73" s="102" t="s">
        <v>249</v>
      </c>
      <c r="D73" s="101"/>
      <c r="E73" s="101">
        <v>1</v>
      </c>
      <c r="F73" s="103" t="s">
        <v>419</v>
      </c>
      <c r="G73" s="100" t="s">
        <v>260</v>
      </c>
      <c r="H73" s="101" t="s">
        <v>214</v>
      </c>
      <c r="I73" s="101" t="s">
        <v>315</v>
      </c>
      <c r="J73" s="104">
        <v>1</v>
      </c>
      <c r="K73" s="102" t="s">
        <v>387</v>
      </c>
      <c r="L73" s="105">
        <v>1</v>
      </c>
      <c r="M73" s="106" t="s">
        <v>317</v>
      </c>
      <c r="N73" s="100"/>
      <c r="O73" s="107"/>
    </row>
    <row r="74" spans="1:15" ht="14.25" customHeight="1">
      <c r="A74" s="100">
        <v>70</v>
      </c>
      <c r="B74" s="101" t="s">
        <v>248</v>
      </c>
      <c r="C74" s="102" t="s">
        <v>249</v>
      </c>
      <c r="D74" s="101"/>
      <c r="E74" s="101">
        <v>2</v>
      </c>
      <c r="F74" s="103" t="s">
        <v>420</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421</v>
      </c>
      <c r="G75" s="100" t="s">
        <v>326</v>
      </c>
      <c r="H75" s="101" t="s">
        <v>214</v>
      </c>
      <c r="I75" s="101" t="s">
        <v>315</v>
      </c>
      <c r="J75" s="104">
        <v>1</v>
      </c>
      <c r="K75" s="102" t="s">
        <v>422</v>
      </c>
      <c r="L75" s="105">
        <v>0.25</v>
      </c>
      <c r="M75" s="106" t="s">
        <v>328</v>
      </c>
      <c r="N75" s="100"/>
      <c r="O75" s="107"/>
    </row>
    <row r="76" spans="1:15" ht="22.5" customHeight="1">
      <c r="A76" s="100">
        <v>72</v>
      </c>
      <c r="B76" s="101" t="s">
        <v>248</v>
      </c>
      <c r="C76" s="102" t="s">
        <v>249</v>
      </c>
      <c r="D76" s="101"/>
      <c r="E76" s="101">
        <v>4</v>
      </c>
      <c r="F76" s="103" t="s">
        <v>423</v>
      </c>
      <c r="G76" s="100" t="s">
        <v>326</v>
      </c>
      <c r="H76" s="101" t="s">
        <v>214</v>
      </c>
      <c r="I76" s="101" t="s">
        <v>315</v>
      </c>
      <c r="J76" s="104">
        <v>1</v>
      </c>
      <c r="K76" s="102" t="s">
        <v>398</v>
      </c>
      <c r="L76" s="105">
        <v>0.25</v>
      </c>
      <c r="M76" s="106" t="s">
        <v>328</v>
      </c>
      <c r="N76" s="100"/>
      <c r="O76" s="107"/>
    </row>
    <row r="77" spans="1:15" ht="14.25" customHeight="1">
      <c r="A77" s="100">
        <v>73</v>
      </c>
      <c r="B77" s="101" t="s">
        <v>248</v>
      </c>
      <c r="C77" s="102" t="s">
        <v>249</v>
      </c>
      <c r="D77" s="101"/>
      <c r="E77" s="101">
        <v>5</v>
      </c>
      <c r="F77" s="103" t="s">
        <v>424</v>
      </c>
      <c r="G77" s="100" t="s">
        <v>326</v>
      </c>
      <c r="H77" s="101" t="s">
        <v>214</v>
      </c>
      <c r="I77" s="101" t="s">
        <v>315</v>
      </c>
      <c r="J77" s="104">
        <v>1</v>
      </c>
      <c r="K77" s="102" t="s">
        <v>327</v>
      </c>
      <c r="L77" s="105">
        <v>0.25</v>
      </c>
      <c r="M77" s="106" t="s">
        <v>328</v>
      </c>
      <c r="N77" s="100"/>
      <c r="O77" s="107"/>
    </row>
    <row r="78" spans="1:15" ht="14.25" customHeight="1">
      <c r="A78" s="100">
        <v>74</v>
      </c>
      <c r="B78" s="101" t="s">
        <v>250</v>
      </c>
      <c r="C78" s="102" t="s">
        <v>251</v>
      </c>
      <c r="D78" s="101"/>
      <c r="E78" s="101">
        <v>1</v>
      </c>
      <c r="F78" s="103" t="s">
        <v>425</v>
      </c>
      <c r="G78" s="100" t="s">
        <v>326</v>
      </c>
      <c r="H78" s="101" t="s">
        <v>214</v>
      </c>
      <c r="I78" s="101" t="s">
        <v>315</v>
      </c>
      <c r="J78" s="104">
        <v>1</v>
      </c>
      <c r="K78" s="102" t="s">
        <v>426</v>
      </c>
      <c r="L78" s="105">
        <v>0.25</v>
      </c>
      <c r="M78" s="106" t="s">
        <v>328</v>
      </c>
      <c r="N78" s="100"/>
      <c r="O78" s="107"/>
    </row>
    <row r="79" spans="1:15" ht="22.5" customHeight="1">
      <c r="A79" s="100">
        <v>75</v>
      </c>
      <c r="B79" s="101" t="s">
        <v>250</v>
      </c>
      <c r="C79" s="102" t="s">
        <v>251</v>
      </c>
      <c r="D79" s="101"/>
      <c r="E79" s="101">
        <v>2</v>
      </c>
      <c r="F79" s="103" t="s">
        <v>427</v>
      </c>
      <c r="G79" s="100" t="s">
        <v>326</v>
      </c>
      <c r="H79" s="101" t="s">
        <v>214</v>
      </c>
      <c r="I79" s="101" t="s">
        <v>315</v>
      </c>
      <c r="J79" s="104">
        <v>1</v>
      </c>
      <c r="K79" s="102" t="s">
        <v>428</v>
      </c>
      <c r="L79" s="105">
        <v>0.25</v>
      </c>
      <c r="M79" s="106" t="s">
        <v>328</v>
      </c>
      <c r="N79" s="100"/>
      <c r="O79" s="107"/>
    </row>
    <row r="80" spans="1:15" ht="14.25" customHeight="1">
      <c r="A80" s="100">
        <v>76</v>
      </c>
      <c r="B80" s="101" t="s">
        <v>250</v>
      </c>
      <c r="C80" s="102" t="s">
        <v>251</v>
      </c>
      <c r="D80" s="101"/>
      <c r="E80" s="101">
        <v>3</v>
      </c>
      <c r="F80" s="103" t="s">
        <v>429</v>
      </c>
      <c r="G80" s="100" t="s">
        <v>280</v>
      </c>
      <c r="H80" s="101" t="s">
        <v>214</v>
      </c>
      <c r="I80" s="101" t="s">
        <v>315</v>
      </c>
      <c r="J80" s="104">
        <v>1</v>
      </c>
      <c r="K80" s="102" t="s">
        <v>430</v>
      </c>
      <c r="L80" s="105">
        <v>0</v>
      </c>
      <c r="M80" s="106" t="s">
        <v>431</v>
      </c>
      <c r="N80" s="100"/>
      <c r="O80" s="107"/>
    </row>
    <row r="81" spans="1:15" ht="22.5" customHeight="1">
      <c r="A81" s="100">
        <v>77</v>
      </c>
      <c r="B81" s="101" t="s">
        <v>250</v>
      </c>
      <c r="C81" s="102" t="s">
        <v>251</v>
      </c>
      <c r="D81" s="101"/>
      <c r="E81" s="101">
        <v>4</v>
      </c>
      <c r="F81" s="103" t="s">
        <v>432</v>
      </c>
      <c r="G81" s="100" t="s">
        <v>280</v>
      </c>
      <c r="H81" s="101" t="s">
        <v>214</v>
      </c>
      <c r="I81" s="101" t="s">
        <v>315</v>
      </c>
      <c r="J81" s="104">
        <v>1</v>
      </c>
      <c r="K81" s="102" t="s">
        <v>433</v>
      </c>
      <c r="L81" s="105">
        <v>0</v>
      </c>
      <c r="M81" s="106" t="s">
        <v>431</v>
      </c>
      <c r="N81" s="100"/>
      <c r="O81" s="107"/>
    </row>
    <row r="82" spans="1:15" ht="14.25" customHeight="1">
      <c r="A82" s="100">
        <v>78</v>
      </c>
      <c r="B82" s="101" t="s">
        <v>250</v>
      </c>
      <c r="C82" s="102" t="s">
        <v>251</v>
      </c>
      <c r="D82" s="101"/>
      <c r="E82" s="101">
        <v>5</v>
      </c>
      <c r="F82" s="103" t="s">
        <v>434</v>
      </c>
      <c r="G82" s="100" t="s">
        <v>280</v>
      </c>
      <c r="H82" s="101" t="s">
        <v>214</v>
      </c>
      <c r="I82" s="101" t="s">
        <v>315</v>
      </c>
      <c r="J82" s="104">
        <v>1</v>
      </c>
      <c r="K82" s="102" t="s">
        <v>435</v>
      </c>
      <c r="L82" s="105">
        <v>0</v>
      </c>
      <c r="M82" s="106" t="s">
        <v>431</v>
      </c>
      <c r="N82" s="100"/>
      <c r="O82" s="107"/>
    </row>
    <row r="83" spans="1:15" ht="14.25" customHeight="1">
      <c r="A83" s="100">
        <v>79</v>
      </c>
      <c r="B83" s="101" t="s">
        <v>253</v>
      </c>
      <c r="C83" s="100" t="s">
        <v>436</v>
      </c>
      <c r="D83" s="101"/>
      <c r="E83" s="101">
        <v>1</v>
      </c>
      <c r="F83" s="103" t="s">
        <v>437</v>
      </c>
      <c r="G83" s="100" t="s">
        <v>245</v>
      </c>
      <c r="H83" s="101" t="s">
        <v>214</v>
      </c>
      <c r="I83" s="101" t="s">
        <v>348</v>
      </c>
      <c r="J83" s="104">
        <v>0.4</v>
      </c>
      <c r="K83" s="102" t="s">
        <v>316</v>
      </c>
      <c r="L83" s="105">
        <v>1</v>
      </c>
      <c r="M83" s="106" t="s">
        <v>317</v>
      </c>
      <c r="N83" s="100"/>
      <c r="O83" s="107"/>
    </row>
    <row r="84" spans="1:15" ht="22.5" customHeight="1">
      <c r="A84" s="100">
        <v>80</v>
      </c>
      <c r="B84" s="101" t="s">
        <v>253</v>
      </c>
      <c r="C84" s="100" t="s">
        <v>436</v>
      </c>
      <c r="D84" s="101"/>
      <c r="E84" s="101">
        <v>2</v>
      </c>
      <c r="F84" s="103" t="s">
        <v>438</v>
      </c>
      <c r="G84" s="100" t="s">
        <v>245</v>
      </c>
      <c r="H84" s="101" t="s">
        <v>214</v>
      </c>
      <c r="I84" s="101" t="s">
        <v>348</v>
      </c>
      <c r="J84" s="104">
        <v>0.4</v>
      </c>
      <c r="K84" s="102" t="s">
        <v>350</v>
      </c>
      <c r="L84" s="105">
        <v>1</v>
      </c>
      <c r="M84" s="106" t="s">
        <v>317</v>
      </c>
      <c r="N84" s="100"/>
      <c r="O84" s="107"/>
    </row>
    <row r="85" spans="1:15" ht="14.25" customHeight="1">
      <c r="A85" s="100">
        <v>81</v>
      </c>
      <c r="B85" s="101" t="s">
        <v>253</v>
      </c>
      <c r="C85" s="100" t="s">
        <v>436</v>
      </c>
      <c r="D85" s="101"/>
      <c r="E85" s="101">
        <v>3</v>
      </c>
      <c r="F85" s="103" t="s">
        <v>439</v>
      </c>
      <c r="G85" s="100" t="s">
        <v>245</v>
      </c>
      <c r="H85" s="101" t="s">
        <v>214</v>
      </c>
      <c r="I85" s="101" t="s">
        <v>315</v>
      </c>
      <c r="J85" s="104">
        <v>1</v>
      </c>
      <c r="K85" s="102" t="s">
        <v>352</v>
      </c>
      <c r="L85" s="105">
        <v>1</v>
      </c>
      <c r="M85" s="106" t="s">
        <v>317</v>
      </c>
      <c r="N85" s="100"/>
      <c r="O85" s="107"/>
    </row>
    <row r="86" spans="1:15" ht="14.25" customHeight="1">
      <c r="A86" s="100">
        <v>82</v>
      </c>
      <c r="B86" s="101" t="s">
        <v>253</v>
      </c>
      <c r="C86" s="100" t="s">
        <v>436</v>
      </c>
      <c r="D86" s="101"/>
      <c r="E86" s="101">
        <v>4</v>
      </c>
      <c r="F86" s="103" t="s">
        <v>440</v>
      </c>
      <c r="G86" s="100" t="s">
        <v>245</v>
      </c>
      <c r="H86" s="101" t="s">
        <v>214</v>
      </c>
      <c r="I86" s="101" t="s">
        <v>315</v>
      </c>
      <c r="J86" s="104">
        <v>1</v>
      </c>
      <c r="K86" s="102" t="s">
        <v>354</v>
      </c>
      <c r="L86" s="105">
        <v>1</v>
      </c>
      <c r="M86" s="106" t="s">
        <v>317</v>
      </c>
      <c r="N86" s="100"/>
      <c r="O86" s="107"/>
    </row>
    <row r="87" spans="1:15" ht="22.5" customHeight="1">
      <c r="A87" s="100">
        <v>83</v>
      </c>
      <c r="B87" s="101" t="s">
        <v>253</v>
      </c>
      <c r="C87" s="100" t="s">
        <v>436</v>
      </c>
      <c r="D87" s="101"/>
      <c r="E87" s="101">
        <v>5</v>
      </c>
      <c r="F87" s="103" t="s">
        <v>441</v>
      </c>
      <c r="G87" s="100" t="s">
        <v>245</v>
      </c>
      <c r="H87" s="101" t="s">
        <v>214</v>
      </c>
      <c r="I87" s="101" t="s">
        <v>315</v>
      </c>
      <c r="J87" s="104">
        <v>1</v>
      </c>
      <c r="K87" s="102" t="s">
        <v>356</v>
      </c>
      <c r="L87" s="105">
        <v>1</v>
      </c>
      <c r="M87" s="106" t="s">
        <v>317</v>
      </c>
      <c r="N87" s="100"/>
      <c r="O87" s="107"/>
    </row>
    <row r="88" spans="1:15" ht="22.5" customHeight="1">
      <c r="A88" s="100">
        <v>84</v>
      </c>
      <c r="B88" s="101" t="s">
        <v>253</v>
      </c>
      <c r="C88" s="100" t="s">
        <v>436</v>
      </c>
      <c r="D88" s="101"/>
      <c r="E88" s="101">
        <v>6</v>
      </c>
      <c r="F88" s="103" t="s">
        <v>442</v>
      </c>
      <c r="G88" s="100" t="s">
        <v>245</v>
      </c>
      <c r="H88" s="101" t="s">
        <v>214</v>
      </c>
      <c r="I88" s="101" t="s">
        <v>315</v>
      </c>
      <c r="J88" s="104">
        <v>1</v>
      </c>
      <c r="K88" s="102" t="s">
        <v>358</v>
      </c>
      <c r="L88" s="105">
        <v>1</v>
      </c>
      <c r="M88" s="106" t="s">
        <v>317</v>
      </c>
      <c r="N88" s="100"/>
      <c r="O88" s="107"/>
    </row>
    <row r="89" spans="1:15" ht="22.5" customHeight="1">
      <c r="A89" s="100">
        <v>85</v>
      </c>
      <c r="B89" s="101" t="s">
        <v>256</v>
      </c>
      <c r="C89" s="100" t="s">
        <v>443</v>
      </c>
      <c r="D89" s="101"/>
      <c r="E89" s="101">
        <v>1</v>
      </c>
      <c r="F89" s="103" t="s">
        <v>444</v>
      </c>
      <c r="G89" s="100" t="s">
        <v>245</v>
      </c>
      <c r="H89" s="101" t="s">
        <v>214</v>
      </c>
      <c r="I89" s="101" t="s">
        <v>348</v>
      </c>
      <c r="J89" s="104">
        <v>0.4</v>
      </c>
      <c r="K89" s="102" t="s">
        <v>316</v>
      </c>
      <c r="L89" s="105">
        <v>1</v>
      </c>
      <c r="M89" s="106" t="s">
        <v>317</v>
      </c>
      <c r="N89" s="100"/>
      <c r="O89" s="107"/>
    </row>
    <row r="90" spans="1:15" ht="22.5" customHeight="1">
      <c r="A90" s="100">
        <v>86</v>
      </c>
      <c r="B90" s="101" t="s">
        <v>256</v>
      </c>
      <c r="C90" s="100" t="s">
        <v>443</v>
      </c>
      <c r="D90" s="101"/>
      <c r="E90" s="101">
        <v>2</v>
      </c>
      <c r="F90" s="103" t="s">
        <v>445</v>
      </c>
      <c r="G90" s="100" t="s">
        <v>245</v>
      </c>
      <c r="H90" s="101" t="s">
        <v>214</v>
      </c>
      <c r="I90" s="101" t="s">
        <v>348</v>
      </c>
      <c r="J90" s="104">
        <v>0.4</v>
      </c>
      <c r="K90" s="102" t="s">
        <v>350</v>
      </c>
      <c r="L90" s="105">
        <v>1</v>
      </c>
      <c r="M90" s="106" t="s">
        <v>317</v>
      </c>
      <c r="N90" s="100"/>
      <c r="O90" s="107"/>
    </row>
    <row r="91" spans="1:15" ht="14.25" customHeight="1">
      <c r="A91" s="100">
        <v>87</v>
      </c>
      <c r="B91" s="101" t="s">
        <v>256</v>
      </c>
      <c r="C91" s="100" t="s">
        <v>443</v>
      </c>
      <c r="D91" s="101"/>
      <c r="E91" s="101">
        <v>3</v>
      </c>
      <c r="F91" s="103" t="s">
        <v>446</v>
      </c>
      <c r="G91" s="100" t="s">
        <v>245</v>
      </c>
      <c r="H91" s="101" t="s">
        <v>214</v>
      </c>
      <c r="I91" s="101" t="s">
        <v>315</v>
      </c>
      <c r="J91" s="104">
        <v>1</v>
      </c>
      <c r="K91" s="102" t="s">
        <v>352</v>
      </c>
      <c r="L91" s="105">
        <v>1</v>
      </c>
      <c r="M91" s="106" t="s">
        <v>317</v>
      </c>
      <c r="N91" s="100"/>
      <c r="O91" s="107"/>
    </row>
    <row r="92" spans="1:15" ht="22.5" customHeight="1">
      <c r="A92" s="100">
        <v>88</v>
      </c>
      <c r="B92" s="101" t="s">
        <v>256</v>
      </c>
      <c r="C92" s="100" t="s">
        <v>443</v>
      </c>
      <c r="D92" s="101"/>
      <c r="E92" s="101">
        <v>4</v>
      </c>
      <c r="F92" s="103" t="s">
        <v>447</v>
      </c>
      <c r="G92" s="100" t="s">
        <v>245</v>
      </c>
      <c r="H92" s="101" t="s">
        <v>214</v>
      </c>
      <c r="I92" s="101" t="s">
        <v>315</v>
      </c>
      <c r="J92" s="104">
        <v>1</v>
      </c>
      <c r="K92" s="102" t="s">
        <v>354</v>
      </c>
      <c r="L92" s="105">
        <v>1</v>
      </c>
      <c r="M92" s="106" t="s">
        <v>317</v>
      </c>
      <c r="N92" s="100"/>
      <c r="O92" s="107"/>
    </row>
    <row r="93" spans="1:15" ht="22.5" customHeight="1">
      <c r="A93" s="100">
        <v>89</v>
      </c>
      <c r="B93" s="101" t="s">
        <v>256</v>
      </c>
      <c r="C93" s="100" t="s">
        <v>443</v>
      </c>
      <c r="D93" s="101"/>
      <c r="E93" s="101">
        <v>5</v>
      </c>
      <c r="F93" s="103" t="s">
        <v>448</v>
      </c>
      <c r="G93" s="100" t="s">
        <v>245</v>
      </c>
      <c r="H93" s="101" t="s">
        <v>214</v>
      </c>
      <c r="I93" s="101" t="s">
        <v>315</v>
      </c>
      <c r="J93" s="104">
        <v>1</v>
      </c>
      <c r="K93" s="102" t="s">
        <v>356</v>
      </c>
      <c r="L93" s="105">
        <v>1</v>
      </c>
      <c r="M93" s="106" t="s">
        <v>317</v>
      </c>
      <c r="N93" s="100"/>
      <c r="O93" s="107"/>
    </row>
    <row r="94" spans="1:15" ht="14.25" customHeight="1">
      <c r="A94" s="100">
        <v>90</v>
      </c>
      <c r="B94" s="101" t="s">
        <v>258</v>
      </c>
      <c r="C94" s="100" t="s">
        <v>449</v>
      </c>
      <c r="D94" s="101" t="s">
        <v>240</v>
      </c>
      <c r="E94" s="101">
        <v>1</v>
      </c>
      <c r="F94" s="103" t="s">
        <v>450</v>
      </c>
      <c r="G94" s="100" t="s">
        <v>260</v>
      </c>
      <c r="H94" s="101" t="s">
        <v>214</v>
      </c>
      <c r="I94" s="101" t="s">
        <v>348</v>
      </c>
      <c r="J94" s="104">
        <v>0.4</v>
      </c>
      <c r="K94" s="102" t="s">
        <v>387</v>
      </c>
      <c r="L94" s="105">
        <v>1</v>
      </c>
      <c r="M94" s="106" t="s">
        <v>317</v>
      </c>
      <c r="N94" s="100"/>
      <c r="O94" s="107"/>
    </row>
    <row r="95" spans="1:15" ht="14.25" customHeight="1">
      <c r="A95" s="100">
        <v>91</v>
      </c>
      <c r="B95" s="101" t="s">
        <v>262</v>
      </c>
      <c r="C95" s="100" t="s">
        <v>451</v>
      </c>
      <c r="D95" s="101" t="s">
        <v>264</v>
      </c>
      <c r="E95" s="101">
        <v>1</v>
      </c>
      <c r="F95" s="103" t="s">
        <v>450</v>
      </c>
      <c r="G95" s="100" t="s">
        <v>260</v>
      </c>
      <c r="H95" s="101" t="s">
        <v>214</v>
      </c>
      <c r="I95" s="101" t="s">
        <v>348</v>
      </c>
      <c r="J95" s="104">
        <v>0.4</v>
      </c>
      <c r="K95" s="102" t="s">
        <v>387</v>
      </c>
      <c r="L95" s="105">
        <v>1</v>
      </c>
      <c r="M95" s="106" t="s">
        <v>317</v>
      </c>
      <c r="N95" s="100"/>
      <c r="O95" s="107"/>
    </row>
    <row r="96" spans="1:15" ht="14.25" customHeight="1">
      <c r="A96" s="100">
        <v>92</v>
      </c>
      <c r="B96" s="101" t="s">
        <v>258</v>
      </c>
      <c r="C96" s="100" t="s">
        <v>449</v>
      </c>
      <c r="D96" s="101" t="s">
        <v>240</v>
      </c>
      <c r="E96" s="101">
        <v>2</v>
      </c>
      <c r="F96" s="103" t="s">
        <v>452</v>
      </c>
      <c r="G96" s="100" t="s">
        <v>260</v>
      </c>
      <c r="H96" s="101" t="s">
        <v>214</v>
      </c>
      <c r="I96" s="101" t="s">
        <v>348</v>
      </c>
      <c r="J96" s="104">
        <v>0.4</v>
      </c>
      <c r="K96" s="102" t="s">
        <v>319</v>
      </c>
      <c r="L96" s="105">
        <v>1</v>
      </c>
      <c r="M96" s="106" t="s">
        <v>317</v>
      </c>
      <c r="N96" s="100"/>
      <c r="O96" s="107"/>
    </row>
    <row r="97" spans="1:15" ht="14.25" customHeight="1">
      <c r="A97" s="100">
        <v>93</v>
      </c>
      <c r="B97" s="101" t="s">
        <v>262</v>
      </c>
      <c r="C97" s="100" t="s">
        <v>451</v>
      </c>
      <c r="D97" s="101" t="s">
        <v>264</v>
      </c>
      <c r="E97" s="101">
        <v>2</v>
      </c>
      <c r="F97" s="103" t="s">
        <v>452</v>
      </c>
      <c r="G97" s="100" t="s">
        <v>260</v>
      </c>
      <c r="H97" s="101" t="s">
        <v>214</v>
      </c>
      <c r="I97" s="101" t="s">
        <v>348</v>
      </c>
      <c r="J97" s="104">
        <v>0.4</v>
      </c>
      <c r="K97" s="102" t="s">
        <v>319</v>
      </c>
      <c r="L97" s="105">
        <v>1</v>
      </c>
      <c r="M97" s="106" t="s">
        <v>317</v>
      </c>
      <c r="N97" s="100"/>
      <c r="O97" s="107"/>
    </row>
    <row r="98" spans="1:15" ht="14.25" customHeight="1">
      <c r="A98" s="100">
        <v>94</v>
      </c>
      <c r="B98" s="101" t="s">
        <v>258</v>
      </c>
      <c r="C98" s="100" t="s">
        <v>449</v>
      </c>
      <c r="D98" s="101" t="s">
        <v>240</v>
      </c>
      <c r="E98" s="101">
        <v>3</v>
      </c>
      <c r="F98" s="103" t="s">
        <v>453</v>
      </c>
      <c r="G98" s="100" t="s">
        <v>260</v>
      </c>
      <c r="H98" s="101" t="s">
        <v>214</v>
      </c>
      <c r="I98" s="101" t="s">
        <v>348</v>
      </c>
      <c r="J98" s="104">
        <v>0.4</v>
      </c>
      <c r="K98" s="102" t="s">
        <v>321</v>
      </c>
      <c r="L98" s="105">
        <v>1</v>
      </c>
      <c r="M98" s="106" t="s">
        <v>317</v>
      </c>
      <c r="N98" s="100"/>
      <c r="O98" s="107"/>
    </row>
    <row r="99" spans="1:15" ht="14.25" customHeight="1">
      <c r="A99" s="100">
        <v>95</v>
      </c>
      <c r="B99" s="101" t="s">
        <v>262</v>
      </c>
      <c r="C99" s="100" t="s">
        <v>451</v>
      </c>
      <c r="D99" s="101" t="s">
        <v>264</v>
      </c>
      <c r="E99" s="101">
        <v>3</v>
      </c>
      <c r="F99" s="103" t="s">
        <v>453</v>
      </c>
      <c r="G99" s="100" t="s">
        <v>260</v>
      </c>
      <c r="H99" s="101" t="s">
        <v>214</v>
      </c>
      <c r="I99" s="101" t="s">
        <v>348</v>
      </c>
      <c r="J99" s="104">
        <v>0.4</v>
      </c>
      <c r="K99" s="102" t="s">
        <v>321</v>
      </c>
      <c r="L99" s="105">
        <v>1</v>
      </c>
      <c r="M99" s="106" t="s">
        <v>317</v>
      </c>
      <c r="N99" s="100"/>
      <c r="O99" s="107"/>
    </row>
    <row r="100" spans="1:15" ht="22.5" customHeight="1">
      <c r="A100" s="100">
        <v>96</v>
      </c>
      <c r="B100" s="101" t="s">
        <v>258</v>
      </c>
      <c r="C100" s="100" t="s">
        <v>449</v>
      </c>
      <c r="D100" s="101" t="s">
        <v>240</v>
      </c>
      <c r="E100" s="101">
        <v>4</v>
      </c>
      <c r="F100" s="103" t="s">
        <v>454</v>
      </c>
      <c r="G100" s="100" t="s">
        <v>260</v>
      </c>
      <c r="H100" s="101" t="s">
        <v>214</v>
      </c>
      <c r="I100" s="101" t="s">
        <v>315</v>
      </c>
      <c r="J100" s="104">
        <v>1</v>
      </c>
      <c r="K100" s="102" t="s">
        <v>324</v>
      </c>
      <c r="L100" s="105">
        <v>1</v>
      </c>
      <c r="M100" s="106" t="s">
        <v>317</v>
      </c>
      <c r="N100" s="100"/>
      <c r="O100" s="107"/>
    </row>
    <row r="101" spans="1:15" ht="22.5" customHeight="1">
      <c r="A101" s="100">
        <v>97</v>
      </c>
      <c r="B101" s="101" t="s">
        <v>262</v>
      </c>
      <c r="C101" s="100" t="s">
        <v>451</v>
      </c>
      <c r="D101" s="101" t="s">
        <v>264</v>
      </c>
      <c r="E101" s="101">
        <v>4</v>
      </c>
      <c r="F101" s="103" t="s">
        <v>454</v>
      </c>
      <c r="G101" s="100" t="s">
        <v>260</v>
      </c>
      <c r="H101" s="101" t="s">
        <v>214</v>
      </c>
      <c r="I101" s="101" t="s">
        <v>315</v>
      </c>
      <c r="J101" s="104">
        <v>1</v>
      </c>
      <c r="K101" s="102" t="s">
        <v>324</v>
      </c>
      <c r="L101" s="105">
        <v>1</v>
      </c>
      <c r="M101" s="106" t="s">
        <v>317</v>
      </c>
      <c r="N101" s="100"/>
      <c r="O101" s="107"/>
    </row>
    <row r="102" spans="1:15" ht="22.5" customHeight="1">
      <c r="A102" s="100">
        <v>98</v>
      </c>
      <c r="B102" s="101" t="s">
        <v>258</v>
      </c>
      <c r="C102" s="100" t="s">
        <v>449</v>
      </c>
      <c r="D102" s="101" t="s">
        <v>240</v>
      </c>
      <c r="E102" s="101">
        <v>5</v>
      </c>
      <c r="F102" s="103" t="s">
        <v>455</v>
      </c>
      <c r="G102" s="100" t="s">
        <v>260</v>
      </c>
      <c r="H102" s="101" t="s">
        <v>214</v>
      </c>
      <c r="I102" s="101" t="s">
        <v>315</v>
      </c>
      <c r="J102" s="104">
        <v>1</v>
      </c>
      <c r="K102" s="102" t="s">
        <v>381</v>
      </c>
      <c r="L102" s="105">
        <v>1</v>
      </c>
      <c r="M102" s="106" t="s">
        <v>317</v>
      </c>
      <c r="N102" s="100"/>
      <c r="O102" s="107"/>
    </row>
    <row r="103" spans="1:15" ht="22.5" customHeight="1">
      <c r="A103" s="100">
        <v>99</v>
      </c>
      <c r="B103" s="101" t="s">
        <v>262</v>
      </c>
      <c r="C103" s="100" t="s">
        <v>451</v>
      </c>
      <c r="D103" s="101" t="s">
        <v>264</v>
      </c>
      <c r="E103" s="101">
        <v>5</v>
      </c>
      <c r="F103" s="103" t="s">
        <v>455</v>
      </c>
      <c r="G103" s="100" t="s">
        <v>260</v>
      </c>
      <c r="H103" s="101" t="s">
        <v>214</v>
      </c>
      <c r="I103" s="101" t="s">
        <v>315</v>
      </c>
      <c r="J103" s="104">
        <v>1</v>
      </c>
      <c r="K103" s="102" t="s">
        <v>381</v>
      </c>
      <c r="L103" s="105">
        <v>1</v>
      </c>
      <c r="M103" s="106" t="s">
        <v>317</v>
      </c>
      <c r="N103" s="100"/>
      <c r="O103" s="107"/>
    </row>
    <row r="104" spans="1:15" ht="14.25" customHeight="1">
      <c r="A104" s="100">
        <v>100</v>
      </c>
      <c r="B104" s="101" t="s">
        <v>266</v>
      </c>
      <c r="C104" s="100" t="s">
        <v>456</v>
      </c>
      <c r="D104" s="101" t="s">
        <v>240</v>
      </c>
      <c r="E104" s="101">
        <v>1</v>
      </c>
      <c r="F104" s="103" t="s">
        <v>457</v>
      </c>
      <c r="G104" s="100" t="s">
        <v>260</v>
      </c>
      <c r="H104" s="101" t="s">
        <v>214</v>
      </c>
      <c r="I104" s="101" t="s">
        <v>315</v>
      </c>
      <c r="J104" s="104">
        <v>1</v>
      </c>
      <c r="K104" s="102" t="s">
        <v>387</v>
      </c>
      <c r="L104" s="105">
        <v>1</v>
      </c>
      <c r="M104" s="106" t="s">
        <v>317</v>
      </c>
      <c r="N104" s="100"/>
      <c r="O104" s="107"/>
    </row>
    <row r="105" spans="1:15" ht="14.25" customHeight="1">
      <c r="A105" s="100">
        <v>101</v>
      </c>
      <c r="B105" s="101" t="s">
        <v>269</v>
      </c>
      <c r="C105" s="100" t="s">
        <v>458</v>
      </c>
      <c r="D105" s="101" t="s">
        <v>264</v>
      </c>
      <c r="E105" s="101">
        <v>1</v>
      </c>
      <c r="F105" s="103" t="s">
        <v>457</v>
      </c>
      <c r="G105" s="100" t="s">
        <v>260</v>
      </c>
      <c r="H105" s="101" t="s">
        <v>214</v>
      </c>
      <c r="I105" s="101" t="s">
        <v>315</v>
      </c>
      <c r="J105" s="104">
        <v>1</v>
      </c>
      <c r="K105" s="102" t="s">
        <v>387</v>
      </c>
      <c r="L105" s="105">
        <v>1</v>
      </c>
      <c r="M105" s="106" t="s">
        <v>317</v>
      </c>
      <c r="N105" s="100"/>
      <c r="O105" s="107"/>
    </row>
    <row r="106" spans="1:15" ht="14.25" customHeight="1">
      <c r="A106" s="100">
        <v>102</v>
      </c>
      <c r="B106" s="101" t="s">
        <v>266</v>
      </c>
      <c r="C106" s="100" t="s">
        <v>456</v>
      </c>
      <c r="D106" s="101" t="s">
        <v>240</v>
      </c>
      <c r="E106" s="101">
        <v>2</v>
      </c>
      <c r="F106" s="103" t="s">
        <v>459</v>
      </c>
      <c r="G106" s="100" t="s">
        <v>260</v>
      </c>
      <c r="H106" s="101" t="s">
        <v>214</v>
      </c>
      <c r="I106" s="101" t="s">
        <v>315</v>
      </c>
      <c r="J106" s="104">
        <v>1</v>
      </c>
      <c r="K106" s="102" t="s">
        <v>319</v>
      </c>
      <c r="L106" s="105">
        <v>1</v>
      </c>
      <c r="M106" s="106" t="s">
        <v>317</v>
      </c>
      <c r="N106" s="100"/>
      <c r="O106" s="107"/>
    </row>
    <row r="107" spans="1:15" ht="14.25" customHeight="1">
      <c r="A107" s="100">
        <v>103</v>
      </c>
      <c r="B107" s="101" t="s">
        <v>269</v>
      </c>
      <c r="C107" s="100" t="s">
        <v>458</v>
      </c>
      <c r="D107" s="101" t="s">
        <v>264</v>
      </c>
      <c r="E107" s="101">
        <v>2</v>
      </c>
      <c r="F107" s="103" t="s">
        <v>459</v>
      </c>
      <c r="G107" s="100" t="s">
        <v>260</v>
      </c>
      <c r="H107" s="101" t="s">
        <v>214</v>
      </c>
      <c r="I107" s="101" t="s">
        <v>315</v>
      </c>
      <c r="J107" s="104">
        <v>1</v>
      </c>
      <c r="K107" s="102" t="s">
        <v>319</v>
      </c>
      <c r="L107" s="105">
        <v>1</v>
      </c>
      <c r="M107" s="106" t="s">
        <v>317</v>
      </c>
      <c r="N107" s="100"/>
      <c r="O107" s="107"/>
    </row>
    <row r="108" spans="1:15" ht="14.25" customHeight="1">
      <c r="A108" s="100">
        <v>104</v>
      </c>
      <c r="B108" s="101" t="s">
        <v>266</v>
      </c>
      <c r="C108" s="100" t="s">
        <v>456</v>
      </c>
      <c r="D108" s="101" t="s">
        <v>240</v>
      </c>
      <c r="E108" s="101">
        <v>3</v>
      </c>
      <c r="F108" s="103" t="s">
        <v>460</v>
      </c>
      <c r="G108" s="100" t="s">
        <v>260</v>
      </c>
      <c r="H108" s="101" t="s">
        <v>214</v>
      </c>
      <c r="I108" s="101" t="s">
        <v>315</v>
      </c>
      <c r="J108" s="104">
        <v>1</v>
      </c>
      <c r="K108" s="102" t="s">
        <v>321</v>
      </c>
      <c r="L108" s="105">
        <v>1</v>
      </c>
      <c r="M108" s="106" t="s">
        <v>317</v>
      </c>
      <c r="N108" s="100"/>
      <c r="O108" s="107"/>
    </row>
    <row r="109" spans="1:15" ht="14.25" customHeight="1">
      <c r="A109" s="100">
        <v>105</v>
      </c>
      <c r="B109" s="101" t="s">
        <v>269</v>
      </c>
      <c r="C109" s="100" t="s">
        <v>458</v>
      </c>
      <c r="D109" s="101" t="s">
        <v>264</v>
      </c>
      <c r="E109" s="101">
        <v>3</v>
      </c>
      <c r="F109" s="103" t="s">
        <v>460</v>
      </c>
      <c r="G109" s="100" t="s">
        <v>260</v>
      </c>
      <c r="H109" s="101" t="s">
        <v>214</v>
      </c>
      <c r="I109" s="101" t="s">
        <v>315</v>
      </c>
      <c r="J109" s="104">
        <v>1</v>
      </c>
      <c r="K109" s="102" t="s">
        <v>321</v>
      </c>
      <c r="L109" s="105">
        <v>1</v>
      </c>
      <c r="M109" s="106" t="s">
        <v>317</v>
      </c>
      <c r="N109" s="100"/>
      <c r="O109" s="107"/>
    </row>
    <row r="110" spans="1:15" ht="22.5" customHeight="1">
      <c r="A110" s="100">
        <v>106</v>
      </c>
      <c r="B110" s="101" t="s">
        <v>266</v>
      </c>
      <c r="C110" s="100" t="s">
        <v>456</v>
      </c>
      <c r="D110" s="101" t="s">
        <v>240</v>
      </c>
      <c r="E110" s="101">
        <v>4</v>
      </c>
      <c r="F110" s="103" t="s">
        <v>461</v>
      </c>
      <c r="G110" s="100" t="s">
        <v>260</v>
      </c>
      <c r="H110" s="101" t="s">
        <v>214</v>
      </c>
      <c r="I110" s="101" t="s">
        <v>315</v>
      </c>
      <c r="J110" s="104">
        <v>1</v>
      </c>
      <c r="K110" s="102" t="s">
        <v>324</v>
      </c>
      <c r="L110" s="105">
        <v>1</v>
      </c>
      <c r="M110" s="106" t="s">
        <v>317</v>
      </c>
      <c r="N110" s="100"/>
      <c r="O110" s="107"/>
    </row>
    <row r="111" spans="1:15" ht="22.5" customHeight="1">
      <c r="A111" s="100">
        <v>107</v>
      </c>
      <c r="B111" s="101" t="s">
        <v>269</v>
      </c>
      <c r="C111" s="100" t="s">
        <v>458</v>
      </c>
      <c r="D111" s="101" t="s">
        <v>264</v>
      </c>
      <c r="E111" s="101">
        <v>4</v>
      </c>
      <c r="F111" s="103" t="s">
        <v>461</v>
      </c>
      <c r="G111" s="100" t="s">
        <v>260</v>
      </c>
      <c r="H111" s="101" t="s">
        <v>214</v>
      </c>
      <c r="I111" s="101" t="s">
        <v>315</v>
      </c>
      <c r="J111" s="104">
        <v>1</v>
      </c>
      <c r="K111" s="102" t="s">
        <v>324</v>
      </c>
      <c r="L111" s="105">
        <v>1</v>
      </c>
      <c r="M111" s="106" t="s">
        <v>317</v>
      </c>
      <c r="N111" s="100"/>
      <c r="O111" s="107"/>
    </row>
    <row r="112" spans="1:15" ht="14.25" customHeight="1">
      <c r="A112" s="100">
        <v>108</v>
      </c>
      <c r="B112" s="101" t="s">
        <v>266</v>
      </c>
      <c r="C112" s="100" t="s">
        <v>456</v>
      </c>
      <c r="D112" s="101" t="s">
        <v>240</v>
      </c>
      <c r="E112" s="101">
        <v>5</v>
      </c>
      <c r="F112" s="103" t="s">
        <v>462</v>
      </c>
      <c r="G112" s="100" t="s">
        <v>260</v>
      </c>
      <c r="H112" s="101" t="s">
        <v>214</v>
      </c>
      <c r="I112" s="101" t="s">
        <v>315</v>
      </c>
      <c r="J112" s="104">
        <v>1</v>
      </c>
      <c r="K112" s="102" t="s">
        <v>381</v>
      </c>
      <c r="L112" s="105">
        <v>1</v>
      </c>
      <c r="M112" s="106" t="s">
        <v>317</v>
      </c>
      <c r="N112" s="100"/>
      <c r="O112" s="107"/>
    </row>
    <row r="113" spans="1:15" ht="14.25" customHeight="1">
      <c r="A113" s="100">
        <v>109</v>
      </c>
      <c r="B113" s="101" t="s">
        <v>269</v>
      </c>
      <c r="C113" s="100" t="s">
        <v>458</v>
      </c>
      <c r="D113" s="101" t="s">
        <v>264</v>
      </c>
      <c r="E113" s="101">
        <v>5</v>
      </c>
      <c r="F113" s="103" t="s">
        <v>462</v>
      </c>
      <c r="G113" s="100" t="s">
        <v>260</v>
      </c>
      <c r="H113" s="101" t="s">
        <v>214</v>
      </c>
      <c r="I113" s="101" t="s">
        <v>315</v>
      </c>
      <c r="J113" s="104">
        <v>1</v>
      </c>
      <c r="K113" s="102" t="s">
        <v>381</v>
      </c>
      <c r="L113" s="105">
        <v>1</v>
      </c>
      <c r="M113" s="106" t="s">
        <v>317</v>
      </c>
      <c r="N113" s="100"/>
      <c r="O113" s="107"/>
    </row>
    <row r="114" spans="1:15" ht="14.25" customHeight="1">
      <c r="A114" s="100">
        <v>110</v>
      </c>
      <c r="B114" s="101" t="s">
        <v>272</v>
      </c>
      <c r="C114" s="100" t="s">
        <v>463</v>
      </c>
      <c r="D114" s="101"/>
      <c r="E114" s="101">
        <v>1</v>
      </c>
      <c r="F114" s="103" t="s">
        <v>464</v>
      </c>
      <c r="G114" s="100" t="s">
        <v>260</v>
      </c>
      <c r="H114" s="101" t="s">
        <v>214</v>
      </c>
      <c r="I114" s="101" t="s">
        <v>315</v>
      </c>
      <c r="J114" s="104">
        <v>1</v>
      </c>
      <c r="K114" s="102" t="s">
        <v>387</v>
      </c>
      <c r="L114" s="105">
        <v>1</v>
      </c>
      <c r="M114" s="106" t="s">
        <v>317</v>
      </c>
      <c r="N114" s="100"/>
      <c r="O114" s="107"/>
    </row>
    <row r="115" spans="1:15" ht="14.25" customHeight="1">
      <c r="A115" s="100">
        <v>111</v>
      </c>
      <c r="B115" s="101" t="s">
        <v>272</v>
      </c>
      <c r="C115" s="100" t="s">
        <v>463</v>
      </c>
      <c r="D115" s="101"/>
      <c r="E115" s="101">
        <v>2</v>
      </c>
      <c r="F115" s="103" t="s">
        <v>465</v>
      </c>
      <c r="G115" s="100" t="s">
        <v>260</v>
      </c>
      <c r="H115" s="101" t="s">
        <v>214</v>
      </c>
      <c r="I115" s="101" t="s">
        <v>315</v>
      </c>
      <c r="J115" s="104">
        <v>1</v>
      </c>
      <c r="K115" s="102" t="s">
        <v>319</v>
      </c>
      <c r="L115" s="105">
        <v>1</v>
      </c>
      <c r="M115" s="106" t="s">
        <v>317</v>
      </c>
      <c r="N115" s="100"/>
      <c r="O115" s="107"/>
    </row>
    <row r="116" spans="1:15" ht="14.25" customHeight="1">
      <c r="A116" s="100">
        <v>112</v>
      </c>
      <c r="B116" s="101" t="s">
        <v>272</v>
      </c>
      <c r="C116" s="100" t="s">
        <v>463</v>
      </c>
      <c r="D116" s="101"/>
      <c r="E116" s="101">
        <v>3</v>
      </c>
      <c r="F116" s="103" t="s">
        <v>466</v>
      </c>
      <c r="G116" s="100" t="s">
        <v>260</v>
      </c>
      <c r="H116" s="101" t="s">
        <v>214</v>
      </c>
      <c r="I116" s="101" t="s">
        <v>315</v>
      </c>
      <c r="J116" s="104">
        <v>1</v>
      </c>
      <c r="K116" s="102" t="s">
        <v>321</v>
      </c>
      <c r="L116" s="105">
        <v>1</v>
      </c>
      <c r="M116" s="106" t="s">
        <v>317</v>
      </c>
      <c r="N116" s="100"/>
      <c r="O116" s="107"/>
    </row>
    <row r="117" spans="1:15" ht="14.25" customHeight="1">
      <c r="A117" s="100">
        <v>113</v>
      </c>
      <c r="B117" s="101" t="s">
        <v>272</v>
      </c>
      <c r="C117" s="100" t="s">
        <v>463</v>
      </c>
      <c r="D117" s="101"/>
      <c r="E117" s="101">
        <v>4</v>
      </c>
      <c r="F117" s="103" t="s">
        <v>467</v>
      </c>
      <c r="G117" s="100" t="s">
        <v>326</v>
      </c>
      <c r="H117" s="101" t="s">
        <v>214</v>
      </c>
      <c r="I117" s="101" t="s">
        <v>315</v>
      </c>
      <c r="J117" s="104">
        <v>1</v>
      </c>
      <c r="K117" s="102" t="s">
        <v>398</v>
      </c>
      <c r="L117" s="105">
        <v>0.25</v>
      </c>
      <c r="M117" s="106" t="s">
        <v>328</v>
      </c>
      <c r="N117" s="100"/>
      <c r="O117" s="107"/>
    </row>
    <row r="118" spans="1:15" ht="14.25" customHeight="1">
      <c r="A118" s="100">
        <v>114</v>
      </c>
      <c r="B118" s="101" t="s">
        <v>272</v>
      </c>
      <c r="C118" s="100" t="s">
        <v>463</v>
      </c>
      <c r="D118" s="101"/>
      <c r="E118" s="101">
        <v>5</v>
      </c>
      <c r="F118" s="103" t="s">
        <v>468</v>
      </c>
      <c r="G118" s="100" t="s">
        <v>326</v>
      </c>
      <c r="H118" s="101" t="s">
        <v>214</v>
      </c>
      <c r="I118" s="101" t="s">
        <v>315</v>
      </c>
      <c r="J118" s="104">
        <v>1</v>
      </c>
      <c r="K118" s="102" t="s">
        <v>327</v>
      </c>
      <c r="L118" s="105">
        <v>0.25</v>
      </c>
      <c r="M118" s="106" t="s">
        <v>328</v>
      </c>
      <c r="N118" s="100"/>
      <c r="O118" s="107"/>
    </row>
    <row r="119" spans="1:15" ht="22.5" customHeight="1">
      <c r="A119" s="100">
        <v>115</v>
      </c>
      <c r="B119" s="101" t="s">
        <v>272</v>
      </c>
      <c r="C119" s="100" t="s">
        <v>463</v>
      </c>
      <c r="D119" s="101"/>
      <c r="E119" s="101">
        <v>6</v>
      </c>
      <c r="F119" s="103" t="s">
        <v>469</v>
      </c>
      <c r="G119" s="100" t="s">
        <v>326</v>
      </c>
      <c r="H119" s="101" t="s">
        <v>214</v>
      </c>
      <c r="I119" s="101" t="s">
        <v>315</v>
      </c>
      <c r="J119" s="104">
        <v>1</v>
      </c>
      <c r="K119" s="102" t="s">
        <v>373</v>
      </c>
      <c r="L119" s="105">
        <v>0.25</v>
      </c>
      <c r="M119" s="106" t="s">
        <v>328</v>
      </c>
      <c r="N119" s="100"/>
      <c r="O119" s="107"/>
    </row>
    <row r="120" spans="1:15" ht="22.5" customHeight="1">
      <c r="A120" s="100">
        <v>116</v>
      </c>
      <c r="B120" s="101" t="s">
        <v>272</v>
      </c>
      <c r="C120" s="100" t="s">
        <v>463</v>
      </c>
      <c r="D120" s="101"/>
      <c r="E120" s="101">
        <v>7</v>
      </c>
      <c r="F120" s="103" t="s">
        <v>470</v>
      </c>
      <c r="G120" s="100" t="s">
        <v>326</v>
      </c>
      <c r="H120" s="101" t="s">
        <v>214</v>
      </c>
      <c r="I120" s="101" t="s">
        <v>315</v>
      </c>
      <c r="J120" s="104">
        <v>1</v>
      </c>
      <c r="K120" s="102" t="s">
        <v>375</v>
      </c>
      <c r="L120" s="105">
        <v>0.25</v>
      </c>
      <c r="M120" s="106" t="s">
        <v>328</v>
      </c>
      <c r="N120" s="100"/>
      <c r="O120" s="107"/>
    </row>
    <row r="121" spans="1:15" ht="14.25" customHeight="1">
      <c r="A121" s="100">
        <v>117</v>
      </c>
      <c r="B121" s="101" t="s">
        <v>275</v>
      </c>
      <c r="C121" s="100" t="s">
        <v>471</v>
      </c>
      <c r="D121" s="101"/>
      <c r="E121" s="101">
        <v>1</v>
      </c>
      <c r="F121" s="103" t="s">
        <v>472</v>
      </c>
      <c r="G121" s="100" t="s">
        <v>326</v>
      </c>
      <c r="H121" s="101" t="s">
        <v>214</v>
      </c>
      <c r="I121" s="101" t="s">
        <v>315</v>
      </c>
      <c r="J121" s="104">
        <v>1</v>
      </c>
      <c r="K121" s="102" t="s">
        <v>426</v>
      </c>
      <c r="L121" s="105">
        <v>0.25</v>
      </c>
      <c r="M121" s="106" t="s">
        <v>328</v>
      </c>
      <c r="N121" s="100"/>
      <c r="O121" s="107"/>
    </row>
    <row r="122" spans="1:15" ht="14.25" customHeight="1">
      <c r="A122" s="100">
        <v>118</v>
      </c>
      <c r="B122" s="101" t="s">
        <v>275</v>
      </c>
      <c r="C122" s="100" t="s">
        <v>471</v>
      </c>
      <c r="D122" s="101"/>
      <c r="E122" s="101">
        <v>2</v>
      </c>
      <c r="F122" s="103" t="s">
        <v>473</v>
      </c>
      <c r="G122" s="100" t="s">
        <v>326</v>
      </c>
      <c r="H122" s="101" t="s">
        <v>214</v>
      </c>
      <c r="I122" s="101" t="s">
        <v>315</v>
      </c>
      <c r="J122" s="104">
        <v>1</v>
      </c>
      <c r="K122" s="102" t="s">
        <v>428</v>
      </c>
      <c r="L122" s="105">
        <v>0.25</v>
      </c>
      <c r="M122" s="106" t="s">
        <v>328</v>
      </c>
      <c r="N122" s="100"/>
      <c r="O122" s="107"/>
    </row>
    <row r="123" spans="1:15" ht="14.25" customHeight="1">
      <c r="A123" s="100">
        <v>119</v>
      </c>
      <c r="B123" s="101" t="s">
        <v>275</v>
      </c>
      <c r="C123" s="100" t="s">
        <v>471</v>
      </c>
      <c r="D123" s="101"/>
      <c r="E123" s="101">
        <v>3</v>
      </c>
      <c r="F123" s="103" t="s">
        <v>474</v>
      </c>
      <c r="G123" s="100" t="s">
        <v>280</v>
      </c>
      <c r="H123" s="101" t="s">
        <v>214</v>
      </c>
      <c r="I123" s="101" t="s">
        <v>315</v>
      </c>
      <c r="J123" s="104">
        <v>1</v>
      </c>
      <c r="K123" s="102" t="s">
        <v>430</v>
      </c>
      <c r="L123" s="105">
        <v>0</v>
      </c>
      <c r="M123" s="106" t="s">
        <v>431</v>
      </c>
      <c r="N123" s="100"/>
      <c r="O123" s="107"/>
    </row>
    <row r="124" spans="1:15" ht="22.5" customHeight="1">
      <c r="A124" s="100">
        <v>120</v>
      </c>
      <c r="B124" s="101" t="s">
        <v>275</v>
      </c>
      <c r="C124" s="100" t="s">
        <v>471</v>
      </c>
      <c r="D124" s="101"/>
      <c r="E124" s="101">
        <v>4</v>
      </c>
      <c r="F124" s="103" t="s">
        <v>475</v>
      </c>
      <c r="G124" s="100" t="s">
        <v>280</v>
      </c>
      <c r="H124" s="101" t="s">
        <v>214</v>
      </c>
      <c r="I124" s="101" t="s">
        <v>315</v>
      </c>
      <c r="J124" s="104">
        <v>1</v>
      </c>
      <c r="K124" s="102" t="s">
        <v>433</v>
      </c>
      <c r="L124" s="105">
        <v>0</v>
      </c>
      <c r="M124" s="106" t="s">
        <v>431</v>
      </c>
      <c r="N124" s="100"/>
      <c r="O124" s="107"/>
    </row>
    <row r="125" spans="1:15" ht="14.25" customHeight="1">
      <c r="A125" s="100">
        <v>121</v>
      </c>
      <c r="B125" s="101" t="s">
        <v>275</v>
      </c>
      <c r="C125" s="100" t="s">
        <v>471</v>
      </c>
      <c r="D125" s="101"/>
      <c r="E125" s="101">
        <v>5</v>
      </c>
      <c r="F125" s="103" t="s">
        <v>476</v>
      </c>
      <c r="G125" s="100" t="s">
        <v>280</v>
      </c>
      <c r="H125" s="101" t="s">
        <v>214</v>
      </c>
      <c r="I125" s="101" t="s">
        <v>315</v>
      </c>
      <c r="J125" s="104">
        <v>1</v>
      </c>
      <c r="K125" s="102" t="s">
        <v>435</v>
      </c>
      <c r="L125" s="105">
        <v>0</v>
      </c>
      <c r="M125" s="106" t="s">
        <v>431</v>
      </c>
      <c r="N125" s="100"/>
      <c r="O125" s="107"/>
    </row>
    <row r="126" spans="1:15" ht="14.25" customHeight="1">
      <c r="A126" s="100">
        <v>122</v>
      </c>
      <c r="B126" s="101" t="s">
        <v>278</v>
      </c>
      <c r="C126" s="102" t="s">
        <v>279</v>
      </c>
      <c r="D126" s="101"/>
      <c r="E126" s="101">
        <v>1</v>
      </c>
      <c r="F126" s="103" t="s">
        <v>477</v>
      </c>
      <c r="G126" s="100" t="s">
        <v>280</v>
      </c>
      <c r="H126" s="101" t="s">
        <v>214</v>
      </c>
      <c r="I126" s="101" t="s">
        <v>315</v>
      </c>
      <c r="J126" s="104">
        <v>1</v>
      </c>
      <c r="K126" s="102" t="s">
        <v>478</v>
      </c>
      <c r="L126" s="105">
        <v>0</v>
      </c>
      <c r="M126" s="106" t="s">
        <v>431</v>
      </c>
      <c r="N126" s="100"/>
      <c r="O126" s="107"/>
    </row>
    <row r="127" spans="1:15" ht="14.25" customHeight="1">
      <c r="A127" s="100">
        <v>123</v>
      </c>
      <c r="B127" s="101" t="s">
        <v>278</v>
      </c>
      <c r="C127" s="102" t="s">
        <v>279</v>
      </c>
      <c r="D127" s="101"/>
      <c r="E127" s="101">
        <v>2</v>
      </c>
      <c r="F127" s="103" t="s">
        <v>479</v>
      </c>
      <c r="G127" s="100" t="s">
        <v>280</v>
      </c>
      <c r="H127" s="101" t="s">
        <v>214</v>
      </c>
      <c r="I127" s="101" t="s">
        <v>315</v>
      </c>
      <c r="J127" s="104">
        <v>1</v>
      </c>
      <c r="K127" s="102" t="s">
        <v>480</v>
      </c>
      <c r="L127" s="105">
        <v>0</v>
      </c>
      <c r="M127" s="106" t="s">
        <v>431</v>
      </c>
      <c r="N127" s="100"/>
      <c r="O127" s="107"/>
    </row>
    <row r="128" spans="1:15" ht="14.25" customHeight="1">
      <c r="A128" s="100">
        <v>124</v>
      </c>
      <c r="B128" s="101" t="s">
        <v>278</v>
      </c>
      <c r="C128" s="102" t="s">
        <v>279</v>
      </c>
      <c r="D128" s="101"/>
      <c r="E128" s="101">
        <v>3</v>
      </c>
      <c r="F128" s="103" t="s">
        <v>481</v>
      </c>
      <c r="G128" s="100" t="s">
        <v>280</v>
      </c>
      <c r="H128" s="101" t="s">
        <v>214</v>
      </c>
      <c r="I128" s="101" t="s">
        <v>315</v>
      </c>
      <c r="J128" s="104">
        <v>1</v>
      </c>
      <c r="K128" s="102" t="s">
        <v>430</v>
      </c>
      <c r="L128" s="105">
        <v>0</v>
      </c>
      <c r="M128" s="106" t="s">
        <v>431</v>
      </c>
      <c r="N128" s="100"/>
      <c r="O128" s="107"/>
    </row>
    <row r="129" spans="1:15" ht="22.5" customHeight="1">
      <c r="A129" s="100">
        <v>125</v>
      </c>
      <c r="B129" s="101" t="s">
        <v>278</v>
      </c>
      <c r="C129" s="102" t="s">
        <v>279</v>
      </c>
      <c r="D129" s="101"/>
      <c r="E129" s="101">
        <v>4</v>
      </c>
      <c r="F129" s="103" t="s">
        <v>482</v>
      </c>
      <c r="G129" s="100" t="s">
        <v>280</v>
      </c>
      <c r="H129" s="101" t="s">
        <v>214</v>
      </c>
      <c r="I129" s="101" t="s">
        <v>315</v>
      </c>
      <c r="J129" s="104">
        <v>1</v>
      </c>
      <c r="K129" s="102" t="s">
        <v>433</v>
      </c>
      <c r="L129" s="105">
        <v>0</v>
      </c>
      <c r="M129" s="106" t="s">
        <v>431</v>
      </c>
      <c r="N129" s="100"/>
      <c r="O129" s="107"/>
    </row>
    <row r="130" spans="1:15" ht="14.25" customHeight="1">
      <c r="A130" s="100">
        <v>126</v>
      </c>
      <c r="B130" s="101" t="s">
        <v>278</v>
      </c>
      <c r="C130" s="102" t="s">
        <v>279</v>
      </c>
      <c r="D130" s="101"/>
      <c r="E130" s="101">
        <v>5</v>
      </c>
      <c r="F130" s="103" t="s">
        <v>483</v>
      </c>
      <c r="G130" s="100" t="s">
        <v>280</v>
      </c>
      <c r="H130" s="101" t="s">
        <v>214</v>
      </c>
      <c r="I130" s="101" t="s">
        <v>315</v>
      </c>
      <c r="J130" s="104">
        <v>1</v>
      </c>
      <c r="K130" s="102" t="s">
        <v>435</v>
      </c>
      <c r="L130" s="105">
        <v>0</v>
      </c>
      <c r="M130" s="106" t="s">
        <v>431</v>
      </c>
      <c r="N130" s="100"/>
      <c r="O130" s="107"/>
    </row>
    <row r="131" spans="1:15" ht="14.25" customHeight="1">
      <c r="A131" s="100">
        <v>127</v>
      </c>
      <c r="B131" s="101" t="s">
        <v>281</v>
      </c>
      <c r="C131" s="100" t="s">
        <v>484</v>
      </c>
      <c r="D131" s="101"/>
      <c r="E131" s="101">
        <v>1</v>
      </c>
      <c r="F131" s="103" t="s">
        <v>485</v>
      </c>
      <c r="G131" s="100" t="s">
        <v>245</v>
      </c>
      <c r="H131" s="101" t="s">
        <v>214</v>
      </c>
      <c r="I131" s="101" t="s">
        <v>348</v>
      </c>
      <c r="J131" s="104">
        <v>0.4</v>
      </c>
      <c r="K131" s="102" t="s">
        <v>316</v>
      </c>
      <c r="L131" s="105">
        <v>1</v>
      </c>
      <c r="M131" s="106" t="s">
        <v>317</v>
      </c>
      <c r="N131" s="100"/>
      <c r="O131" s="107"/>
    </row>
    <row r="132" spans="1:15" ht="14.25" customHeight="1">
      <c r="A132" s="100">
        <v>128</v>
      </c>
      <c r="B132" s="101" t="s">
        <v>281</v>
      </c>
      <c r="C132" s="100" t="s">
        <v>484</v>
      </c>
      <c r="D132" s="101"/>
      <c r="E132" s="101">
        <v>2</v>
      </c>
      <c r="F132" s="103" t="s">
        <v>486</v>
      </c>
      <c r="G132" s="100" t="s">
        <v>245</v>
      </c>
      <c r="H132" s="101" t="s">
        <v>214</v>
      </c>
      <c r="I132" s="101" t="s">
        <v>348</v>
      </c>
      <c r="J132" s="104">
        <v>0.4</v>
      </c>
      <c r="K132" s="102" t="s">
        <v>350</v>
      </c>
      <c r="L132" s="105">
        <v>1</v>
      </c>
      <c r="M132" s="106" t="s">
        <v>317</v>
      </c>
      <c r="N132" s="100"/>
      <c r="O132" s="107"/>
    </row>
    <row r="133" spans="1:15" ht="14.25" customHeight="1">
      <c r="A133" s="100">
        <v>129</v>
      </c>
      <c r="B133" s="101" t="s">
        <v>281</v>
      </c>
      <c r="C133" s="100" t="s">
        <v>484</v>
      </c>
      <c r="D133" s="101"/>
      <c r="E133" s="101">
        <v>3</v>
      </c>
      <c r="F133" s="103" t="s">
        <v>487</v>
      </c>
      <c r="G133" s="100" t="s">
        <v>245</v>
      </c>
      <c r="H133" s="101" t="s">
        <v>214</v>
      </c>
      <c r="I133" s="101" t="s">
        <v>315</v>
      </c>
      <c r="J133" s="104">
        <v>1</v>
      </c>
      <c r="K133" s="102" t="s">
        <v>352</v>
      </c>
      <c r="L133" s="105">
        <v>1</v>
      </c>
      <c r="M133" s="106" t="s">
        <v>317</v>
      </c>
      <c r="N133" s="100"/>
      <c r="O133" s="107"/>
    </row>
    <row r="134" spans="1:15" ht="14.25" customHeight="1">
      <c r="A134" s="100">
        <v>130</v>
      </c>
      <c r="B134" s="101" t="s">
        <v>281</v>
      </c>
      <c r="C134" s="100" t="s">
        <v>484</v>
      </c>
      <c r="D134" s="101"/>
      <c r="E134" s="101">
        <v>4</v>
      </c>
      <c r="F134" s="103" t="s">
        <v>488</v>
      </c>
      <c r="G134" s="100" t="s">
        <v>245</v>
      </c>
      <c r="H134" s="101" t="s">
        <v>214</v>
      </c>
      <c r="I134" s="101" t="s">
        <v>315</v>
      </c>
      <c r="J134" s="104">
        <v>1</v>
      </c>
      <c r="K134" s="102" t="s">
        <v>354</v>
      </c>
      <c r="L134" s="105">
        <v>1</v>
      </c>
      <c r="M134" s="106" t="s">
        <v>317</v>
      </c>
      <c r="N134" s="100"/>
      <c r="O134" s="107"/>
    </row>
    <row r="135" spans="1:15" ht="22.5" customHeight="1">
      <c r="A135" s="100">
        <v>131</v>
      </c>
      <c r="B135" s="101" t="s">
        <v>281</v>
      </c>
      <c r="C135" s="100" t="s">
        <v>484</v>
      </c>
      <c r="D135" s="101"/>
      <c r="E135" s="101">
        <v>5</v>
      </c>
      <c r="F135" s="103" t="s">
        <v>489</v>
      </c>
      <c r="G135" s="100" t="s">
        <v>245</v>
      </c>
      <c r="H135" s="101" t="s">
        <v>214</v>
      </c>
      <c r="I135" s="101" t="s">
        <v>315</v>
      </c>
      <c r="J135" s="104">
        <v>1</v>
      </c>
      <c r="K135" s="102" t="s">
        <v>356</v>
      </c>
      <c r="L135" s="105">
        <v>1</v>
      </c>
      <c r="M135" s="106" t="s">
        <v>317</v>
      </c>
      <c r="N135" s="100"/>
      <c r="O135" s="107"/>
    </row>
    <row r="136" spans="1:15" ht="14.25" customHeight="1">
      <c r="A136" s="100">
        <v>132</v>
      </c>
      <c r="B136" s="101" t="s">
        <v>281</v>
      </c>
      <c r="C136" s="100" t="s">
        <v>484</v>
      </c>
      <c r="D136" s="101"/>
      <c r="E136" s="101">
        <v>6</v>
      </c>
      <c r="F136" s="103" t="s">
        <v>490</v>
      </c>
      <c r="G136" s="100" t="s">
        <v>245</v>
      </c>
      <c r="H136" s="101" t="s">
        <v>214</v>
      </c>
      <c r="I136" s="101" t="s">
        <v>315</v>
      </c>
      <c r="J136" s="104">
        <v>1</v>
      </c>
      <c r="K136" s="102" t="s">
        <v>358</v>
      </c>
      <c r="L136" s="105">
        <v>1</v>
      </c>
      <c r="M136" s="106" t="s">
        <v>317</v>
      </c>
      <c r="N136" s="100"/>
      <c r="O136" s="107"/>
    </row>
    <row r="137" spans="1:15" ht="14.25" customHeight="1">
      <c r="A137" s="100">
        <v>133</v>
      </c>
      <c r="B137" s="101" t="s">
        <v>284</v>
      </c>
      <c r="C137" s="100" t="s">
        <v>491</v>
      </c>
      <c r="D137" s="101"/>
      <c r="E137" s="101">
        <v>1</v>
      </c>
      <c r="F137" s="103" t="s">
        <v>492</v>
      </c>
      <c r="G137" s="100" t="s">
        <v>245</v>
      </c>
      <c r="H137" s="101" t="s">
        <v>214</v>
      </c>
      <c r="I137" s="101" t="s">
        <v>348</v>
      </c>
      <c r="J137" s="104">
        <v>0.4</v>
      </c>
      <c r="K137" s="102" t="s">
        <v>316</v>
      </c>
      <c r="L137" s="105">
        <v>1</v>
      </c>
      <c r="M137" s="106" t="s">
        <v>317</v>
      </c>
      <c r="N137" s="100"/>
      <c r="O137" s="107"/>
    </row>
    <row r="138" spans="1:15" ht="14.25" customHeight="1">
      <c r="A138" s="100">
        <v>134</v>
      </c>
      <c r="B138" s="101" t="s">
        <v>284</v>
      </c>
      <c r="C138" s="100" t="s">
        <v>491</v>
      </c>
      <c r="D138" s="101"/>
      <c r="E138" s="101">
        <v>2</v>
      </c>
      <c r="F138" s="103" t="s">
        <v>493</v>
      </c>
      <c r="G138" s="100" t="s">
        <v>245</v>
      </c>
      <c r="H138" s="101" t="s">
        <v>214</v>
      </c>
      <c r="I138" s="101" t="s">
        <v>348</v>
      </c>
      <c r="J138" s="104">
        <v>0.4</v>
      </c>
      <c r="K138" s="102" t="s">
        <v>350</v>
      </c>
      <c r="L138" s="105">
        <v>1</v>
      </c>
      <c r="M138" s="106" t="s">
        <v>317</v>
      </c>
      <c r="N138" s="100"/>
      <c r="O138" s="107"/>
    </row>
    <row r="139" spans="1:15" ht="14.25" customHeight="1">
      <c r="A139" s="100">
        <v>135</v>
      </c>
      <c r="B139" s="101" t="s">
        <v>284</v>
      </c>
      <c r="C139" s="100" t="s">
        <v>491</v>
      </c>
      <c r="D139" s="101"/>
      <c r="E139" s="101">
        <v>3</v>
      </c>
      <c r="F139" s="103" t="s">
        <v>494</v>
      </c>
      <c r="G139" s="100" t="s">
        <v>245</v>
      </c>
      <c r="H139" s="101" t="s">
        <v>214</v>
      </c>
      <c r="I139" s="101" t="s">
        <v>315</v>
      </c>
      <c r="J139" s="104">
        <v>1</v>
      </c>
      <c r="K139" s="102" t="s">
        <v>352</v>
      </c>
      <c r="L139" s="105">
        <v>1</v>
      </c>
      <c r="M139" s="106" t="s">
        <v>317</v>
      </c>
      <c r="N139" s="100"/>
      <c r="O139" s="107"/>
    </row>
    <row r="140" spans="1:15" ht="14.25" customHeight="1">
      <c r="A140" s="100">
        <v>136</v>
      </c>
      <c r="B140" s="101" t="s">
        <v>284</v>
      </c>
      <c r="C140" s="100" t="s">
        <v>491</v>
      </c>
      <c r="D140" s="101"/>
      <c r="E140" s="101">
        <v>4</v>
      </c>
      <c r="F140" s="103" t="s">
        <v>495</v>
      </c>
      <c r="G140" s="100" t="s">
        <v>245</v>
      </c>
      <c r="H140" s="101" t="s">
        <v>214</v>
      </c>
      <c r="I140" s="101" t="s">
        <v>348</v>
      </c>
      <c r="J140" s="104">
        <v>0.4</v>
      </c>
      <c r="K140" s="102" t="s">
        <v>354</v>
      </c>
      <c r="L140" s="105">
        <v>1</v>
      </c>
      <c r="M140" s="106" t="s">
        <v>317</v>
      </c>
      <c r="N140" s="100"/>
      <c r="O140" s="107"/>
    </row>
    <row r="141" spans="1:15" ht="14.25" customHeight="1">
      <c r="A141" s="100">
        <v>137</v>
      </c>
      <c r="B141" s="101" t="s">
        <v>284</v>
      </c>
      <c r="C141" s="100" t="s">
        <v>491</v>
      </c>
      <c r="D141" s="101"/>
      <c r="E141" s="101">
        <v>5</v>
      </c>
      <c r="F141" s="103" t="s">
        <v>496</v>
      </c>
      <c r="G141" s="100" t="s">
        <v>245</v>
      </c>
      <c r="H141" s="101" t="s">
        <v>214</v>
      </c>
      <c r="I141" s="101" t="s">
        <v>348</v>
      </c>
      <c r="J141" s="104">
        <v>0.4</v>
      </c>
      <c r="K141" s="102" t="s">
        <v>356</v>
      </c>
      <c r="L141" s="105">
        <v>1</v>
      </c>
      <c r="M141" s="106" t="s">
        <v>317</v>
      </c>
      <c r="N141" s="100"/>
      <c r="O141" s="107"/>
    </row>
    <row r="142" spans="1:15" ht="22.5" customHeight="1">
      <c r="A142" s="100">
        <v>138</v>
      </c>
      <c r="B142" s="101" t="s">
        <v>284</v>
      </c>
      <c r="C142" s="100" t="s">
        <v>491</v>
      </c>
      <c r="D142" s="101"/>
      <c r="E142" s="101">
        <v>6</v>
      </c>
      <c r="F142" s="103" t="s">
        <v>497</v>
      </c>
      <c r="G142" s="100" t="s">
        <v>245</v>
      </c>
      <c r="H142" s="101" t="s">
        <v>214</v>
      </c>
      <c r="I142" s="101" t="s">
        <v>315</v>
      </c>
      <c r="J142" s="104">
        <v>1</v>
      </c>
      <c r="K142" s="102" t="s">
        <v>358</v>
      </c>
      <c r="L142" s="105">
        <v>1</v>
      </c>
      <c r="M142" s="106" t="s">
        <v>317</v>
      </c>
      <c r="N142" s="100"/>
      <c r="O142" s="107"/>
    </row>
    <row r="143" spans="1:15" ht="14.25" customHeight="1">
      <c r="A143" s="100">
        <v>139</v>
      </c>
      <c r="B143" s="101" t="s">
        <v>284</v>
      </c>
      <c r="C143" s="100" t="s">
        <v>491</v>
      </c>
      <c r="D143" s="101"/>
      <c r="E143" s="101">
        <v>7</v>
      </c>
      <c r="F143" s="103" t="s">
        <v>498</v>
      </c>
      <c r="G143" s="100" t="s">
        <v>245</v>
      </c>
      <c r="H143" s="101" t="s">
        <v>214</v>
      </c>
      <c r="I143" s="101" t="s">
        <v>315</v>
      </c>
      <c r="J143" s="104">
        <v>1</v>
      </c>
      <c r="K143" s="102" t="s">
        <v>360</v>
      </c>
      <c r="L143" s="105">
        <v>1</v>
      </c>
      <c r="M143" s="106" t="s">
        <v>317</v>
      </c>
      <c r="N143" s="100"/>
      <c r="O143" s="107"/>
    </row>
    <row r="144" spans="1:15" ht="14.25" customHeight="1">
      <c r="A144" s="100">
        <v>140</v>
      </c>
      <c r="B144" s="101" t="s">
        <v>286</v>
      </c>
      <c r="C144" s="100" t="s">
        <v>499</v>
      </c>
      <c r="D144" s="101"/>
      <c r="E144" s="101">
        <v>1</v>
      </c>
      <c r="F144" s="103" t="s">
        <v>500</v>
      </c>
      <c r="G144" s="100" t="s">
        <v>260</v>
      </c>
      <c r="H144" s="101" t="s">
        <v>214</v>
      </c>
      <c r="I144" s="101" t="s">
        <v>315</v>
      </c>
      <c r="J144" s="104">
        <v>1</v>
      </c>
      <c r="K144" s="102" t="s">
        <v>387</v>
      </c>
      <c r="L144" s="105">
        <v>1</v>
      </c>
      <c r="M144" s="106" t="s">
        <v>317</v>
      </c>
      <c r="N144" s="100"/>
      <c r="O144" s="107"/>
    </row>
    <row r="145" spans="1:15" ht="14.25" customHeight="1">
      <c r="A145" s="100">
        <v>141</v>
      </c>
      <c r="B145" s="101" t="s">
        <v>286</v>
      </c>
      <c r="C145" s="100" t="s">
        <v>499</v>
      </c>
      <c r="D145" s="101"/>
      <c r="E145" s="101">
        <v>2</v>
      </c>
      <c r="F145" s="103" t="s">
        <v>501</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499</v>
      </c>
      <c r="D146" s="101"/>
      <c r="E146" s="101">
        <v>3</v>
      </c>
      <c r="F146" s="103" t="s">
        <v>502</v>
      </c>
      <c r="G146" s="100" t="s">
        <v>326</v>
      </c>
      <c r="H146" s="101" t="s">
        <v>214</v>
      </c>
      <c r="I146" s="101" t="s">
        <v>315</v>
      </c>
      <c r="J146" s="104">
        <v>1</v>
      </c>
      <c r="K146" s="102" t="s">
        <v>422</v>
      </c>
      <c r="L146" s="105">
        <v>0.25</v>
      </c>
      <c r="M146" s="106" t="s">
        <v>328</v>
      </c>
      <c r="N146" s="100"/>
      <c r="O146" s="107"/>
    </row>
    <row r="147" spans="1:15" ht="22.5" customHeight="1">
      <c r="A147" s="100">
        <v>143</v>
      </c>
      <c r="B147" s="101" t="s">
        <v>286</v>
      </c>
      <c r="C147" s="100" t="s">
        <v>499</v>
      </c>
      <c r="D147" s="101"/>
      <c r="E147" s="101">
        <v>4</v>
      </c>
      <c r="F147" s="103" t="s">
        <v>503</v>
      </c>
      <c r="G147" s="100" t="s">
        <v>326</v>
      </c>
      <c r="H147" s="101" t="s">
        <v>214</v>
      </c>
      <c r="I147" s="101" t="s">
        <v>315</v>
      </c>
      <c r="J147" s="104">
        <v>1</v>
      </c>
      <c r="K147" s="102" t="s">
        <v>398</v>
      </c>
      <c r="L147" s="105">
        <v>0.25</v>
      </c>
      <c r="M147" s="106" t="s">
        <v>328</v>
      </c>
      <c r="N147" s="100"/>
      <c r="O147" s="107"/>
    </row>
    <row r="148" spans="1:15" ht="22.5" customHeight="1">
      <c r="A148" s="100">
        <v>144</v>
      </c>
      <c r="B148" s="101" t="s">
        <v>286</v>
      </c>
      <c r="C148" s="100" t="s">
        <v>499</v>
      </c>
      <c r="D148" s="101"/>
      <c r="E148" s="101">
        <v>5</v>
      </c>
      <c r="F148" s="103" t="s">
        <v>504</v>
      </c>
      <c r="G148" s="100" t="s">
        <v>326</v>
      </c>
      <c r="H148" s="101" t="s">
        <v>214</v>
      </c>
      <c r="I148" s="101" t="s">
        <v>315</v>
      </c>
      <c r="J148" s="104">
        <v>1</v>
      </c>
      <c r="K148" s="102" t="s">
        <v>327</v>
      </c>
      <c r="L148" s="105">
        <v>0.25</v>
      </c>
      <c r="M148" s="106" t="s">
        <v>328</v>
      </c>
      <c r="N148" s="100"/>
      <c r="O148" s="107"/>
    </row>
    <row r="149" spans="1:15" ht="14.25" customHeight="1">
      <c r="A149" s="100">
        <v>145</v>
      </c>
      <c r="B149" s="101" t="s">
        <v>288</v>
      </c>
      <c r="C149" s="100" t="s">
        <v>505</v>
      </c>
      <c r="D149" s="101"/>
      <c r="E149" s="101">
        <v>1</v>
      </c>
      <c r="F149" s="103" t="s">
        <v>506</v>
      </c>
      <c r="G149" s="100" t="s">
        <v>326</v>
      </c>
      <c r="H149" s="101" t="s">
        <v>214</v>
      </c>
      <c r="I149" s="101" t="s">
        <v>315</v>
      </c>
      <c r="J149" s="104">
        <v>1</v>
      </c>
      <c r="K149" s="102" t="s">
        <v>426</v>
      </c>
      <c r="L149" s="105">
        <v>0.25</v>
      </c>
      <c r="M149" s="106" t="s">
        <v>328</v>
      </c>
      <c r="N149" s="100"/>
      <c r="O149" s="107"/>
    </row>
    <row r="150" spans="1:15" ht="14.25" customHeight="1">
      <c r="A150" s="100">
        <v>146</v>
      </c>
      <c r="B150" s="101" t="s">
        <v>288</v>
      </c>
      <c r="C150" s="100" t="s">
        <v>505</v>
      </c>
      <c r="D150" s="101"/>
      <c r="E150" s="101">
        <v>2</v>
      </c>
      <c r="F150" s="103" t="s">
        <v>507</v>
      </c>
      <c r="G150" s="100" t="s">
        <v>326</v>
      </c>
      <c r="H150" s="101" t="s">
        <v>214</v>
      </c>
      <c r="I150" s="101" t="s">
        <v>315</v>
      </c>
      <c r="J150" s="104">
        <v>1</v>
      </c>
      <c r="K150" s="102" t="s">
        <v>428</v>
      </c>
      <c r="L150" s="105">
        <v>0.25</v>
      </c>
      <c r="M150" s="106" t="s">
        <v>328</v>
      </c>
      <c r="N150" s="100"/>
      <c r="O150" s="107"/>
    </row>
    <row r="151" spans="1:15" ht="14.25" customHeight="1">
      <c r="A151" s="100">
        <v>147</v>
      </c>
      <c r="B151" s="101" t="s">
        <v>288</v>
      </c>
      <c r="C151" s="100" t="s">
        <v>505</v>
      </c>
      <c r="D151" s="101"/>
      <c r="E151" s="101">
        <v>3</v>
      </c>
      <c r="F151" s="103" t="s">
        <v>508</v>
      </c>
      <c r="G151" s="100" t="s">
        <v>326</v>
      </c>
      <c r="H151" s="101" t="s">
        <v>214</v>
      </c>
      <c r="I151" s="101" t="s">
        <v>315</v>
      </c>
      <c r="J151" s="104">
        <v>1</v>
      </c>
      <c r="K151" s="102" t="s">
        <v>422</v>
      </c>
      <c r="L151" s="105">
        <v>0.25</v>
      </c>
      <c r="M151" s="106" t="s">
        <v>328</v>
      </c>
      <c r="N151" s="100"/>
      <c r="O151" s="107"/>
    </row>
    <row r="152" spans="1:15" ht="14.25" customHeight="1">
      <c r="A152" s="100">
        <v>148</v>
      </c>
      <c r="B152" s="101" t="s">
        <v>288</v>
      </c>
      <c r="C152" s="100" t="s">
        <v>505</v>
      </c>
      <c r="D152" s="101"/>
      <c r="E152" s="101">
        <v>4</v>
      </c>
      <c r="F152" s="103" t="s">
        <v>509</v>
      </c>
      <c r="G152" s="100" t="s">
        <v>280</v>
      </c>
      <c r="H152" s="101" t="s">
        <v>214</v>
      </c>
      <c r="I152" s="101" t="s">
        <v>315</v>
      </c>
      <c r="J152" s="104">
        <v>1</v>
      </c>
      <c r="K152" s="102" t="s">
        <v>433</v>
      </c>
      <c r="L152" s="105">
        <v>0</v>
      </c>
      <c r="M152" s="106" t="s">
        <v>431</v>
      </c>
      <c r="N152" s="100"/>
      <c r="O152" s="107"/>
    </row>
    <row r="153" spans="1:15" ht="14.25" customHeight="1">
      <c r="A153" s="100">
        <v>149</v>
      </c>
      <c r="B153" s="101" t="s">
        <v>288</v>
      </c>
      <c r="C153" s="100" t="s">
        <v>505</v>
      </c>
      <c r="D153" s="101"/>
      <c r="E153" s="101">
        <v>5</v>
      </c>
      <c r="F153" s="103" t="s">
        <v>510</v>
      </c>
      <c r="G153" s="100" t="s">
        <v>280</v>
      </c>
      <c r="H153" s="101" t="s">
        <v>214</v>
      </c>
      <c r="I153" s="101" t="s">
        <v>315</v>
      </c>
      <c r="J153" s="104">
        <v>1</v>
      </c>
      <c r="K153" s="102" t="s">
        <v>435</v>
      </c>
      <c r="L153" s="105">
        <v>0</v>
      </c>
      <c r="M153" s="106" t="s">
        <v>431</v>
      </c>
      <c r="N153" s="100"/>
      <c r="O153" s="107"/>
    </row>
    <row r="154" spans="1:15" ht="22.5" customHeight="1">
      <c r="A154" s="100">
        <v>150</v>
      </c>
      <c r="B154" s="101" t="s">
        <v>288</v>
      </c>
      <c r="C154" s="100" t="s">
        <v>505</v>
      </c>
      <c r="D154" s="101"/>
      <c r="E154" s="101">
        <v>6</v>
      </c>
      <c r="F154" s="103" t="s">
        <v>511</v>
      </c>
      <c r="G154" s="100" t="s">
        <v>280</v>
      </c>
      <c r="H154" s="101" t="s">
        <v>214</v>
      </c>
      <c r="I154" s="101" t="s">
        <v>315</v>
      </c>
      <c r="J154" s="104">
        <v>1</v>
      </c>
      <c r="K154" s="102" t="s">
        <v>512</v>
      </c>
      <c r="L154" s="105">
        <v>0</v>
      </c>
      <c r="M154" s="106" t="s">
        <v>431</v>
      </c>
      <c r="N154" s="100"/>
      <c r="O154" s="107"/>
    </row>
    <row r="155" spans="1:15" ht="14.25" customHeight="1">
      <c r="A155" s="100">
        <v>151</v>
      </c>
      <c r="B155" s="101" t="s">
        <v>288</v>
      </c>
      <c r="C155" s="100" t="s">
        <v>505</v>
      </c>
      <c r="D155" s="101"/>
      <c r="E155" s="101">
        <v>7</v>
      </c>
      <c r="F155" s="103" t="s">
        <v>513</v>
      </c>
      <c r="G155" s="100" t="s">
        <v>280</v>
      </c>
      <c r="H155" s="101" t="s">
        <v>214</v>
      </c>
      <c r="I155" s="101" t="s">
        <v>315</v>
      </c>
      <c r="J155" s="104">
        <v>1</v>
      </c>
      <c r="K155" s="102" t="s">
        <v>514</v>
      </c>
      <c r="L155" s="105">
        <v>0</v>
      </c>
      <c r="M155" s="106" t="s">
        <v>431</v>
      </c>
      <c r="N155" s="100"/>
      <c r="O155" s="107"/>
    </row>
    <row r="156" spans="1:15" ht="14.25" customHeight="1">
      <c r="A156" s="100">
        <v>152</v>
      </c>
      <c r="B156" s="101" t="s">
        <v>290</v>
      </c>
      <c r="C156" s="100" t="s">
        <v>515</v>
      </c>
      <c r="D156" s="101"/>
      <c r="E156" s="101">
        <v>1</v>
      </c>
      <c r="F156" s="103" t="s">
        <v>516</v>
      </c>
      <c r="G156" s="100" t="s">
        <v>245</v>
      </c>
      <c r="H156" s="101" t="s">
        <v>214</v>
      </c>
      <c r="I156" s="101" t="s">
        <v>348</v>
      </c>
      <c r="J156" s="104">
        <v>0.4</v>
      </c>
      <c r="K156" s="102" t="s">
        <v>316</v>
      </c>
      <c r="L156" s="105">
        <v>1</v>
      </c>
      <c r="M156" s="106" t="s">
        <v>317</v>
      </c>
      <c r="N156" s="100"/>
      <c r="O156" s="107"/>
    </row>
    <row r="157" spans="1:15" ht="14.25" customHeight="1">
      <c r="A157" s="100">
        <v>153</v>
      </c>
      <c r="B157" s="101" t="s">
        <v>290</v>
      </c>
      <c r="C157" s="100" t="s">
        <v>515</v>
      </c>
      <c r="D157" s="101"/>
      <c r="E157" s="101">
        <v>2</v>
      </c>
      <c r="F157" s="103" t="s">
        <v>517</v>
      </c>
      <c r="G157" s="100" t="s">
        <v>245</v>
      </c>
      <c r="H157" s="101" t="s">
        <v>214</v>
      </c>
      <c r="I157" s="101" t="s">
        <v>348</v>
      </c>
      <c r="J157" s="104">
        <v>0.4</v>
      </c>
      <c r="K157" s="102" t="s">
        <v>350</v>
      </c>
      <c r="L157" s="105">
        <v>1</v>
      </c>
      <c r="M157" s="106" t="s">
        <v>317</v>
      </c>
      <c r="N157" s="100"/>
      <c r="O157" s="107"/>
    </row>
    <row r="158" spans="1:15" ht="14.25" customHeight="1">
      <c r="A158" s="100">
        <v>154</v>
      </c>
      <c r="B158" s="101" t="s">
        <v>290</v>
      </c>
      <c r="C158" s="100" t="s">
        <v>515</v>
      </c>
      <c r="D158" s="101"/>
      <c r="E158" s="101">
        <v>3</v>
      </c>
      <c r="F158" s="103" t="s">
        <v>518</v>
      </c>
      <c r="G158" s="100" t="s">
        <v>245</v>
      </c>
      <c r="H158" s="101" t="s">
        <v>214</v>
      </c>
      <c r="I158" s="101" t="s">
        <v>315</v>
      </c>
      <c r="J158" s="104">
        <v>1</v>
      </c>
      <c r="K158" s="102" t="s">
        <v>352</v>
      </c>
      <c r="L158" s="105">
        <v>1</v>
      </c>
      <c r="M158" s="106" t="s">
        <v>317</v>
      </c>
      <c r="N158" s="100"/>
      <c r="O158" s="107"/>
    </row>
    <row r="159" spans="1:15" ht="14.25" customHeight="1">
      <c r="A159" s="100">
        <v>155</v>
      </c>
      <c r="B159" s="101" t="s">
        <v>290</v>
      </c>
      <c r="C159" s="100" t="s">
        <v>515</v>
      </c>
      <c r="D159" s="101"/>
      <c r="E159" s="101">
        <v>4</v>
      </c>
      <c r="F159" s="103" t="s">
        <v>440</v>
      </c>
      <c r="G159" s="100" t="s">
        <v>245</v>
      </c>
      <c r="H159" s="101" t="s">
        <v>214</v>
      </c>
      <c r="I159" s="101" t="s">
        <v>315</v>
      </c>
      <c r="J159" s="104">
        <v>1</v>
      </c>
      <c r="K159" s="102" t="s">
        <v>354</v>
      </c>
      <c r="L159" s="105">
        <v>1</v>
      </c>
      <c r="M159" s="106" t="s">
        <v>317</v>
      </c>
      <c r="N159" s="100"/>
      <c r="O159" s="107"/>
    </row>
    <row r="160" spans="1:15" ht="22.5" customHeight="1">
      <c r="A160" s="100">
        <v>156</v>
      </c>
      <c r="B160" s="101" t="s">
        <v>290</v>
      </c>
      <c r="C160" s="100" t="s">
        <v>515</v>
      </c>
      <c r="D160" s="101"/>
      <c r="E160" s="101">
        <v>5</v>
      </c>
      <c r="F160" s="103" t="s">
        <v>519</v>
      </c>
      <c r="G160" s="100" t="s">
        <v>245</v>
      </c>
      <c r="H160" s="101" t="s">
        <v>214</v>
      </c>
      <c r="I160" s="101" t="s">
        <v>315</v>
      </c>
      <c r="J160" s="104">
        <v>1</v>
      </c>
      <c r="K160" s="102" t="s">
        <v>356</v>
      </c>
      <c r="L160" s="105">
        <v>1</v>
      </c>
      <c r="M160" s="106" t="s">
        <v>317</v>
      </c>
      <c r="N160" s="100"/>
      <c r="O160" s="107"/>
    </row>
    <row r="161" spans="1:15" ht="22.5" customHeight="1">
      <c r="A161" s="100">
        <v>157</v>
      </c>
      <c r="B161" s="101" t="s">
        <v>290</v>
      </c>
      <c r="C161" s="100" t="s">
        <v>515</v>
      </c>
      <c r="D161" s="101"/>
      <c r="E161" s="101">
        <v>6</v>
      </c>
      <c r="F161" s="103" t="s">
        <v>520</v>
      </c>
      <c r="G161" s="100" t="s">
        <v>245</v>
      </c>
      <c r="H161" s="101" t="s">
        <v>214</v>
      </c>
      <c r="I161" s="101" t="s">
        <v>315</v>
      </c>
      <c r="J161" s="104">
        <v>1</v>
      </c>
      <c r="K161" s="102" t="s">
        <v>358</v>
      </c>
      <c r="L161" s="105">
        <v>1</v>
      </c>
      <c r="M161" s="106" t="s">
        <v>317</v>
      </c>
      <c r="N161" s="100"/>
      <c r="O161" s="107"/>
    </row>
    <row r="162" spans="1:15" ht="14.25" customHeight="1">
      <c r="A162" s="100">
        <v>158</v>
      </c>
      <c r="B162" s="101" t="s">
        <v>294</v>
      </c>
      <c r="C162" s="100" t="s">
        <v>521</v>
      </c>
      <c r="D162" s="101"/>
      <c r="E162" s="101">
        <v>1</v>
      </c>
      <c r="F162" s="103" t="s">
        <v>522</v>
      </c>
      <c r="G162" s="100" t="s">
        <v>245</v>
      </c>
      <c r="H162" s="101" t="s">
        <v>214</v>
      </c>
      <c r="I162" s="101" t="s">
        <v>348</v>
      </c>
      <c r="J162" s="104">
        <v>0.4</v>
      </c>
      <c r="K162" s="102" t="s">
        <v>316</v>
      </c>
      <c r="L162" s="105">
        <v>1</v>
      </c>
      <c r="M162" s="106" t="s">
        <v>317</v>
      </c>
      <c r="N162" s="100"/>
      <c r="O162" s="107"/>
    </row>
    <row r="163" spans="1:15" ht="14.25" customHeight="1">
      <c r="A163" s="100">
        <v>159</v>
      </c>
      <c r="B163" s="101" t="s">
        <v>294</v>
      </c>
      <c r="C163" s="100" t="s">
        <v>521</v>
      </c>
      <c r="D163" s="101"/>
      <c r="E163" s="101">
        <v>2</v>
      </c>
      <c r="F163" s="103" t="s">
        <v>523</v>
      </c>
      <c r="G163" s="100" t="s">
        <v>245</v>
      </c>
      <c r="H163" s="101" t="s">
        <v>214</v>
      </c>
      <c r="I163" s="101" t="s">
        <v>348</v>
      </c>
      <c r="J163" s="104">
        <v>0.4</v>
      </c>
      <c r="K163" s="102" t="s">
        <v>350</v>
      </c>
      <c r="L163" s="105">
        <v>1</v>
      </c>
      <c r="M163" s="106" t="s">
        <v>317</v>
      </c>
      <c r="N163" s="100"/>
      <c r="O163" s="107"/>
    </row>
    <row r="164" spans="1:15" ht="14.25" customHeight="1">
      <c r="A164" s="100">
        <v>160</v>
      </c>
      <c r="B164" s="101" t="s">
        <v>294</v>
      </c>
      <c r="C164" s="100" t="s">
        <v>521</v>
      </c>
      <c r="D164" s="101"/>
      <c r="E164" s="101">
        <v>3</v>
      </c>
      <c r="F164" s="103" t="s">
        <v>524</v>
      </c>
      <c r="G164" s="100" t="s">
        <v>245</v>
      </c>
      <c r="H164" s="101" t="s">
        <v>214</v>
      </c>
      <c r="I164" s="101" t="s">
        <v>348</v>
      </c>
      <c r="J164" s="104">
        <v>0.4</v>
      </c>
      <c r="K164" s="102" t="s">
        <v>352</v>
      </c>
      <c r="L164" s="105">
        <v>1</v>
      </c>
      <c r="M164" s="106" t="s">
        <v>317</v>
      </c>
      <c r="N164" s="100"/>
      <c r="O164" s="107"/>
    </row>
    <row r="165" spans="1:15" ht="14.25" customHeight="1">
      <c r="A165" s="100">
        <v>161</v>
      </c>
      <c r="B165" s="101" t="s">
        <v>294</v>
      </c>
      <c r="C165" s="100" t="s">
        <v>521</v>
      </c>
      <c r="D165" s="101"/>
      <c r="E165" s="101">
        <v>4</v>
      </c>
      <c r="F165" s="103" t="s">
        <v>525</v>
      </c>
      <c r="G165" s="100" t="s">
        <v>245</v>
      </c>
      <c r="H165" s="101" t="s">
        <v>214</v>
      </c>
      <c r="I165" s="101" t="s">
        <v>315</v>
      </c>
      <c r="J165" s="104">
        <v>1</v>
      </c>
      <c r="K165" s="102" t="s">
        <v>354</v>
      </c>
      <c r="L165" s="105">
        <v>1</v>
      </c>
      <c r="M165" s="106" t="s">
        <v>317</v>
      </c>
      <c r="N165" s="100"/>
      <c r="O165" s="107"/>
    </row>
    <row r="166" spans="1:15" ht="22.5" customHeight="1">
      <c r="A166" s="100">
        <v>162</v>
      </c>
      <c r="B166" s="101" t="s">
        <v>294</v>
      </c>
      <c r="C166" s="100" t="s">
        <v>521</v>
      </c>
      <c r="D166" s="101"/>
      <c r="E166" s="101">
        <v>5</v>
      </c>
      <c r="F166" s="103" t="s">
        <v>526</v>
      </c>
      <c r="G166" s="100" t="s">
        <v>245</v>
      </c>
      <c r="H166" s="101" t="s">
        <v>214</v>
      </c>
      <c r="I166" s="101" t="s">
        <v>315</v>
      </c>
      <c r="J166" s="104">
        <v>1</v>
      </c>
      <c r="K166" s="102" t="s">
        <v>356</v>
      </c>
      <c r="L166" s="105">
        <v>1</v>
      </c>
      <c r="M166" s="106" t="s">
        <v>317</v>
      </c>
      <c r="N166" s="100"/>
      <c r="O166" s="107"/>
    </row>
    <row r="167" spans="1:15" ht="22.5" customHeight="1">
      <c r="A167" s="100">
        <v>163</v>
      </c>
      <c r="B167" s="101" t="s">
        <v>294</v>
      </c>
      <c r="C167" s="100" t="s">
        <v>521</v>
      </c>
      <c r="D167" s="101"/>
      <c r="E167" s="101">
        <v>6</v>
      </c>
      <c r="F167" s="103" t="s">
        <v>527</v>
      </c>
      <c r="G167" s="100" t="s">
        <v>245</v>
      </c>
      <c r="H167" s="101" t="s">
        <v>214</v>
      </c>
      <c r="I167" s="101" t="s">
        <v>315</v>
      </c>
      <c r="J167" s="104">
        <v>1</v>
      </c>
      <c r="K167" s="102" t="s">
        <v>358</v>
      </c>
      <c r="L167" s="105">
        <v>1</v>
      </c>
      <c r="M167" s="106" t="s">
        <v>317</v>
      </c>
      <c r="N167" s="100"/>
      <c r="O167" s="107"/>
    </row>
    <row r="168" spans="1:15" ht="14.25" customHeight="1">
      <c r="A168" s="100">
        <v>164</v>
      </c>
      <c r="B168" s="101" t="s">
        <v>296</v>
      </c>
      <c r="C168" s="100" t="s">
        <v>528</v>
      </c>
      <c r="D168" s="101"/>
      <c r="E168" s="101">
        <v>1</v>
      </c>
      <c r="F168" s="103" t="s">
        <v>529</v>
      </c>
      <c r="G168" s="100" t="s">
        <v>260</v>
      </c>
      <c r="H168" s="101" t="s">
        <v>214</v>
      </c>
      <c r="I168" s="101" t="s">
        <v>315</v>
      </c>
      <c r="J168" s="104">
        <v>1</v>
      </c>
      <c r="K168" s="102" t="s">
        <v>387</v>
      </c>
      <c r="L168" s="105">
        <v>1</v>
      </c>
      <c r="M168" s="106" t="s">
        <v>317</v>
      </c>
      <c r="N168" s="100"/>
      <c r="O168" s="107"/>
    </row>
    <row r="169" spans="1:15" ht="14.25" customHeight="1">
      <c r="A169" s="100">
        <v>165</v>
      </c>
      <c r="B169" s="101" t="s">
        <v>296</v>
      </c>
      <c r="C169" s="100" t="s">
        <v>528</v>
      </c>
      <c r="D169" s="101"/>
      <c r="E169" s="101">
        <v>2</v>
      </c>
      <c r="F169" s="103" t="s">
        <v>530</v>
      </c>
      <c r="G169" s="100" t="s">
        <v>260</v>
      </c>
      <c r="H169" s="101" t="s">
        <v>214</v>
      </c>
      <c r="I169" s="101" t="s">
        <v>315</v>
      </c>
      <c r="J169" s="104">
        <v>1</v>
      </c>
      <c r="K169" s="102" t="s">
        <v>319</v>
      </c>
      <c r="L169" s="105">
        <v>1</v>
      </c>
      <c r="M169" s="106" t="s">
        <v>317</v>
      </c>
      <c r="N169" s="100"/>
      <c r="O169" s="107"/>
    </row>
    <row r="170" spans="1:15" ht="22.5" customHeight="1">
      <c r="A170" s="100">
        <v>166</v>
      </c>
      <c r="B170" s="101" t="s">
        <v>296</v>
      </c>
      <c r="C170" s="100" t="s">
        <v>528</v>
      </c>
      <c r="D170" s="101"/>
      <c r="E170" s="101">
        <v>3</v>
      </c>
      <c r="F170" s="103" t="s">
        <v>531</v>
      </c>
      <c r="G170" s="100" t="s">
        <v>260</v>
      </c>
      <c r="H170" s="101" t="s">
        <v>214</v>
      </c>
      <c r="I170" s="101" t="s">
        <v>315</v>
      </c>
      <c r="J170" s="104">
        <v>1</v>
      </c>
      <c r="K170" s="102" t="s">
        <v>321</v>
      </c>
      <c r="L170" s="105">
        <v>1</v>
      </c>
      <c r="M170" s="106" t="s">
        <v>317</v>
      </c>
      <c r="N170" s="100"/>
      <c r="O170" s="107"/>
    </row>
    <row r="171" spans="1:15" ht="14.25" customHeight="1">
      <c r="A171" s="100">
        <v>167</v>
      </c>
      <c r="B171" s="101" t="s">
        <v>296</v>
      </c>
      <c r="C171" s="100" t="s">
        <v>528</v>
      </c>
      <c r="D171" s="101"/>
      <c r="E171" s="101">
        <v>4</v>
      </c>
      <c r="F171" s="103" t="s">
        <v>532</v>
      </c>
      <c r="G171" s="100" t="s">
        <v>326</v>
      </c>
      <c r="H171" s="101" t="s">
        <v>214</v>
      </c>
      <c r="I171" s="101" t="s">
        <v>315</v>
      </c>
      <c r="J171" s="104">
        <v>1</v>
      </c>
      <c r="K171" s="102" t="s">
        <v>398</v>
      </c>
      <c r="L171" s="105">
        <v>0.25</v>
      </c>
      <c r="M171" s="106" t="s">
        <v>328</v>
      </c>
      <c r="N171" s="100"/>
      <c r="O171" s="107"/>
    </row>
    <row r="172" spans="1:15" ht="22.5" customHeight="1">
      <c r="A172" s="100">
        <v>168</v>
      </c>
      <c r="B172" s="101" t="s">
        <v>296</v>
      </c>
      <c r="C172" s="100" t="s">
        <v>528</v>
      </c>
      <c r="D172" s="101"/>
      <c r="E172" s="101">
        <v>5</v>
      </c>
      <c r="F172" s="103" t="s">
        <v>533</v>
      </c>
      <c r="G172" s="100" t="s">
        <v>326</v>
      </c>
      <c r="H172" s="101" t="s">
        <v>214</v>
      </c>
      <c r="I172" s="101" t="s">
        <v>315</v>
      </c>
      <c r="J172" s="104">
        <v>1</v>
      </c>
      <c r="K172" s="102" t="s">
        <v>327</v>
      </c>
      <c r="L172" s="105">
        <v>0.25</v>
      </c>
      <c r="M172" s="106" t="s">
        <v>328</v>
      </c>
      <c r="N172" s="100"/>
      <c r="O172" s="107"/>
    </row>
    <row r="173" spans="1:15" ht="14.25" customHeight="1">
      <c r="A173" s="100">
        <v>169</v>
      </c>
      <c r="B173" s="101" t="s">
        <v>296</v>
      </c>
      <c r="C173" s="100" t="s">
        <v>528</v>
      </c>
      <c r="D173" s="101"/>
      <c r="E173" s="101">
        <v>6</v>
      </c>
      <c r="F173" s="103" t="s">
        <v>534</v>
      </c>
      <c r="G173" s="100" t="s">
        <v>326</v>
      </c>
      <c r="H173" s="101" t="s">
        <v>214</v>
      </c>
      <c r="I173" s="101" t="s">
        <v>315</v>
      </c>
      <c r="J173" s="104">
        <v>1</v>
      </c>
      <c r="K173" s="102" t="s">
        <v>373</v>
      </c>
      <c r="L173" s="105">
        <v>0.25</v>
      </c>
      <c r="M173" s="106" t="s">
        <v>328</v>
      </c>
      <c r="N173" s="100"/>
      <c r="O173" s="107"/>
    </row>
    <row r="174" spans="1:15" ht="14.25" customHeight="1">
      <c r="A174" s="100">
        <v>170</v>
      </c>
      <c r="B174" s="101" t="s">
        <v>298</v>
      </c>
      <c r="C174" s="100" t="s">
        <v>535</v>
      </c>
      <c r="D174" s="101"/>
      <c r="E174" s="101">
        <v>1</v>
      </c>
      <c r="F174" s="103" t="s">
        <v>536</v>
      </c>
      <c r="G174" s="100" t="s">
        <v>326</v>
      </c>
      <c r="H174" s="101" t="s">
        <v>214</v>
      </c>
      <c r="I174" s="101" t="s">
        <v>315</v>
      </c>
      <c r="J174" s="104">
        <v>1</v>
      </c>
      <c r="K174" s="102" t="s">
        <v>426</v>
      </c>
      <c r="L174" s="105">
        <v>0.25</v>
      </c>
      <c r="M174" s="106" t="s">
        <v>328</v>
      </c>
      <c r="N174" s="100"/>
      <c r="O174" s="107"/>
    </row>
    <row r="175" spans="1:15" ht="14.25" customHeight="1">
      <c r="A175" s="100">
        <v>171</v>
      </c>
      <c r="B175" s="101" t="s">
        <v>298</v>
      </c>
      <c r="C175" s="100" t="s">
        <v>535</v>
      </c>
      <c r="D175" s="101"/>
      <c r="E175" s="101">
        <v>2</v>
      </c>
      <c r="F175" s="103" t="s">
        <v>530</v>
      </c>
      <c r="G175" s="100" t="s">
        <v>326</v>
      </c>
      <c r="H175" s="101" t="s">
        <v>214</v>
      </c>
      <c r="I175" s="101" t="s">
        <v>315</v>
      </c>
      <c r="J175" s="104">
        <v>1</v>
      </c>
      <c r="K175" s="102" t="s">
        <v>428</v>
      </c>
      <c r="L175" s="105">
        <v>0.25</v>
      </c>
      <c r="M175" s="106" t="s">
        <v>328</v>
      </c>
      <c r="N175" s="100"/>
      <c r="O175" s="107"/>
    </row>
    <row r="176" spans="1:15" ht="22.5" customHeight="1">
      <c r="A176" s="100">
        <v>172</v>
      </c>
      <c r="B176" s="101" t="s">
        <v>298</v>
      </c>
      <c r="C176" s="100" t="s">
        <v>535</v>
      </c>
      <c r="D176" s="101"/>
      <c r="E176" s="101">
        <v>3</v>
      </c>
      <c r="F176" s="103" t="s">
        <v>537</v>
      </c>
      <c r="G176" s="100" t="s">
        <v>326</v>
      </c>
      <c r="H176" s="101" t="s">
        <v>214</v>
      </c>
      <c r="I176" s="101" t="s">
        <v>315</v>
      </c>
      <c r="J176" s="104">
        <v>1</v>
      </c>
      <c r="K176" s="102" t="s">
        <v>422</v>
      </c>
      <c r="L176" s="105">
        <v>0.25</v>
      </c>
      <c r="M176" s="106" t="s">
        <v>328</v>
      </c>
      <c r="N176" s="100"/>
      <c r="O176" s="107"/>
    </row>
    <row r="177" spans="1:15" ht="14.25" customHeight="1">
      <c r="A177" s="100">
        <v>173</v>
      </c>
      <c r="B177" s="101" t="s">
        <v>298</v>
      </c>
      <c r="C177" s="100" t="s">
        <v>535</v>
      </c>
      <c r="D177" s="101"/>
      <c r="E177" s="101">
        <v>4</v>
      </c>
      <c r="F177" s="103" t="s">
        <v>538</v>
      </c>
      <c r="G177" s="100" t="s">
        <v>280</v>
      </c>
      <c r="H177" s="101" t="s">
        <v>214</v>
      </c>
      <c r="I177" s="101" t="s">
        <v>315</v>
      </c>
      <c r="J177" s="104">
        <v>1</v>
      </c>
      <c r="K177" s="102" t="s">
        <v>433</v>
      </c>
      <c r="L177" s="105">
        <v>0</v>
      </c>
      <c r="M177" s="106" t="s">
        <v>431</v>
      </c>
      <c r="N177" s="100"/>
      <c r="O177" s="107"/>
    </row>
    <row r="178" spans="1:15" ht="22.5" customHeight="1">
      <c r="A178" s="100">
        <v>174</v>
      </c>
      <c r="B178" s="101" t="s">
        <v>298</v>
      </c>
      <c r="C178" s="100" t="s">
        <v>535</v>
      </c>
      <c r="D178" s="101"/>
      <c r="E178" s="101">
        <v>5</v>
      </c>
      <c r="F178" s="103" t="s">
        <v>539</v>
      </c>
      <c r="G178" s="100" t="s">
        <v>280</v>
      </c>
      <c r="H178" s="101" t="s">
        <v>214</v>
      </c>
      <c r="I178" s="101" t="s">
        <v>315</v>
      </c>
      <c r="J178" s="104">
        <v>1</v>
      </c>
      <c r="K178" s="102" t="s">
        <v>435</v>
      </c>
      <c r="L178" s="105">
        <v>0</v>
      </c>
      <c r="M178" s="106" t="s">
        <v>431</v>
      </c>
      <c r="N178" s="100"/>
      <c r="O178" s="107"/>
    </row>
    <row r="179" spans="1:15" ht="22.5" customHeight="1">
      <c r="A179" s="100">
        <v>175</v>
      </c>
      <c r="B179" s="101" t="s">
        <v>298</v>
      </c>
      <c r="C179" s="100" t="s">
        <v>535</v>
      </c>
      <c r="D179" s="101"/>
      <c r="E179" s="101">
        <v>6</v>
      </c>
      <c r="F179" s="103" t="s">
        <v>540</v>
      </c>
      <c r="G179" s="100" t="s">
        <v>280</v>
      </c>
      <c r="H179" s="101" t="s">
        <v>214</v>
      </c>
      <c r="I179" s="101" t="s">
        <v>315</v>
      </c>
      <c r="J179" s="104">
        <v>1</v>
      </c>
      <c r="K179" s="102" t="s">
        <v>512</v>
      </c>
      <c r="L179" s="105">
        <v>0</v>
      </c>
      <c r="M179" s="106" t="s">
        <v>431</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541</v>
      </c>
      <c r="B4" s="71" t="s">
        <v>542</v>
      </c>
      <c r="C4" s="71" t="s">
        <v>543</v>
      </c>
      <c r="D4" s="64" t="s">
        <v>544</v>
      </c>
      <c r="E4" s="64" t="s">
        <v>545</v>
      </c>
      <c r="F4" s="64" t="s">
        <v>546</v>
      </c>
      <c r="G4" s="64" t="s">
        <v>547</v>
      </c>
      <c r="H4" s="64" t="s">
        <v>548</v>
      </c>
      <c r="I4" s="64" t="s">
        <v>549</v>
      </c>
      <c r="J4" s="64" t="s">
        <v>550</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551</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552</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553</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553</v>
      </c>
    </row>
    <row r="9" spans="1:10" ht="45" customHeight="1">
      <c r="A9" s="112" t="s">
        <v>554</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555</v>
      </c>
    </row>
    <row r="10" spans="1:10" ht="45" customHeight="1">
      <c r="A10" s="79" t="s">
        <v>330</v>
      </c>
      <c r="B10" s="112">
        <f>COUNTIFS(WP_상세!$G$5:$G$500,A10,WP_상세!$H$5:$H$500,"Discrete")</f>
        <v>8</v>
      </c>
      <c r="C10" s="112">
        <f>COUNTIFS(WP_상세!$G$5:$G$500,A10,WP_상세!$H$5:$H$500,"LOE")</f>
        <v>0</v>
      </c>
      <c r="D10" s="112">
        <f t="shared" si="0"/>
        <v>8</v>
      </c>
      <c r="E10" s="113">
        <f t="shared" si="1"/>
        <v>4.5714285714285714E-2</v>
      </c>
      <c r="F10" s="118" t="s">
        <v>556</v>
      </c>
      <c r="G10" s="79" t="s">
        <v>556</v>
      </c>
      <c r="H10" s="79" t="s">
        <v>556</v>
      </c>
      <c r="I10" s="79" t="s">
        <v>556</v>
      </c>
      <c r="J10" s="117" t="s">
        <v>557</v>
      </c>
    </row>
    <row r="11" spans="1:10" ht="14.25" customHeight="1">
      <c r="A11" s="68" t="s">
        <v>544</v>
      </c>
      <c r="B11" s="68">
        <f>SUM(B5:B10)</f>
        <v>153</v>
      </c>
      <c r="C11" s="68">
        <f>SUM(C5:C10)</f>
        <v>22</v>
      </c>
      <c r="D11" s="68">
        <f>SUM(D5:D10)</f>
        <v>175</v>
      </c>
      <c r="E11" s="23"/>
    </row>
    <row r="13" spans="1:10" ht="16.5" customHeight="1">
      <c r="A13" s="119" t="s">
        <v>558</v>
      </c>
      <c r="G13" s="120">
        <f>계획곡선_보정!H184+계획곡선_보정!I184+계획곡선_보정!J184+계획곡선_보정!K184+계획곡선_보정!L184</f>
        <v>145.00000000000003</v>
      </c>
    </row>
    <row r="15" spans="1:10" ht="30" customHeight="1">
      <c r="A15" s="3" t="s">
        <v>559</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560</v>
      </c>
      <c r="B4" s="64" t="s">
        <v>561</v>
      </c>
      <c r="C4" s="64" t="s">
        <v>562</v>
      </c>
      <c r="D4" s="64" t="s">
        <v>563</v>
      </c>
      <c r="E4" s="64" t="s">
        <v>564</v>
      </c>
      <c r="F4" s="64" t="s">
        <v>10</v>
      </c>
    </row>
    <row r="5" spans="1:6" ht="25.5" customHeight="1">
      <c r="A5" s="121" t="s">
        <v>565</v>
      </c>
      <c r="B5" s="122" t="s">
        <v>125</v>
      </c>
      <c r="C5" s="121" t="s">
        <v>566</v>
      </c>
      <c r="D5" s="121" t="s">
        <v>567</v>
      </c>
      <c r="E5" s="123"/>
      <c r="F5" s="122" t="s">
        <v>568</v>
      </c>
    </row>
    <row r="6" spans="1:6" ht="15" customHeight="1">
      <c r="A6" s="121" t="s">
        <v>569</v>
      </c>
      <c r="B6" s="122" t="s">
        <v>570</v>
      </c>
      <c r="C6" s="121" t="s">
        <v>571</v>
      </c>
      <c r="D6" s="121" t="s">
        <v>572</v>
      </c>
      <c r="E6" s="123"/>
      <c r="F6" s="122" t="s">
        <v>573</v>
      </c>
    </row>
    <row r="7" spans="1:6" ht="25.5" customHeight="1">
      <c r="A7" s="122" t="s">
        <v>574</v>
      </c>
      <c r="B7" s="122" t="s">
        <v>125</v>
      </c>
      <c r="C7" s="122" t="s">
        <v>575</v>
      </c>
      <c r="D7" s="121" t="s">
        <v>576</v>
      </c>
      <c r="E7" s="123"/>
      <c r="F7" s="121" t="s">
        <v>577</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578</v>
      </c>
      <c r="C4" s="125" t="s">
        <v>579</v>
      </c>
      <c r="D4" s="2" t="s">
        <v>580</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581</v>
      </c>
      <c r="C6" s="64" t="s">
        <v>221</v>
      </c>
      <c r="D6" s="64" t="s">
        <v>215</v>
      </c>
      <c r="E6" s="64" t="s">
        <v>209</v>
      </c>
      <c r="F6" s="64" t="s">
        <v>244</v>
      </c>
      <c r="G6" s="64" t="s">
        <v>255</v>
      </c>
      <c r="H6" s="71" t="s">
        <v>240</v>
      </c>
      <c r="I6" s="71" t="s">
        <v>264</v>
      </c>
      <c r="J6" s="64" t="s">
        <v>274</v>
      </c>
      <c r="K6" s="71" t="s">
        <v>292</v>
      </c>
      <c r="L6" s="64" t="s">
        <v>277</v>
      </c>
      <c r="M6" s="64" t="s">
        <v>582</v>
      </c>
    </row>
    <row r="7" spans="2:13" ht="25.5" customHeight="1">
      <c r="B7" s="121" t="s">
        <v>579</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583</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584</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585</v>
      </c>
      <c r="C11" s="23"/>
      <c r="D11" s="23"/>
      <c r="E11" s="23"/>
      <c r="F11" s="23"/>
      <c r="G11" s="23"/>
      <c r="H11" s="23"/>
      <c r="I11" s="23"/>
      <c r="J11" s="23"/>
      <c r="K11" s="23"/>
      <c r="L11" s="23"/>
      <c r="M11" s="23"/>
    </row>
    <row r="12" spans="2:13" ht="30" customHeight="1">
      <c r="B12" s="128" t="s">
        <v>579</v>
      </c>
      <c r="C12" s="1" t="s">
        <v>586</v>
      </c>
      <c r="D12" s="1"/>
      <c r="E12" s="1"/>
      <c r="F12" s="1"/>
      <c r="G12" s="1"/>
      <c r="H12" s="1"/>
      <c r="I12" s="23"/>
      <c r="J12" s="23"/>
      <c r="K12" s="23"/>
      <c r="L12" s="23"/>
      <c r="M12" s="23"/>
    </row>
    <row r="13" spans="2:13" ht="30" customHeight="1">
      <c r="B13" s="128" t="s">
        <v>583</v>
      </c>
      <c r="C13" s="171" t="s">
        <v>587</v>
      </c>
      <c r="D13" s="171"/>
      <c r="E13" s="171"/>
      <c r="F13" s="171"/>
      <c r="G13" s="171"/>
      <c r="H13" s="171"/>
      <c r="I13" s="23"/>
      <c r="J13" s="23"/>
      <c r="K13" s="23"/>
      <c r="L13" s="23"/>
      <c r="M13" s="23"/>
    </row>
    <row r="14" spans="2:13" ht="30" customHeight="1">
      <c r="B14" s="129" t="s">
        <v>588</v>
      </c>
      <c r="C14" s="1" t="s">
        <v>589</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590</v>
      </c>
      <c r="C18" s="23"/>
      <c r="D18" s="23"/>
      <c r="E18" s="23"/>
      <c r="F18" s="23"/>
      <c r="G18" s="23"/>
      <c r="H18" s="23"/>
      <c r="I18" s="23"/>
      <c r="J18" s="23"/>
      <c r="K18" s="23"/>
      <c r="L18" s="23"/>
      <c r="M18" s="23"/>
    </row>
    <row r="19" spans="2:13" ht="60" customHeight="1">
      <c r="B19" s="130" t="s">
        <v>591</v>
      </c>
      <c r="C19" s="1" t="s">
        <v>592</v>
      </c>
      <c r="D19" s="1"/>
      <c r="E19" s="1"/>
      <c r="F19" s="1"/>
      <c r="G19" s="23"/>
      <c r="H19" s="23"/>
      <c r="I19" s="23"/>
      <c r="J19" s="23"/>
      <c r="K19" s="23"/>
      <c r="L19" s="23"/>
      <c r="M19" s="23"/>
    </row>
    <row r="20" spans="2:13" ht="60" customHeight="1">
      <c r="B20" s="130" t="s">
        <v>593</v>
      </c>
      <c r="C20" s="1" t="s">
        <v>594</v>
      </c>
      <c r="D20" s="1"/>
      <c r="E20" s="1"/>
      <c r="F20" s="1"/>
      <c r="G20" s="23"/>
      <c r="H20" s="23"/>
      <c r="I20" s="23"/>
      <c r="J20" s="23"/>
      <c r="K20" s="23"/>
      <c r="L20" s="23"/>
      <c r="M20" s="23"/>
    </row>
    <row r="21" spans="2:13" ht="60" customHeight="1">
      <c r="B21" s="130" t="s">
        <v>595</v>
      </c>
      <c r="C21" s="1" t="s">
        <v>596</v>
      </c>
      <c r="D21" s="1"/>
      <c r="E21" s="1"/>
      <c r="F21" s="1"/>
      <c r="G21" s="23"/>
      <c r="H21" s="23"/>
      <c r="I21" s="23"/>
      <c r="J21" s="23"/>
      <c r="K21" s="23"/>
      <c r="L21" s="23"/>
      <c r="M21" s="23"/>
    </row>
    <row r="22" spans="2:13" ht="60" customHeight="1">
      <c r="B22" s="50" t="s">
        <v>597</v>
      </c>
      <c r="C22" s="171" t="s">
        <v>598</v>
      </c>
      <c r="D22" s="171"/>
      <c r="E22" s="171"/>
      <c r="F22" s="171"/>
      <c r="G22" s="23"/>
      <c r="H22" s="23"/>
      <c r="I22" s="23"/>
      <c r="J22" s="23"/>
      <c r="K22" s="23"/>
      <c r="L22" s="23"/>
      <c r="M22" s="23"/>
    </row>
    <row r="23" spans="2:13" ht="60" customHeight="1">
      <c r="B23" s="130" t="s">
        <v>599</v>
      </c>
      <c r="C23" s="171" t="s">
        <v>600</v>
      </c>
      <c r="D23" s="171"/>
      <c r="E23" s="171"/>
      <c r="F23" s="171"/>
      <c r="G23" s="23"/>
      <c r="H23" s="23"/>
      <c r="I23" s="23"/>
      <c r="J23" s="23"/>
      <c r="K23" s="23"/>
      <c r="L23" s="23"/>
      <c r="M23" s="23"/>
    </row>
    <row r="24" spans="2:13" ht="60" customHeight="1">
      <c r="B24" s="50" t="s">
        <v>601</v>
      </c>
      <c r="C24" s="1" t="s">
        <v>602</v>
      </c>
      <c r="D24" s="1"/>
      <c r="E24" s="1"/>
      <c r="F24" s="1"/>
      <c r="G24" s="23"/>
      <c r="H24" s="23"/>
      <c r="I24" s="23"/>
      <c r="J24" s="23"/>
      <c r="K24" s="23"/>
      <c r="L24" s="23"/>
      <c r="M24" s="23"/>
    </row>
    <row r="25" spans="2:13" ht="60" customHeight="1">
      <c r="B25" s="50" t="s">
        <v>603</v>
      </c>
      <c r="C25" s="171" t="s">
        <v>604</v>
      </c>
      <c r="D25" s="171"/>
      <c r="E25" s="171"/>
      <c r="F25" s="171"/>
      <c r="G25" s="23"/>
      <c r="H25" s="23"/>
      <c r="I25" s="23"/>
      <c r="J25" s="23"/>
      <c r="K25" s="23"/>
      <c r="L25" s="23"/>
      <c r="M25" s="23"/>
    </row>
    <row r="26" spans="2:13" ht="60" customHeight="1">
      <c r="B26" s="50" t="s">
        <v>605</v>
      </c>
      <c r="C26" s="171" t="s">
        <v>606</v>
      </c>
      <c r="D26" s="171"/>
      <c r="E26" s="171"/>
      <c r="F26" s="171"/>
      <c r="G26" s="23"/>
      <c r="H26" s="23"/>
      <c r="I26" s="23"/>
      <c r="J26" s="23"/>
      <c r="K26" s="23"/>
      <c r="L26" s="23"/>
      <c r="M26" s="23"/>
    </row>
    <row r="27" spans="2:13" ht="60" customHeight="1">
      <c r="B27" s="50" t="s">
        <v>607</v>
      </c>
      <c r="C27" s="1" t="s">
        <v>608</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609</v>
      </c>
      <c r="C30" s="23"/>
      <c r="D30" s="23"/>
      <c r="E30" s="23"/>
      <c r="F30" s="23"/>
      <c r="G30" s="23"/>
      <c r="H30" s="23"/>
      <c r="I30" s="23"/>
      <c r="J30" s="23"/>
      <c r="K30" s="23"/>
      <c r="L30" s="23"/>
      <c r="M30" s="23"/>
    </row>
    <row r="31" spans="2:13" ht="15" customHeight="1">
      <c r="B31" s="79" t="s">
        <v>610</v>
      </c>
      <c r="C31" s="83">
        <v>12</v>
      </c>
      <c r="D31" s="172" t="s">
        <v>611</v>
      </c>
      <c r="E31" s="172"/>
      <c r="F31" s="172"/>
      <c r="G31" s="172"/>
      <c r="H31" s="172"/>
      <c r="I31" s="23"/>
      <c r="J31" s="23"/>
      <c r="K31" s="23"/>
      <c r="L31" s="23"/>
      <c r="M31" s="23"/>
    </row>
    <row r="32" spans="2:13" ht="15" customHeight="1">
      <c r="B32" s="79" t="s">
        <v>612</v>
      </c>
      <c r="C32" s="83">
        <v>100</v>
      </c>
      <c r="D32" s="172" t="s">
        <v>613</v>
      </c>
      <c r="E32" s="172"/>
      <c r="F32" s="172"/>
      <c r="G32" s="172"/>
      <c r="H32" s="172"/>
      <c r="I32" s="23"/>
      <c r="J32" s="23"/>
      <c r="K32" s="23"/>
      <c r="L32" s="23"/>
      <c r="M32" s="23"/>
    </row>
    <row r="33" spans="2:13" ht="45" customHeight="1">
      <c r="B33" s="121" t="s">
        <v>614</v>
      </c>
      <c r="C33" s="121" t="s">
        <v>615</v>
      </c>
      <c r="D33" s="173" t="s">
        <v>616</v>
      </c>
      <c r="E33" s="173"/>
      <c r="F33" s="173"/>
      <c r="G33" s="173"/>
      <c r="H33" s="173"/>
      <c r="I33" s="23"/>
      <c r="J33" s="23"/>
      <c r="K33" s="23"/>
      <c r="L33" s="23"/>
      <c r="M33" s="23"/>
    </row>
    <row r="34" spans="2:13" ht="30" customHeight="1">
      <c r="B34" s="122" t="s">
        <v>617</v>
      </c>
      <c r="C34" s="122"/>
      <c r="D34" s="173" t="s">
        <v>618</v>
      </c>
      <c r="E34" s="173"/>
      <c r="F34" s="173"/>
      <c r="G34" s="173"/>
      <c r="H34" s="173"/>
      <c r="I34" s="23"/>
      <c r="J34" s="23"/>
      <c r="K34" s="23"/>
      <c r="L34" s="23"/>
      <c r="M34" s="23"/>
    </row>
    <row r="35" spans="2:13" ht="14.25" customHeight="1">
      <c r="B35" s="98" t="s">
        <v>619</v>
      </c>
      <c r="C35" s="23"/>
      <c r="D35" s="23"/>
      <c r="E35" s="23"/>
      <c r="F35" s="23"/>
      <c r="G35" s="23"/>
      <c r="H35" s="23"/>
      <c r="I35" s="23"/>
      <c r="J35" s="23"/>
      <c r="K35" s="23"/>
      <c r="L35" s="23"/>
      <c r="M35" s="23"/>
    </row>
    <row r="36" spans="2:13" ht="60" customHeight="1">
      <c r="B36" s="121" t="s">
        <v>620</v>
      </c>
      <c r="C36" s="122"/>
      <c r="D36" s="173" t="s">
        <v>621</v>
      </c>
      <c r="E36" s="173"/>
      <c r="F36" s="173"/>
      <c r="G36" s="173"/>
      <c r="H36" s="173"/>
      <c r="I36" s="23"/>
      <c r="J36" s="23"/>
      <c r="K36" s="23"/>
      <c r="L36" s="23"/>
      <c r="M36" s="23"/>
    </row>
    <row r="37" spans="2:13" ht="30" customHeight="1">
      <c r="B37" s="121" t="s">
        <v>622</v>
      </c>
      <c r="C37" s="122"/>
      <c r="D37" s="173" t="s">
        <v>623</v>
      </c>
      <c r="E37" s="173"/>
      <c r="F37" s="173"/>
      <c r="G37" s="173"/>
      <c r="H37" s="173"/>
      <c r="I37" s="23"/>
      <c r="J37" s="23"/>
      <c r="K37" s="23"/>
      <c r="L37" s="23"/>
      <c r="M37" s="23"/>
    </row>
    <row r="39" spans="2:13" ht="16.5" customHeight="1">
      <c r="B39" s="68" t="s">
        <v>624</v>
      </c>
      <c r="C39" s="131"/>
      <c r="D39" s="132"/>
      <c r="E39" s="131"/>
      <c r="F39" s="131"/>
      <c r="G39" s="131"/>
      <c r="H39" s="131"/>
    </row>
    <row r="40" spans="2:13" ht="15" customHeight="1">
      <c r="B40" s="79" t="s">
        <v>625</v>
      </c>
      <c r="C40" s="133">
        <v>50000</v>
      </c>
      <c r="D40" s="173" t="s">
        <v>626</v>
      </c>
      <c r="E40" s="173"/>
      <c r="F40" s="173"/>
      <c r="G40" s="173"/>
      <c r="H40" s="173"/>
    </row>
    <row r="41" spans="2:13" ht="15" customHeight="1">
      <c r="B41" s="131" t="s">
        <v>627</v>
      </c>
      <c r="C41" s="134">
        <v>160</v>
      </c>
      <c r="D41" s="173" t="s">
        <v>628</v>
      </c>
      <c r="E41" s="173"/>
      <c r="F41" s="173"/>
      <c r="G41" s="173"/>
      <c r="H41" s="173"/>
    </row>
    <row r="42" spans="2:13" ht="15" customHeight="1">
      <c r="B42" s="79" t="s">
        <v>629</v>
      </c>
      <c r="C42" s="135">
        <f>C40*C41</f>
        <v>8000000</v>
      </c>
      <c r="D42" s="173" t="s">
        <v>630</v>
      </c>
      <c r="E42" s="173"/>
      <c r="F42" s="173"/>
      <c r="G42" s="173"/>
      <c r="H42" s="173"/>
    </row>
    <row r="43" spans="2:13" ht="45" customHeight="1">
      <c r="B43" s="79" t="s">
        <v>631</v>
      </c>
      <c r="C43" s="79"/>
      <c r="D43" s="174" t="s">
        <v>632</v>
      </c>
      <c r="E43" s="174"/>
      <c r="F43" s="174"/>
      <c r="G43" s="174"/>
      <c r="H43" s="174"/>
    </row>
    <row r="44" spans="2:13" ht="16.5" customHeight="1">
      <c r="B44" s="98" t="s">
        <v>633</v>
      </c>
    </row>
    <row r="45" spans="2:13" ht="15" customHeight="1">
      <c r="B45" s="136" t="s">
        <v>541</v>
      </c>
      <c r="C45" s="136" t="s">
        <v>634</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554</v>
      </c>
      <c r="C50" s="137">
        <v>1</v>
      </c>
    </row>
    <row r="51" spans="2:8" ht="45" customHeight="1">
      <c r="D51" s="11" t="s">
        <v>635</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636</v>
      </c>
      <c r="C4" s="23"/>
      <c r="D4" s="23"/>
      <c r="E4" s="23"/>
      <c r="F4" s="23"/>
    </row>
    <row r="5" spans="2:6" ht="25.5" customHeight="1">
      <c r="B5" s="64" t="s">
        <v>541</v>
      </c>
      <c r="C5" s="64" t="s">
        <v>637</v>
      </c>
      <c r="D5" s="64" t="s">
        <v>638</v>
      </c>
      <c r="E5" s="64" t="s">
        <v>639</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554</v>
      </c>
      <c r="C10" s="112">
        <v>1</v>
      </c>
      <c r="D10" s="112">
        <v>137</v>
      </c>
      <c r="E10" s="127">
        <f>D10/$D$10</f>
        <v>1</v>
      </c>
      <c r="F10" s="23"/>
    </row>
    <row r="11" spans="2:6" ht="14.25" customHeight="1">
      <c r="B11" s="23"/>
      <c r="C11" s="23"/>
      <c r="D11" s="23"/>
      <c r="E11" s="23"/>
      <c r="F11" s="23"/>
    </row>
    <row r="12" spans="2:6" ht="16.5" customHeight="1">
      <c r="B12" s="98" t="s">
        <v>640</v>
      </c>
      <c r="C12" s="23"/>
      <c r="D12" s="23"/>
      <c r="E12" s="23"/>
      <c r="F12" s="23"/>
    </row>
    <row r="13" spans="2:6" ht="15" customHeight="1">
      <c r="B13" s="79" t="s">
        <v>641</v>
      </c>
      <c r="C13" s="112" t="s">
        <v>642</v>
      </c>
      <c r="D13" s="83">
        <v>0.52700000000000002</v>
      </c>
      <c r="E13" s="112" t="s">
        <v>643</v>
      </c>
      <c r="F13" s="83">
        <v>1.349</v>
      </c>
    </row>
    <row r="14" spans="2:6" ht="15" customHeight="1">
      <c r="B14" s="79" t="s">
        <v>644</v>
      </c>
      <c r="C14" s="112" t="s">
        <v>642</v>
      </c>
      <c r="D14" s="83">
        <v>2</v>
      </c>
      <c r="E14" s="112" t="s">
        <v>643</v>
      </c>
      <c r="F14" s="83">
        <v>2</v>
      </c>
    </row>
    <row r="15" spans="2:6" ht="16.5" customHeight="1">
      <c r="B15" s="68" t="s">
        <v>645</v>
      </c>
      <c r="C15" s="112" t="s">
        <v>642</v>
      </c>
      <c r="D15" s="83">
        <v>0.74399999999999999</v>
      </c>
      <c r="E15" s="112" t="s">
        <v>643</v>
      </c>
      <c r="F15" s="83">
        <v>1.4079999999999999</v>
      </c>
    </row>
    <row r="16" spans="2:6" ht="14.25" customHeight="1">
      <c r="B16" s="23"/>
      <c r="C16" s="23"/>
      <c r="D16" s="23"/>
      <c r="E16" s="23"/>
      <c r="F16" s="23"/>
    </row>
    <row r="17" spans="2:6" ht="15" customHeight="1">
      <c r="B17" s="138" t="s">
        <v>646</v>
      </c>
      <c r="C17" s="136" t="s">
        <v>647</v>
      </c>
      <c r="D17" s="136" t="s">
        <v>648</v>
      </c>
      <c r="E17" s="136" t="s">
        <v>649</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650</v>
      </c>
      <c r="B4" s="141" t="s">
        <v>245</v>
      </c>
      <c r="C4" s="141" t="s">
        <v>260</v>
      </c>
      <c r="D4" s="141" t="s">
        <v>326</v>
      </c>
      <c r="E4" s="141" t="s">
        <v>280</v>
      </c>
      <c r="F4" s="141" t="s">
        <v>554</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651</v>
      </c>
      <c r="D7" s="64" t="s">
        <v>652</v>
      </c>
      <c r="E7" s="64" t="s">
        <v>653</v>
      </c>
      <c r="F7" s="64" t="s">
        <v>654</v>
      </c>
      <c r="G7" s="64" t="s">
        <v>655</v>
      </c>
      <c r="H7" s="71" t="s">
        <v>656</v>
      </c>
      <c r="I7" s="71" t="s">
        <v>657</v>
      </c>
      <c r="J7" s="71" t="s">
        <v>658</v>
      </c>
      <c r="K7" s="71" t="s">
        <v>659</v>
      </c>
      <c r="L7" s="71" t="s">
        <v>660</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661</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662</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663</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664</v>
      </c>
      <c r="C4" s="71" t="s">
        <v>186</v>
      </c>
      <c r="D4" s="64" t="s">
        <v>191</v>
      </c>
      <c r="E4" s="64" t="s">
        <v>665</v>
      </c>
      <c r="F4" s="71" t="s">
        <v>666</v>
      </c>
      <c r="G4" s="71" t="s">
        <v>667</v>
      </c>
      <c r="H4" s="71" t="s">
        <v>668</v>
      </c>
      <c r="I4" s="71" t="s">
        <v>669</v>
      </c>
      <c r="J4" s="71" t="s">
        <v>670</v>
      </c>
      <c r="K4" s="71" t="s">
        <v>671</v>
      </c>
      <c r="L4" s="71" t="s">
        <v>672</v>
      </c>
      <c r="M4" s="71" t="s">
        <v>673</v>
      </c>
      <c r="N4" s="71" t="s">
        <v>674</v>
      </c>
      <c r="O4" s="71" t="s">
        <v>675</v>
      </c>
      <c r="P4" s="71" t="s">
        <v>676</v>
      </c>
      <c r="Q4" s="71" t="s">
        <v>677</v>
      </c>
      <c r="R4" s="71" t="s">
        <v>678</v>
      </c>
      <c r="S4" s="71" t="s">
        <v>679</v>
      </c>
      <c r="T4" s="71" t="s">
        <v>680</v>
      </c>
      <c r="U4" s="71" t="s">
        <v>681</v>
      </c>
      <c r="V4" s="71" t="s">
        <v>682</v>
      </c>
      <c r="W4" s="71" t="s">
        <v>683</v>
      </c>
      <c r="X4" s="71" t="s">
        <v>684</v>
      </c>
      <c r="Y4" s="71" t="s">
        <v>685</v>
      </c>
      <c r="Z4" s="71" t="s">
        <v>686</v>
      </c>
      <c r="AA4" s="71" t="s">
        <v>687</v>
      </c>
      <c r="AB4" s="71" t="s">
        <v>688</v>
      </c>
      <c r="AC4" s="71" t="s">
        <v>689</v>
      </c>
      <c r="AD4" s="64" t="s">
        <v>690</v>
      </c>
      <c r="AE4" s="64" t="s">
        <v>691</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V6" si="0">F5*0.96</f>
        <v>0.6399999999999999</v>
      </c>
      <c r="S5" s="149">
        <f t="shared" si="0"/>
        <v>0.6399999999999999</v>
      </c>
      <c r="T5" s="149">
        <f t="shared" si="0"/>
        <v>0.6399999999999999</v>
      </c>
      <c r="U5" s="149">
        <f t="shared" si="0"/>
        <v>0.6399999999999999</v>
      </c>
      <c r="V5" s="149">
        <f t="shared" si="0"/>
        <v>0.6399999999999999</v>
      </c>
      <c r="W5" s="149"/>
      <c r="X5" s="149"/>
      <c r="Y5" s="149"/>
      <c r="Z5" s="149"/>
      <c r="AA5" s="149"/>
      <c r="AB5" s="149"/>
      <c r="AC5" s="149"/>
      <c r="AD5" s="144">
        <f t="shared" ref="AD5:AD33" si="1">SUM(R5:AC5)</f>
        <v>3.1999999999999993</v>
      </c>
      <c r="AE5" s="143">
        <f t="shared" ref="AE5:AE33" si="2">IFERROR(AD5/$E5,0)</f>
        <v>0.39999999999999991</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si="0"/>
        <v>0.31999999999999995</v>
      </c>
      <c r="S6" s="149">
        <f t="shared" si="0"/>
        <v>0.31999999999999995</v>
      </c>
      <c r="T6" s="149">
        <f t="shared" si="0"/>
        <v>0.31999999999999995</v>
      </c>
      <c r="U6" s="149">
        <f t="shared" si="0"/>
        <v>0.31999999999999995</v>
      </c>
      <c r="V6" s="149">
        <f t="shared" si="0"/>
        <v>0.31999999999999995</v>
      </c>
      <c r="W6" s="149"/>
      <c r="X6" s="149"/>
      <c r="Y6" s="149"/>
      <c r="Z6" s="149"/>
      <c r="AA6" s="149"/>
      <c r="AB6" s="149"/>
      <c r="AC6" s="149"/>
      <c r="AD6" s="144">
        <f t="shared" si="1"/>
        <v>1.5999999999999996</v>
      </c>
      <c r="AE6" s="143">
        <f t="shared" si="2"/>
        <v>0.39999999999999991</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F7*0.97</f>
        <v>0.38289473684210523</v>
      </c>
      <c r="S7" s="149">
        <f>G7*0.97</f>
        <v>0.38289473684210523</v>
      </c>
      <c r="T7" s="149">
        <f>H7*0.97</f>
        <v>0.38289473684210523</v>
      </c>
      <c r="U7" s="149">
        <f>I7*0.97</f>
        <v>0.38289473684210523</v>
      </c>
      <c r="V7" s="149">
        <f>J7*0.97</f>
        <v>0.38289473684210523</v>
      </c>
      <c r="W7" s="149"/>
      <c r="X7" s="149"/>
      <c r="Y7" s="149"/>
      <c r="Z7" s="149"/>
      <c r="AA7" s="149"/>
      <c r="AB7" s="149"/>
      <c r="AC7" s="149"/>
      <c r="AD7" s="144">
        <f t="shared" si="1"/>
        <v>1.9144736842105261</v>
      </c>
      <c r="AE7" s="143">
        <f t="shared" si="2"/>
        <v>0.40416666666666667</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ref="R8:V11" si="3">F8*0.95</f>
        <v>0.26249999999999996</v>
      </c>
      <c r="S8" s="149">
        <f t="shared" si="3"/>
        <v>0.26249999999999996</v>
      </c>
      <c r="T8" s="149">
        <f t="shared" si="3"/>
        <v>0.26249999999999996</v>
      </c>
      <c r="U8" s="149">
        <f t="shared" si="3"/>
        <v>0.26249999999999996</v>
      </c>
      <c r="V8" s="149">
        <f t="shared" si="3"/>
        <v>0.26249999999999996</v>
      </c>
      <c r="W8" s="149"/>
      <c r="X8" s="149"/>
      <c r="Y8" s="149"/>
      <c r="Z8" s="149"/>
      <c r="AA8" s="149"/>
      <c r="AB8" s="149"/>
      <c r="AC8" s="149"/>
      <c r="AD8" s="144">
        <f t="shared" si="1"/>
        <v>1.3124999999999998</v>
      </c>
      <c r="AE8" s="143">
        <f t="shared" si="2"/>
        <v>0.39583333333333331</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si="3"/>
        <v>0.29999999999999993</v>
      </c>
      <c r="S9" s="149">
        <f t="shared" si="3"/>
        <v>0.29999999999999993</v>
      </c>
      <c r="T9" s="149">
        <f t="shared" si="3"/>
        <v>0.29999999999999993</v>
      </c>
      <c r="U9" s="149">
        <f t="shared" si="3"/>
        <v>0.29999999999999993</v>
      </c>
      <c r="V9" s="149">
        <f t="shared" si="3"/>
        <v>0.29999999999999993</v>
      </c>
      <c r="W9" s="149"/>
      <c r="X9" s="149"/>
      <c r="Y9" s="149"/>
      <c r="Z9" s="149"/>
      <c r="AA9" s="149"/>
      <c r="AB9" s="149"/>
      <c r="AC9" s="149"/>
      <c r="AD9" s="144">
        <f t="shared" si="1"/>
        <v>1.4999999999999996</v>
      </c>
      <c r="AE9" s="143">
        <f t="shared" si="2"/>
        <v>0.39583333333333326</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si="3"/>
        <v>0.26249999999999996</v>
      </c>
      <c r="S10" s="149">
        <f t="shared" si="3"/>
        <v>0.26249999999999996</v>
      </c>
      <c r="T10" s="149">
        <f t="shared" si="3"/>
        <v>0.26249999999999996</v>
      </c>
      <c r="U10" s="149">
        <f t="shared" si="3"/>
        <v>0.26249999999999996</v>
      </c>
      <c r="V10" s="149">
        <f t="shared" si="3"/>
        <v>0.26249999999999996</v>
      </c>
      <c r="W10" s="149"/>
      <c r="X10" s="149"/>
      <c r="Y10" s="149"/>
      <c r="Z10" s="149"/>
      <c r="AA10" s="149"/>
      <c r="AB10" s="149"/>
      <c r="AC10" s="149"/>
      <c r="AD10" s="144">
        <f t="shared" si="1"/>
        <v>1.3124999999999998</v>
      </c>
      <c r="AE10" s="143">
        <f t="shared" si="2"/>
        <v>0.39583333333333331</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si="3"/>
        <v>0.22499999999999995</v>
      </c>
      <c r="S11" s="149">
        <f t="shared" si="3"/>
        <v>0.22499999999999995</v>
      </c>
      <c r="T11" s="149">
        <f t="shared" si="3"/>
        <v>0.22499999999999995</v>
      </c>
      <c r="U11" s="149">
        <f t="shared" si="3"/>
        <v>0.22499999999999995</v>
      </c>
      <c r="V11" s="149">
        <f t="shared" si="3"/>
        <v>0.22499999999999995</v>
      </c>
      <c r="W11" s="149"/>
      <c r="X11" s="149"/>
      <c r="Y11" s="149"/>
      <c r="Z11" s="149"/>
      <c r="AA11" s="149"/>
      <c r="AB11" s="149"/>
      <c r="AC11" s="149"/>
      <c r="AD11" s="144">
        <f t="shared" si="1"/>
        <v>1.1249999999999998</v>
      </c>
      <c r="AE11" s="143">
        <f t="shared" si="2"/>
        <v>0.39583333333333331</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ref="R12:R33" si="4">F12*0.96</f>
        <v>0.2575609756097561</v>
      </c>
      <c r="S12" s="149">
        <f t="shared" ref="S12:S33" si="5">G12*0.96</f>
        <v>0.2575609756097561</v>
      </c>
      <c r="T12" s="149">
        <f t="shared" ref="T12:T33" si="6">H12*0.96</f>
        <v>0.2575609756097561</v>
      </c>
      <c r="U12" s="149">
        <f t="shared" ref="U12:U33" si="7">I12*0.96</f>
        <v>0.2575609756097561</v>
      </c>
      <c r="V12" s="149">
        <f t="shared" ref="V12:V33" si="8">J12*0.96</f>
        <v>0.2575609756097561</v>
      </c>
      <c r="W12" s="149"/>
      <c r="X12" s="149"/>
      <c r="Y12" s="149"/>
      <c r="Z12" s="149"/>
      <c r="AA12" s="149"/>
      <c r="AB12" s="149"/>
      <c r="AC12" s="149"/>
      <c r="AD12" s="144">
        <f t="shared" si="1"/>
        <v>1.2878048780487805</v>
      </c>
      <c r="AE12" s="143">
        <f t="shared" si="2"/>
        <v>0.39999999999999997</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si="4"/>
        <v>0.18285714285714283</v>
      </c>
      <c r="S13" s="149">
        <f t="shared" si="5"/>
        <v>0.18285714285714283</v>
      </c>
      <c r="T13" s="149">
        <f t="shared" si="6"/>
        <v>0.18285714285714283</v>
      </c>
      <c r="U13" s="149">
        <f t="shared" si="7"/>
        <v>0.18285714285714283</v>
      </c>
      <c r="V13" s="149">
        <f t="shared" si="8"/>
        <v>0.18285714285714283</v>
      </c>
      <c r="W13" s="149"/>
      <c r="X13" s="149"/>
      <c r="Y13" s="149"/>
      <c r="Z13" s="149"/>
      <c r="AA13" s="149"/>
      <c r="AB13" s="149"/>
      <c r="AC13" s="149"/>
      <c r="AD13" s="144">
        <f t="shared" si="1"/>
        <v>0.91428571428571415</v>
      </c>
      <c r="AE13" s="143">
        <f t="shared" si="2"/>
        <v>0.39999999999999997</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si="4"/>
        <v>0.15238095238095237</v>
      </c>
      <c r="S14" s="149">
        <f t="shared" si="5"/>
        <v>0.15238095238095237</v>
      </c>
      <c r="T14" s="149">
        <f t="shared" si="6"/>
        <v>0.15238095238095237</v>
      </c>
      <c r="U14" s="149">
        <f t="shared" si="7"/>
        <v>0.15238095238095237</v>
      </c>
      <c r="V14" s="149">
        <f t="shared" si="8"/>
        <v>0.15238095238095237</v>
      </c>
      <c r="W14" s="149"/>
      <c r="X14" s="149"/>
      <c r="Y14" s="149"/>
      <c r="Z14" s="149"/>
      <c r="AA14" s="149"/>
      <c r="AB14" s="149"/>
      <c r="AC14" s="149"/>
      <c r="AD14" s="144">
        <f t="shared" si="1"/>
        <v>0.76190476190476186</v>
      </c>
      <c r="AE14" s="143">
        <f t="shared" si="2"/>
        <v>0.4</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si="4"/>
        <v>0.15238095238095237</v>
      </c>
      <c r="S15" s="149">
        <f t="shared" si="5"/>
        <v>0.15238095238095237</v>
      </c>
      <c r="T15" s="149">
        <f t="shared" si="6"/>
        <v>0.15238095238095237</v>
      </c>
      <c r="U15" s="149">
        <f t="shared" si="7"/>
        <v>0.15238095238095237</v>
      </c>
      <c r="V15" s="149">
        <f t="shared" si="8"/>
        <v>0.15238095238095237</v>
      </c>
      <c r="W15" s="149"/>
      <c r="X15" s="149"/>
      <c r="Y15" s="149"/>
      <c r="Z15" s="149"/>
      <c r="AA15" s="149"/>
      <c r="AB15" s="149"/>
      <c r="AC15" s="149"/>
      <c r="AD15" s="144">
        <f t="shared" si="1"/>
        <v>0.76190476190476186</v>
      </c>
      <c r="AE15" s="143">
        <f t="shared" si="2"/>
        <v>0.4</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si="4"/>
        <v>0.15238095238095237</v>
      </c>
      <c r="S16" s="149">
        <f t="shared" si="5"/>
        <v>0.15238095238095237</v>
      </c>
      <c r="T16" s="149">
        <f t="shared" si="6"/>
        <v>0.15238095238095237</v>
      </c>
      <c r="U16" s="149">
        <f t="shared" si="7"/>
        <v>0.15238095238095237</v>
      </c>
      <c r="V16" s="149">
        <f t="shared" si="8"/>
        <v>0.15238095238095237</v>
      </c>
      <c r="W16" s="149"/>
      <c r="X16" s="149"/>
      <c r="Y16" s="149"/>
      <c r="Z16" s="149"/>
      <c r="AA16" s="149"/>
      <c r="AB16" s="149"/>
      <c r="AC16" s="149"/>
      <c r="AD16" s="144">
        <f t="shared" si="1"/>
        <v>0.76190476190476186</v>
      </c>
      <c r="AE16" s="143">
        <f t="shared" si="2"/>
        <v>0.4</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si="4"/>
        <v>0.26181818181818178</v>
      </c>
      <c r="S17" s="149">
        <f t="shared" si="5"/>
        <v>0.26181818181818178</v>
      </c>
      <c r="T17" s="149">
        <f t="shared" si="6"/>
        <v>0.26181818181818178</v>
      </c>
      <c r="U17" s="149">
        <f t="shared" si="7"/>
        <v>0.26181818181818178</v>
      </c>
      <c r="V17" s="149">
        <f t="shared" si="8"/>
        <v>0.26181818181818178</v>
      </c>
      <c r="W17" s="149"/>
      <c r="X17" s="149"/>
      <c r="Y17" s="149"/>
      <c r="Z17" s="149"/>
      <c r="AA17" s="149"/>
      <c r="AB17" s="149"/>
      <c r="AC17" s="149"/>
      <c r="AD17" s="144">
        <f t="shared" si="1"/>
        <v>1.3090909090909089</v>
      </c>
      <c r="AE17" s="143">
        <f t="shared" si="2"/>
        <v>0.39999999999999997</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si="4"/>
        <v>0.21818181818181817</v>
      </c>
      <c r="S18" s="149">
        <f t="shared" si="5"/>
        <v>0.21818181818181817</v>
      </c>
      <c r="T18" s="149">
        <f t="shared" si="6"/>
        <v>0.21818181818181817</v>
      </c>
      <c r="U18" s="149">
        <f t="shared" si="7"/>
        <v>0.21818181818181817</v>
      </c>
      <c r="V18" s="149">
        <f t="shared" si="8"/>
        <v>0.21818181818181817</v>
      </c>
      <c r="W18" s="149"/>
      <c r="X18" s="149"/>
      <c r="Y18" s="149"/>
      <c r="Z18" s="149"/>
      <c r="AA18" s="149"/>
      <c r="AB18" s="149"/>
      <c r="AC18" s="149"/>
      <c r="AD18" s="144">
        <f t="shared" si="1"/>
        <v>1.0909090909090908</v>
      </c>
      <c r="AE18" s="143">
        <f t="shared" si="2"/>
        <v>0.4</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si="4"/>
        <v>0.21463414634146344</v>
      </c>
      <c r="S19" s="149">
        <f t="shared" si="5"/>
        <v>0.21463414634146344</v>
      </c>
      <c r="T19" s="149">
        <f t="shared" si="6"/>
        <v>0.21463414634146344</v>
      </c>
      <c r="U19" s="149">
        <f t="shared" si="7"/>
        <v>0.21463414634146344</v>
      </c>
      <c r="V19" s="149">
        <f t="shared" si="8"/>
        <v>0.21463414634146344</v>
      </c>
      <c r="W19" s="149"/>
      <c r="X19" s="149"/>
      <c r="Y19" s="149"/>
      <c r="Z19" s="149"/>
      <c r="AA19" s="149"/>
      <c r="AB19" s="149"/>
      <c r="AC19" s="149"/>
      <c r="AD19" s="144">
        <f t="shared" si="1"/>
        <v>1.0731707317073171</v>
      </c>
      <c r="AE19" s="143">
        <f t="shared" si="2"/>
        <v>0.4</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si="4"/>
        <v>0.8</v>
      </c>
      <c r="S20" s="149">
        <f t="shared" si="5"/>
        <v>0.8</v>
      </c>
      <c r="T20" s="149">
        <f t="shared" si="6"/>
        <v>0.8</v>
      </c>
      <c r="U20" s="149">
        <f t="shared" si="7"/>
        <v>0.8</v>
      </c>
      <c r="V20" s="149">
        <f t="shared" si="8"/>
        <v>0.8</v>
      </c>
      <c r="W20" s="149"/>
      <c r="X20" s="149"/>
      <c r="Y20" s="149"/>
      <c r="Z20" s="149"/>
      <c r="AA20" s="149"/>
      <c r="AB20" s="149"/>
      <c r="AC20" s="149"/>
      <c r="AD20" s="144">
        <f t="shared" si="1"/>
        <v>4</v>
      </c>
      <c r="AE20" s="143">
        <f t="shared" si="2"/>
        <v>0.4</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si="4"/>
        <v>0.21463414634146344</v>
      </c>
      <c r="S21" s="149">
        <f t="shared" si="5"/>
        <v>0.21463414634146344</v>
      </c>
      <c r="T21" s="149">
        <f t="shared" si="6"/>
        <v>0.21463414634146344</v>
      </c>
      <c r="U21" s="149">
        <f t="shared" si="7"/>
        <v>0.21463414634146344</v>
      </c>
      <c r="V21" s="149">
        <f t="shared" si="8"/>
        <v>0.21463414634146344</v>
      </c>
      <c r="W21" s="149"/>
      <c r="X21" s="149"/>
      <c r="Y21" s="149"/>
      <c r="Z21" s="149"/>
      <c r="AA21" s="149"/>
      <c r="AB21" s="149"/>
      <c r="AC21" s="149"/>
      <c r="AD21" s="144">
        <f t="shared" si="1"/>
        <v>1.0731707317073171</v>
      </c>
      <c r="AE21" s="143">
        <f t="shared" si="2"/>
        <v>0.4</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si="4"/>
        <v>0.8</v>
      </c>
      <c r="S22" s="149">
        <f t="shared" si="5"/>
        <v>0.8</v>
      </c>
      <c r="T22" s="149">
        <f t="shared" si="6"/>
        <v>0.8</v>
      </c>
      <c r="U22" s="149">
        <f t="shared" si="7"/>
        <v>0.8</v>
      </c>
      <c r="V22" s="149">
        <f t="shared" si="8"/>
        <v>0.8</v>
      </c>
      <c r="W22" s="149"/>
      <c r="X22" s="149"/>
      <c r="Y22" s="149"/>
      <c r="Z22" s="149"/>
      <c r="AA22" s="149"/>
      <c r="AB22" s="149"/>
      <c r="AC22" s="149"/>
      <c r="AD22" s="144">
        <f t="shared" si="1"/>
        <v>4</v>
      </c>
      <c r="AE22" s="143">
        <f t="shared" si="2"/>
        <v>0.4</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si="4"/>
        <v>0.48</v>
      </c>
      <c r="S23" s="149">
        <f t="shared" si="5"/>
        <v>0.48</v>
      </c>
      <c r="T23" s="149">
        <f t="shared" si="6"/>
        <v>0.48</v>
      </c>
      <c r="U23" s="149">
        <f t="shared" si="7"/>
        <v>0.48</v>
      </c>
      <c r="V23" s="149">
        <f t="shared" si="8"/>
        <v>0.48</v>
      </c>
      <c r="W23" s="149"/>
      <c r="X23" s="149"/>
      <c r="Y23" s="149"/>
      <c r="Z23" s="149"/>
      <c r="AA23" s="149"/>
      <c r="AB23" s="149"/>
      <c r="AC23" s="149"/>
      <c r="AD23" s="144">
        <f t="shared" si="1"/>
        <v>2.4</v>
      </c>
      <c r="AE23" s="143">
        <f t="shared" si="2"/>
        <v>0.39999999999999997</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si="4"/>
        <v>7.9999999999999988E-2</v>
      </c>
      <c r="S24" s="149">
        <f t="shared" si="5"/>
        <v>7.9999999999999988E-2</v>
      </c>
      <c r="T24" s="149">
        <f t="shared" si="6"/>
        <v>7.9999999999999988E-2</v>
      </c>
      <c r="U24" s="149">
        <f t="shared" si="7"/>
        <v>7.9999999999999988E-2</v>
      </c>
      <c r="V24" s="149">
        <f t="shared" si="8"/>
        <v>7.9999999999999988E-2</v>
      </c>
      <c r="W24" s="149"/>
      <c r="X24" s="149"/>
      <c r="Y24" s="149"/>
      <c r="Z24" s="149"/>
      <c r="AA24" s="149"/>
      <c r="AB24" s="149"/>
      <c r="AC24" s="149"/>
      <c r="AD24" s="144">
        <f t="shared" si="1"/>
        <v>0.39999999999999991</v>
      </c>
      <c r="AE24" s="143">
        <f t="shared" si="2"/>
        <v>0.39999999999999991</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4"/>
        <v>7.9999999999999988E-2</v>
      </c>
      <c r="S25" s="149">
        <f t="shared" si="5"/>
        <v>7.9999999999999988E-2</v>
      </c>
      <c r="T25" s="149">
        <f t="shared" si="6"/>
        <v>7.9999999999999988E-2</v>
      </c>
      <c r="U25" s="149">
        <f t="shared" si="7"/>
        <v>7.9999999999999988E-2</v>
      </c>
      <c r="V25" s="149">
        <f t="shared" si="8"/>
        <v>7.9999999999999988E-2</v>
      </c>
      <c r="W25" s="149"/>
      <c r="X25" s="149"/>
      <c r="Y25" s="149"/>
      <c r="Z25" s="149"/>
      <c r="AA25" s="149"/>
      <c r="AB25" s="149"/>
      <c r="AC25" s="149"/>
      <c r="AD25" s="144">
        <f t="shared" si="1"/>
        <v>0.39999999999999991</v>
      </c>
      <c r="AE25" s="143">
        <f t="shared" si="2"/>
        <v>0.39999999999999991</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si="4"/>
        <v>0.2575609756097561</v>
      </c>
      <c r="S26" s="149">
        <f t="shared" si="5"/>
        <v>0.2575609756097561</v>
      </c>
      <c r="T26" s="149">
        <f t="shared" si="6"/>
        <v>0.2575609756097561</v>
      </c>
      <c r="U26" s="149">
        <f t="shared" si="7"/>
        <v>0.2575609756097561</v>
      </c>
      <c r="V26" s="149">
        <f t="shared" si="8"/>
        <v>0.2575609756097561</v>
      </c>
      <c r="W26" s="149"/>
      <c r="X26" s="149"/>
      <c r="Y26" s="149"/>
      <c r="Z26" s="149"/>
      <c r="AA26" s="149"/>
      <c r="AB26" s="149"/>
      <c r="AC26" s="149"/>
      <c r="AD26" s="144">
        <f t="shared" si="1"/>
        <v>1.2878048780487805</v>
      </c>
      <c r="AE26" s="143">
        <f t="shared" si="2"/>
        <v>0.39999999999999997</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4"/>
        <v>0.30048780487804883</v>
      </c>
      <c r="S27" s="149">
        <f t="shared" si="5"/>
        <v>0.30048780487804883</v>
      </c>
      <c r="T27" s="149">
        <f t="shared" si="6"/>
        <v>0.30048780487804883</v>
      </c>
      <c r="U27" s="149">
        <f t="shared" si="7"/>
        <v>0.30048780487804883</v>
      </c>
      <c r="V27" s="149">
        <f t="shared" si="8"/>
        <v>0.30048780487804883</v>
      </c>
      <c r="W27" s="149"/>
      <c r="X27" s="149"/>
      <c r="Y27" s="149"/>
      <c r="Z27" s="149"/>
      <c r="AA27" s="149"/>
      <c r="AB27" s="149"/>
      <c r="AC27" s="149"/>
      <c r="AD27" s="144">
        <f t="shared" si="1"/>
        <v>1.5024390243902441</v>
      </c>
      <c r="AE27" s="143">
        <f t="shared" si="2"/>
        <v>0.39999999999999997</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4"/>
        <v>0.21463414634146344</v>
      </c>
      <c r="S28" s="149">
        <f t="shared" si="5"/>
        <v>0.21463414634146344</v>
      </c>
      <c r="T28" s="149">
        <f t="shared" si="6"/>
        <v>0.21463414634146344</v>
      </c>
      <c r="U28" s="149">
        <f t="shared" si="7"/>
        <v>0.21463414634146344</v>
      </c>
      <c r="V28" s="149">
        <f t="shared" si="8"/>
        <v>0.21463414634146344</v>
      </c>
      <c r="W28" s="149"/>
      <c r="X28" s="149"/>
      <c r="Y28" s="149"/>
      <c r="Z28" s="149"/>
      <c r="AA28" s="149"/>
      <c r="AB28" s="149"/>
      <c r="AC28" s="149"/>
      <c r="AD28" s="144">
        <f t="shared" si="1"/>
        <v>1.0731707317073171</v>
      </c>
      <c r="AE28" s="143">
        <f t="shared" si="2"/>
        <v>0.4</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4"/>
        <v>0.30048780487804883</v>
      </c>
      <c r="S29" s="149">
        <f t="shared" si="5"/>
        <v>0.30048780487804883</v>
      </c>
      <c r="T29" s="149">
        <f t="shared" si="6"/>
        <v>0.30048780487804883</v>
      </c>
      <c r="U29" s="149">
        <f t="shared" si="7"/>
        <v>0.30048780487804883</v>
      </c>
      <c r="V29" s="149">
        <f t="shared" si="8"/>
        <v>0.30048780487804883</v>
      </c>
      <c r="W29" s="149"/>
      <c r="X29" s="149"/>
      <c r="Y29" s="149"/>
      <c r="Z29" s="149"/>
      <c r="AA29" s="149"/>
      <c r="AB29" s="149"/>
      <c r="AC29" s="149"/>
      <c r="AD29" s="144">
        <f t="shared" si="1"/>
        <v>1.5024390243902441</v>
      </c>
      <c r="AE29" s="143">
        <f t="shared" si="2"/>
        <v>0.39999999999999997</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si="4"/>
        <v>0.12</v>
      </c>
      <c r="S30" s="149">
        <f t="shared" si="5"/>
        <v>0.12</v>
      </c>
      <c r="T30" s="149">
        <f t="shared" si="6"/>
        <v>0.12</v>
      </c>
      <c r="U30" s="149">
        <f t="shared" si="7"/>
        <v>0.12</v>
      </c>
      <c r="V30" s="149">
        <f t="shared" si="8"/>
        <v>0.12</v>
      </c>
      <c r="W30" s="149"/>
      <c r="X30" s="149"/>
      <c r="Y30" s="149"/>
      <c r="Z30" s="149"/>
      <c r="AA30" s="149"/>
      <c r="AB30" s="149"/>
      <c r="AC30" s="149"/>
      <c r="AD30" s="144">
        <f t="shared" si="1"/>
        <v>0.6</v>
      </c>
      <c r="AE30" s="143">
        <f t="shared" si="2"/>
        <v>0.39999999999999997</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4"/>
        <v>0.12</v>
      </c>
      <c r="S31" s="149">
        <f t="shared" si="5"/>
        <v>0.12</v>
      </c>
      <c r="T31" s="149">
        <f t="shared" si="6"/>
        <v>0.12</v>
      </c>
      <c r="U31" s="149">
        <f t="shared" si="7"/>
        <v>0.12</v>
      </c>
      <c r="V31" s="149">
        <f t="shared" si="8"/>
        <v>0.12</v>
      </c>
      <c r="W31" s="149"/>
      <c r="X31" s="149"/>
      <c r="Y31" s="149"/>
      <c r="Z31" s="149"/>
      <c r="AA31" s="149"/>
      <c r="AB31" s="149"/>
      <c r="AC31" s="149"/>
      <c r="AD31" s="144">
        <f t="shared" si="1"/>
        <v>0.6</v>
      </c>
      <c r="AE31" s="143">
        <f t="shared" si="2"/>
        <v>0.39999999999999997</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si="4"/>
        <v>0.12</v>
      </c>
      <c r="S32" s="149">
        <f t="shared" si="5"/>
        <v>0.12</v>
      </c>
      <c r="T32" s="149">
        <f t="shared" si="6"/>
        <v>0.12</v>
      </c>
      <c r="U32" s="149">
        <f t="shared" si="7"/>
        <v>0.12</v>
      </c>
      <c r="V32" s="149">
        <f t="shared" si="8"/>
        <v>0.12</v>
      </c>
      <c r="W32" s="149"/>
      <c r="X32" s="149"/>
      <c r="Y32" s="149"/>
      <c r="Z32" s="149"/>
      <c r="AA32" s="149"/>
      <c r="AB32" s="149"/>
      <c r="AC32" s="149"/>
      <c r="AD32" s="144">
        <f t="shared" si="1"/>
        <v>0.6</v>
      </c>
      <c r="AE32" s="143">
        <f t="shared" si="2"/>
        <v>0.39999999999999997</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4"/>
        <v>0.12</v>
      </c>
      <c r="S33" s="149">
        <f t="shared" si="5"/>
        <v>0.12</v>
      </c>
      <c r="T33" s="149">
        <f t="shared" si="6"/>
        <v>0.12</v>
      </c>
      <c r="U33" s="149">
        <f t="shared" si="7"/>
        <v>0.12</v>
      </c>
      <c r="V33" s="149">
        <f t="shared" si="8"/>
        <v>0.12</v>
      </c>
      <c r="W33" s="149"/>
      <c r="X33" s="149"/>
      <c r="Y33" s="149"/>
      <c r="Z33" s="149"/>
      <c r="AA33" s="149"/>
      <c r="AB33" s="149"/>
      <c r="AC33" s="149"/>
      <c r="AD33" s="144">
        <f t="shared" si="1"/>
        <v>0.6</v>
      </c>
      <c r="AE33" s="143">
        <f t="shared" si="2"/>
        <v>0.39999999999999997</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692</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39.964473684210525</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664</v>
      </c>
      <c r="C4" s="71" t="s">
        <v>186</v>
      </c>
      <c r="D4" s="71" t="s">
        <v>693</v>
      </c>
      <c r="E4" s="71" t="s">
        <v>694</v>
      </c>
      <c r="F4" s="71" t="s">
        <v>695</v>
      </c>
      <c r="G4" s="71" t="s">
        <v>696</v>
      </c>
      <c r="H4" s="71" t="s">
        <v>137</v>
      </c>
      <c r="I4" s="71" t="s">
        <v>140</v>
      </c>
      <c r="J4" s="71" t="s">
        <v>143</v>
      </c>
      <c r="K4" s="71" t="s">
        <v>146</v>
      </c>
      <c r="L4" s="23"/>
      <c r="M4" s="150" t="s">
        <v>697</v>
      </c>
      <c r="N4" s="151">
        <v>5</v>
      </c>
      <c r="O4" s="152" t="s">
        <v>698</v>
      </c>
      <c r="P4" s="153" t="s">
        <v>699</v>
      </c>
      <c r="Q4" s="153" t="s">
        <v>700</v>
      </c>
      <c r="R4" s="153" t="s">
        <v>701</v>
      </c>
      <c r="S4" s="153" t="s">
        <v>702</v>
      </c>
    </row>
    <row r="5" spans="1:19" ht="15" customHeight="1">
      <c r="A5" s="139">
        <v>1</v>
      </c>
      <c r="B5" s="139" t="s">
        <v>206</v>
      </c>
      <c r="C5" s="139" t="str">
        <f>CA_개요!C5</f>
        <v>협약/공급자 모니터링</v>
      </c>
      <c r="D5" s="154">
        <f>실적MM_입력!E5</f>
        <v>8</v>
      </c>
      <c r="E5" s="154">
        <f>$D5*($N$4/가정!$C$31)</f>
        <v>3.3333333333333335</v>
      </c>
      <c r="F5" s="154">
        <f>$D5*CA_개요!J5/100</f>
        <v>6.8</v>
      </c>
      <c r="G5" s="154">
        <f>SUMPRODUCT((실적MM_입력!$B$5:$B$33=B5)*실적MM_입력!$AD$5:$AD$33)</f>
        <v>3.1999999999999993</v>
      </c>
      <c r="H5" s="154">
        <f t="shared" ref="H5:H33" si="0">F5-E5</f>
        <v>3.4666666666666663</v>
      </c>
      <c r="I5" s="154">
        <f t="shared" ref="I5:I33" si="1">F5-G5</f>
        <v>3.6000000000000005</v>
      </c>
      <c r="J5" s="154">
        <f t="shared" ref="J5:J33" si="2">IFERROR(F5/E5,0)</f>
        <v>2.04</v>
      </c>
      <c r="K5" s="154">
        <f t="shared" ref="K5:K33" si="3">IFERROR(F5/G5,0)</f>
        <v>2.1250000000000004</v>
      </c>
      <c r="L5" s="23"/>
      <c r="M5" s="2" t="s">
        <v>703</v>
      </c>
      <c r="N5" s="2"/>
      <c r="O5" s="23">
        <f t="shared" ref="O5:O33" si="4">K5+ROW()*0.0000001</f>
        <v>2.1250005000000005</v>
      </c>
      <c r="P5" s="155">
        <f>D5*가정!$C$42</f>
        <v>64000000</v>
      </c>
      <c r="Q5" s="155">
        <f>E5*가정!$C$42</f>
        <v>26666666.666666668</v>
      </c>
      <c r="R5" s="155">
        <f>F5*가정!$C$42</f>
        <v>54400000</v>
      </c>
      <c r="S5" s="155">
        <f>G5*가정!$C$42</f>
        <v>25599999.999999993</v>
      </c>
    </row>
    <row r="6" spans="1:19" ht="14.25" customHeight="1">
      <c r="A6" s="139">
        <v>2</v>
      </c>
      <c r="B6" s="139" t="s">
        <v>212</v>
      </c>
      <c r="C6" s="139" t="str">
        <f>CA_개요!C6</f>
        <v>제품 릴리스 관리</v>
      </c>
      <c r="D6" s="154">
        <f>실적MM_입력!E6</f>
        <v>4</v>
      </c>
      <c r="E6" s="154">
        <f>$D6*($N$4/가정!$C$31)</f>
        <v>1.6666666666666667</v>
      </c>
      <c r="F6" s="154">
        <f>$D6*CA_개요!J6/100</f>
        <v>3</v>
      </c>
      <c r="G6" s="154">
        <f>SUMPRODUCT((실적MM_입력!$B$5:$B$33=B6)*실적MM_입력!$AD$5:$AD$33)</f>
        <v>1.5999999999999996</v>
      </c>
      <c r="H6" s="154">
        <f t="shared" si="0"/>
        <v>1.3333333333333333</v>
      </c>
      <c r="I6" s="154">
        <f t="shared" si="1"/>
        <v>1.4000000000000004</v>
      </c>
      <c r="J6" s="154">
        <f t="shared" si="2"/>
        <v>1.7999999999999998</v>
      </c>
      <c r="K6" s="154">
        <f t="shared" si="3"/>
        <v>1.8750000000000004</v>
      </c>
      <c r="L6" s="23"/>
      <c r="M6" s="23"/>
      <c r="N6" s="23"/>
      <c r="O6" s="23">
        <f t="shared" si="4"/>
        <v>1.8750006000000004</v>
      </c>
      <c r="P6" s="155">
        <f>D6*가정!$C$42</f>
        <v>32000000</v>
      </c>
      <c r="Q6" s="155">
        <f>E6*가정!$C$42</f>
        <v>13333333.333333334</v>
      </c>
      <c r="R6" s="155">
        <f>F6*가정!$C$42</f>
        <v>24000000</v>
      </c>
      <c r="S6" s="155">
        <f>G6*가정!$C$42</f>
        <v>12799999.999999996</v>
      </c>
    </row>
    <row r="7" spans="1:19" ht="14.25" customHeight="1">
      <c r="A7" s="139">
        <v>3</v>
      </c>
      <c r="B7" s="139" t="s">
        <v>218</v>
      </c>
      <c r="C7" s="139" t="str">
        <f>CA_개요!C7</f>
        <v>프로젝트 관리</v>
      </c>
      <c r="D7" s="154">
        <f>실적MM_입력!E7</f>
        <v>4.7368421052631575</v>
      </c>
      <c r="E7" s="154">
        <f>$D7*($N$4/가정!$C$31)</f>
        <v>1.9736842105263157</v>
      </c>
      <c r="F7" s="154">
        <f>$D7*CA_개요!J7/100</f>
        <v>4.0263157894736841</v>
      </c>
      <c r="G7" s="154">
        <f>SUMPRODUCT((실적MM_입력!$B$5:$B$33=B7)*실적MM_입력!$AD$5:$AD$33)</f>
        <v>1.9144736842105261</v>
      </c>
      <c r="H7" s="154">
        <f t="shared" si="0"/>
        <v>2.0526315789473681</v>
      </c>
      <c r="I7" s="154">
        <f t="shared" si="1"/>
        <v>2.111842105263158</v>
      </c>
      <c r="J7" s="154">
        <f t="shared" si="2"/>
        <v>2.04</v>
      </c>
      <c r="K7" s="154">
        <f t="shared" si="3"/>
        <v>2.1030927835051547</v>
      </c>
      <c r="L7" s="23"/>
      <c r="M7" s="23"/>
      <c r="N7" s="23"/>
      <c r="O7" s="23">
        <f t="shared" si="4"/>
        <v>2.1030934835051549</v>
      </c>
      <c r="P7" s="155">
        <f>D7*가정!$C$42</f>
        <v>37894736.842105262</v>
      </c>
      <c r="Q7" s="155">
        <f>E7*가정!$C$42</f>
        <v>15789473.684210526</v>
      </c>
      <c r="R7" s="155">
        <f>F7*가정!$C$42</f>
        <v>32210526.315789472</v>
      </c>
      <c r="S7" s="155">
        <f>G7*가정!$C$42</f>
        <v>15315789.473684208</v>
      </c>
    </row>
    <row r="8" spans="1:19" ht="14.25" customHeight="1">
      <c r="A8" s="139">
        <v>4</v>
      </c>
      <c r="B8" s="139" t="s">
        <v>223</v>
      </c>
      <c r="C8" s="139" t="str">
        <f>CA_개요!C8</f>
        <v>품질보증(QA)</v>
      </c>
      <c r="D8" s="154">
        <f>실적MM_입력!E8</f>
        <v>3.3157894736842102</v>
      </c>
      <c r="E8" s="154">
        <f>$D8*($N$4/가정!$C$31)</f>
        <v>1.381578947368421</v>
      </c>
      <c r="F8" s="154">
        <f>$D8*CA_개요!J8/100</f>
        <v>2.2514210526315792</v>
      </c>
      <c r="G8" s="154">
        <f>SUMPRODUCT((실적MM_입력!$B$5:$B$33=B8)*실적MM_입력!$AD$5:$AD$33)</f>
        <v>1.3124999999999998</v>
      </c>
      <c r="H8" s="154">
        <f t="shared" si="0"/>
        <v>0.86984210526315819</v>
      </c>
      <c r="I8" s="154">
        <f t="shared" si="1"/>
        <v>0.93892105263157943</v>
      </c>
      <c r="J8" s="154">
        <f t="shared" si="2"/>
        <v>1.6296000000000002</v>
      </c>
      <c r="K8" s="154">
        <f t="shared" si="3"/>
        <v>1.7153684210526321</v>
      </c>
      <c r="L8" s="23"/>
      <c r="M8" s="23"/>
      <c r="N8" s="23"/>
      <c r="O8" s="23">
        <f t="shared" si="4"/>
        <v>1.7153692210526321</v>
      </c>
      <c r="P8" s="155">
        <f>D8*가정!$C$42</f>
        <v>26526315.789473683</v>
      </c>
      <c r="Q8" s="155">
        <f>E8*가정!$C$42</f>
        <v>11052631.578947369</v>
      </c>
      <c r="R8" s="155">
        <f>F8*가정!$C$42</f>
        <v>18011368.421052635</v>
      </c>
      <c r="S8" s="155">
        <f>G8*가정!$C$42</f>
        <v>10499999.999999998</v>
      </c>
    </row>
    <row r="9" spans="1:19" ht="14.25" customHeight="1">
      <c r="A9" s="139">
        <v>5</v>
      </c>
      <c r="B9" s="139" t="s">
        <v>226</v>
      </c>
      <c r="C9" s="139" t="str">
        <f>CA_개요!C9</f>
        <v>형상관리(CM)</v>
      </c>
      <c r="D9" s="154">
        <f>실적MM_입력!E9</f>
        <v>3.7894736842105257</v>
      </c>
      <c r="E9" s="154">
        <f>$D9*($N$4/가정!$C$31)</f>
        <v>1.5789473684210524</v>
      </c>
      <c r="F9" s="154">
        <f>$D9*CA_개요!J9/100</f>
        <v>2.7246315789473683</v>
      </c>
      <c r="G9" s="154">
        <f>SUMPRODUCT((실적MM_입력!$B$5:$B$33=B9)*실적MM_입력!$AD$5:$AD$33)</f>
        <v>1.4999999999999996</v>
      </c>
      <c r="H9" s="154">
        <f t="shared" si="0"/>
        <v>1.1456842105263159</v>
      </c>
      <c r="I9" s="154">
        <f t="shared" si="1"/>
        <v>1.2246315789473687</v>
      </c>
      <c r="J9" s="154">
        <f t="shared" si="2"/>
        <v>1.7256000000000002</v>
      </c>
      <c r="K9" s="154">
        <f t="shared" si="3"/>
        <v>1.8164210526315794</v>
      </c>
      <c r="L9" s="23"/>
      <c r="M9" s="23"/>
      <c r="N9" s="23"/>
      <c r="O9" s="23">
        <f t="shared" si="4"/>
        <v>1.8164219526315795</v>
      </c>
      <c r="P9" s="155">
        <f>D9*가정!$C$42</f>
        <v>30315789.473684207</v>
      </c>
      <c r="Q9" s="155">
        <f>E9*가정!$C$42</f>
        <v>12631578.947368419</v>
      </c>
      <c r="R9" s="155">
        <f>F9*가정!$C$42</f>
        <v>21797052.631578945</v>
      </c>
      <c r="S9" s="155">
        <f>G9*가정!$C$42</f>
        <v>11999999.999999996</v>
      </c>
    </row>
    <row r="10" spans="1:19" ht="14.25" customHeight="1">
      <c r="A10" s="139">
        <v>6</v>
      </c>
      <c r="B10" s="139" t="s">
        <v>229</v>
      </c>
      <c r="C10" s="139" t="str">
        <f>CA_개요!C10</f>
        <v>문제해결관리</v>
      </c>
      <c r="D10" s="154">
        <f>실적MM_입력!E10</f>
        <v>3.3157894736842102</v>
      </c>
      <c r="E10" s="154">
        <f>$D10*($N$4/가정!$C$31)</f>
        <v>1.381578947368421</v>
      </c>
      <c r="F10" s="154">
        <f>$D10*CA_개요!J10/100</f>
        <v>2.2514210526315792</v>
      </c>
      <c r="G10" s="154">
        <f>SUMPRODUCT((실적MM_입력!$B$5:$B$33=B10)*실적MM_입력!$AD$5:$AD$33)</f>
        <v>1.3124999999999998</v>
      </c>
      <c r="H10" s="154">
        <f t="shared" si="0"/>
        <v>0.86984210526315819</v>
      </c>
      <c r="I10" s="154">
        <f t="shared" si="1"/>
        <v>0.93892105263157943</v>
      </c>
      <c r="J10" s="154">
        <f t="shared" si="2"/>
        <v>1.6296000000000002</v>
      </c>
      <c r="K10" s="154">
        <f t="shared" si="3"/>
        <v>1.7153684210526321</v>
      </c>
      <c r="L10" s="23"/>
      <c r="M10" s="23"/>
      <c r="N10" s="23"/>
      <c r="O10" s="23">
        <f t="shared" si="4"/>
        <v>1.715369421052632</v>
      </c>
      <c r="P10" s="155">
        <f>D10*가정!$C$42</f>
        <v>26526315.789473683</v>
      </c>
      <c r="Q10" s="155">
        <f>E10*가정!$C$42</f>
        <v>11052631.578947369</v>
      </c>
      <c r="R10" s="155">
        <f>F10*가정!$C$42</f>
        <v>18011368.421052635</v>
      </c>
      <c r="S10" s="155">
        <f>G10*가정!$C$42</f>
        <v>10499999.999999998</v>
      </c>
    </row>
    <row r="11" spans="1:19" ht="14.25" customHeight="1">
      <c r="A11" s="139">
        <v>7</v>
      </c>
      <c r="B11" s="139" t="s">
        <v>234</v>
      </c>
      <c r="C11" s="139" t="str">
        <f>CA_개요!C11</f>
        <v>변경요청관리</v>
      </c>
      <c r="D11" s="154">
        <f>실적MM_입력!E11</f>
        <v>2.8421052631578942</v>
      </c>
      <c r="E11" s="154">
        <f>$D11*($N$4/가정!$C$31)</f>
        <v>1.1842105263157894</v>
      </c>
      <c r="F11" s="154">
        <f>$D11*CA_개요!J11/100</f>
        <v>1.7763157894736838</v>
      </c>
      <c r="G11" s="154">
        <f>SUMPRODUCT((실적MM_입력!$B$5:$B$33=B11)*실적MM_입력!$AD$5:$AD$33)</f>
        <v>1.1249999999999998</v>
      </c>
      <c r="H11" s="154">
        <f t="shared" si="0"/>
        <v>0.59210526315789447</v>
      </c>
      <c r="I11" s="154">
        <f t="shared" si="1"/>
        <v>0.65131578947368407</v>
      </c>
      <c r="J11" s="154">
        <f t="shared" si="2"/>
        <v>1.4999999999999998</v>
      </c>
      <c r="K11" s="154">
        <f t="shared" si="3"/>
        <v>1.5789473684210527</v>
      </c>
      <c r="L11" s="23"/>
      <c r="M11" s="23"/>
      <c r="N11" s="23"/>
      <c r="O11" s="23">
        <f t="shared" si="4"/>
        <v>1.5789484684210526</v>
      </c>
      <c r="P11" s="155">
        <f>D11*가정!$C$42</f>
        <v>22736842.105263155</v>
      </c>
      <c r="Q11" s="155">
        <f>E11*가정!$C$42</f>
        <v>9473684.2105263155</v>
      </c>
      <c r="R11" s="155">
        <f>F11*가정!$C$42</f>
        <v>14210526.31578947</v>
      </c>
      <c r="S11" s="155">
        <f>G11*가정!$C$42</f>
        <v>8999999.9999999981</v>
      </c>
    </row>
    <row r="12" spans="1:19" ht="14.25" customHeight="1">
      <c r="A12" s="139">
        <v>8</v>
      </c>
      <c r="B12" s="139" t="s">
        <v>238</v>
      </c>
      <c r="C12" s="139" t="str">
        <f>CA_개요!C12</f>
        <v>ML 데이터관리(ASW에 포함)</v>
      </c>
      <c r="D12" s="154">
        <f>실적MM_입력!E12</f>
        <v>3.2195121951219514</v>
      </c>
      <c r="E12" s="154">
        <f>$D12*($N$4/가정!$C$31)</f>
        <v>1.3414634146341464</v>
      </c>
      <c r="F12" s="154">
        <f>$D12*CA_개요!J12/100</f>
        <v>2.4146341463414633</v>
      </c>
      <c r="G12" s="154">
        <f>SUMPRODUCT((실적MM_입력!$B$5:$B$33=B12)*실적MM_입력!$AD$5:$AD$33)</f>
        <v>1.2878048780487805</v>
      </c>
      <c r="H12" s="154">
        <f t="shared" si="0"/>
        <v>1.0731707317073169</v>
      </c>
      <c r="I12" s="154">
        <f t="shared" si="1"/>
        <v>1.1268292682926828</v>
      </c>
      <c r="J12" s="154">
        <f t="shared" si="2"/>
        <v>1.7999999999999998</v>
      </c>
      <c r="K12" s="154">
        <f t="shared" si="3"/>
        <v>1.875</v>
      </c>
      <c r="L12" s="23"/>
      <c r="M12" s="23"/>
      <c r="N12" s="23"/>
      <c r="O12" s="23">
        <f t="shared" si="4"/>
        <v>1.8750012</v>
      </c>
      <c r="P12" s="155">
        <f>D12*가정!$C$42</f>
        <v>25756097.560975611</v>
      </c>
      <c r="Q12" s="155">
        <f>E12*가정!$C$42</f>
        <v>10731707.317073172</v>
      </c>
      <c r="R12" s="155">
        <f>F12*가정!$C$42</f>
        <v>19317073.170731708</v>
      </c>
      <c r="S12" s="155">
        <f>G12*가정!$C$42</f>
        <v>10302439.024390245</v>
      </c>
    </row>
    <row r="13" spans="1:19" ht="14.25" customHeight="1">
      <c r="A13" s="139">
        <v>9</v>
      </c>
      <c r="B13" s="139" t="s">
        <v>242</v>
      </c>
      <c r="C13" s="139" t="str">
        <f>CA_개요!C13</f>
        <v>시스템 요구사항분석</v>
      </c>
      <c r="D13" s="154">
        <f>실적MM_입력!E13</f>
        <v>2.2857142857142856</v>
      </c>
      <c r="E13" s="154">
        <f>$D13*($N$4/가정!$C$31)</f>
        <v>0.95238095238095233</v>
      </c>
      <c r="F13" s="154">
        <f>$D13*CA_개요!J13/100</f>
        <v>2.2857142857142856</v>
      </c>
      <c r="G13" s="154">
        <f>SUMPRODUCT((실적MM_입력!$B$5:$B$33=B13)*실적MM_입력!$AD$5:$AD$33)</f>
        <v>0.91428571428571415</v>
      </c>
      <c r="H13" s="154">
        <f t="shared" si="0"/>
        <v>1.3333333333333333</v>
      </c>
      <c r="I13" s="154">
        <f t="shared" si="1"/>
        <v>1.3714285714285714</v>
      </c>
      <c r="J13" s="154">
        <f t="shared" si="2"/>
        <v>2.4</v>
      </c>
      <c r="K13" s="154">
        <f t="shared" si="3"/>
        <v>2.5000000000000004</v>
      </c>
      <c r="L13" s="23"/>
      <c r="M13" s="23"/>
      <c r="N13" s="23"/>
      <c r="O13" s="23">
        <f t="shared" si="4"/>
        <v>2.5000013000000005</v>
      </c>
      <c r="P13" s="155">
        <f>D13*가정!$C$42</f>
        <v>18285714.285714284</v>
      </c>
      <c r="Q13" s="155">
        <f>E13*가정!$C$42</f>
        <v>7619047.6190476185</v>
      </c>
      <c r="R13" s="155">
        <f>F13*가정!$C$42</f>
        <v>18285714.285714284</v>
      </c>
      <c r="S13" s="155">
        <f>G13*가정!$C$42</f>
        <v>7314285.7142857136</v>
      </c>
    </row>
    <row r="14" spans="1:19" ht="14.25" customHeight="1">
      <c r="A14" s="139">
        <v>10</v>
      </c>
      <c r="B14" s="139" t="s">
        <v>246</v>
      </c>
      <c r="C14" s="139" t="str">
        <f>CA_개요!C14</f>
        <v>시스템 아키텍처설계</v>
      </c>
      <c r="D14" s="154">
        <f>실적MM_입력!E14</f>
        <v>1.9047619047619047</v>
      </c>
      <c r="E14" s="154">
        <f>$D14*($N$4/가정!$C$31)</f>
        <v>0.79365079365079361</v>
      </c>
      <c r="F14" s="154">
        <f>$D14*CA_개요!J14/100</f>
        <v>1.9047619047619044</v>
      </c>
      <c r="G14" s="154">
        <f>SUMPRODUCT((실적MM_입력!$B$5:$B$33=B14)*실적MM_입력!$AD$5:$AD$33)</f>
        <v>0.76190476190476186</v>
      </c>
      <c r="H14" s="154">
        <f t="shared" si="0"/>
        <v>1.1111111111111107</v>
      </c>
      <c r="I14" s="154">
        <f t="shared" si="1"/>
        <v>1.1428571428571426</v>
      </c>
      <c r="J14" s="154">
        <f t="shared" si="2"/>
        <v>2.4</v>
      </c>
      <c r="K14" s="154">
        <f t="shared" si="3"/>
        <v>2.4999999999999996</v>
      </c>
      <c r="L14" s="23"/>
      <c r="M14" s="23"/>
      <c r="N14" s="23"/>
      <c r="O14" s="23">
        <f t="shared" si="4"/>
        <v>2.5000013999999995</v>
      </c>
      <c r="P14" s="155">
        <f>D14*가정!$C$42</f>
        <v>15238095.238095237</v>
      </c>
      <c r="Q14" s="155">
        <f>E14*가정!$C$42</f>
        <v>6349206.3492063489</v>
      </c>
      <c r="R14" s="155">
        <f>F14*가정!$C$42</f>
        <v>15238095.238095235</v>
      </c>
      <c r="S14" s="155">
        <f>G14*가정!$C$42</f>
        <v>6095238.0952380951</v>
      </c>
    </row>
    <row r="15" spans="1:19" ht="14.25" customHeight="1">
      <c r="A15" s="139">
        <v>11</v>
      </c>
      <c r="B15" s="139" t="s">
        <v>248</v>
      </c>
      <c r="C15" s="139" t="str">
        <f>CA_개요!C15</f>
        <v>시스템 통합/통합검증</v>
      </c>
      <c r="D15" s="154">
        <f>실적MM_입력!E15</f>
        <v>1.9047619047619047</v>
      </c>
      <c r="E15" s="154">
        <f>$D15*($N$4/가정!$C$31)</f>
        <v>0.79365079365079361</v>
      </c>
      <c r="F15" s="154">
        <f>$D15*CA_개요!J15/100</f>
        <v>1.0476190476190477</v>
      </c>
      <c r="G15" s="154">
        <f>SUMPRODUCT((실적MM_입력!$B$5:$B$33=B15)*실적MM_입력!$AD$5:$AD$33)</f>
        <v>0.76190476190476186</v>
      </c>
      <c r="H15" s="154">
        <f t="shared" si="0"/>
        <v>0.25396825396825407</v>
      </c>
      <c r="I15" s="154">
        <f t="shared" si="1"/>
        <v>0.28571428571428581</v>
      </c>
      <c r="J15" s="154">
        <f t="shared" si="2"/>
        <v>1.32</v>
      </c>
      <c r="K15" s="154">
        <f t="shared" si="3"/>
        <v>1.3750000000000002</v>
      </c>
      <c r="L15" s="23"/>
      <c r="M15" s="23"/>
      <c r="N15" s="23"/>
      <c r="O15" s="23">
        <f t="shared" si="4"/>
        <v>1.3750015000000002</v>
      </c>
      <c r="P15" s="155">
        <f>D15*가정!$C$42</f>
        <v>15238095.238095237</v>
      </c>
      <c r="Q15" s="155">
        <f>E15*가정!$C$42</f>
        <v>6349206.3492063489</v>
      </c>
      <c r="R15" s="155">
        <f>F15*가정!$C$42</f>
        <v>8380952.3809523815</v>
      </c>
      <c r="S15" s="155">
        <f>G15*가정!$C$42</f>
        <v>6095238.0952380951</v>
      </c>
    </row>
    <row r="16" spans="1:19" ht="14.25" customHeight="1">
      <c r="A16" s="139">
        <v>12</v>
      </c>
      <c r="B16" s="139" t="s">
        <v>250</v>
      </c>
      <c r="C16" s="139" t="str">
        <f>CA_개요!C16</f>
        <v>시스템 검증</v>
      </c>
      <c r="D16" s="154">
        <f>실적MM_입력!E16</f>
        <v>1.9047619047619047</v>
      </c>
      <c r="E16" s="154">
        <f>$D16*($N$4/가정!$C$31)</f>
        <v>0.79365079365079361</v>
      </c>
      <c r="F16" s="154">
        <f>$D16*CA_개요!J16/100</f>
        <v>0.19047619047619047</v>
      </c>
      <c r="G16" s="154">
        <f>SUMPRODUCT((실적MM_입력!$B$5:$B$33=B16)*실적MM_입력!$AD$5:$AD$33)</f>
        <v>0.76190476190476186</v>
      </c>
      <c r="H16" s="154">
        <f t="shared" si="0"/>
        <v>-0.60317460317460314</v>
      </c>
      <c r="I16" s="154">
        <f t="shared" si="1"/>
        <v>-0.5714285714285714</v>
      </c>
      <c r="J16" s="154">
        <f t="shared" si="2"/>
        <v>0.24</v>
      </c>
      <c r="K16" s="154">
        <f t="shared" si="3"/>
        <v>0.25</v>
      </c>
      <c r="L16" s="23"/>
      <c r="M16" s="23"/>
      <c r="N16" s="23"/>
      <c r="O16" s="23">
        <f t="shared" si="4"/>
        <v>0.25000159999999999</v>
      </c>
      <c r="P16" s="155">
        <f>D16*가정!$C$42</f>
        <v>15238095.238095237</v>
      </c>
      <c r="Q16" s="155">
        <f>E16*가정!$C$42</f>
        <v>6349206.3492063489</v>
      </c>
      <c r="R16" s="155">
        <f>F16*가정!$C$42</f>
        <v>1523809.5238095238</v>
      </c>
      <c r="S16" s="155">
        <f>G16*가정!$C$42</f>
        <v>6095238.0952380951</v>
      </c>
    </row>
    <row r="17" spans="1:19" ht="14.25" customHeight="1">
      <c r="A17" s="139">
        <v>13</v>
      </c>
      <c r="B17" s="139" t="s">
        <v>253</v>
      </c>
      <c r="C17" s="139" t="str">
        <f>CA_개요!C17</f>
        <v>SW 요구사항분석</v>
      </c>
      <c r="D17" s="154">
        <f>실적MM_입력!E17</f>
        <v>3.2727272727272725</v>
      </c>
      <c r="E17" s="154">
        <f>$D17*($N$4/가정!$C$31)</f>
        <v>1.3636363636363635</v>
      </c>
      <c r="F17" s="154">
        <f>$D17*CA_개요!J17/100</f>
        <v>3.2727272727272725</v>
      </c>
      <c r="G17" s="154">
        <f>SUMPRODUCT((실적MM_입력!$B$5:$B$33=B17)*실적MM_입력!$AD$5:$AD$33)</f>
        <v>1.3090909090909089</v>
      </c>
      <c r="H17" s="154">
        <f t="shared" si="0"/>
        <v>1.9090909090909089</v>
      </c>
      <c r="I17" s="154">
        <f t="shared" si="1"/>
        <v>1.9636363636363636</v>
      </c>
      <c r="J17" s="154">
        <f t="shared" si="2"/>
        <v>2.4</v>
      </c>
      <c r="K17" s="154">
        <f t="shared" si="3"/>
        <v>2.5000000000000004</v>
      </c>
      <c r="L17" s="23"/>
      <c r="M17" s="23"/>
      <c r="N17" s="23"/>
      <c r="O17" s="23">
        <f t="shared" si="4"/>
        <v>2.5000017000000003</v>
      </c>
      <c r="P17" s="155">
        <f>D17*가정!$C$42</f>
        <v>26181818.18181818</v>
      </c>
      <c r="Q17" s="155">
        <f>E17*가정!$C$42</f>
        <v>10909090.909090908</v>
      </c>
      <c r="R17" s="155">
        <f>F17*가정!$C$42</f>
        <v>26181818.18181818</v>
      </c>
      <c r="S17" s="155">
        <f>G17*가정!$C$42</f>
        <v>10472727.272727272</v>
      </c>
    </row>
    <row r="18" spans="1:19" ht="14.25" customHeight="1">
      <c r="A18" s="139">
        <v>14</v>
      </c>
      <c r="B18" s="139" t="s">
        <v>256</v>
      </c>
      <c r="C18" s="139" t="str">
        <f>CA_개요!C18</f>
        <v>SW 아키텍처설계</v>
      </c>
      <c r="D18" s="154">
        <f>실적MM_입력!E18</f>
        <v>2.7272727272727271</v>
      </c>
      <c r="E18" s="154">
        <f>$D18*($N$4/가정!$C$31)</f>
        <v>1.1363636363636362</v>
      </c>
      <c r="F18" s="154">
        <f>$D18*CA_개요!J18/100</f>
        <v>2.7272727272727271</v>
      </c>
      <c r="G18" s="154">
        <f>SUMPRODUCT((실적MM_입력!$B$5:$B$33=B18)*실적MM_입력!$AD$5:$AD$33)</f>
        <v>1.0909090909090908</v>
      </c>
      <c r="H18" s="154">
        <f t="shared" si="0"/>
        <v>1.5909090909090908</v>
      </c>
      <c r="I18" s="154">
        <f t="shared" si="1"/>
        <v>1.6363636363636362</v>
      </c>
      <c r="J18" s="154">
        <f t="shared" si="2"/>
        <v>2.4</v>
      </c>
      <c r="K18" s="154">
        <f t="shared" si="3"/>
        <v>2.5</v>
      </c>
      <c r="L18" s="23"/>
      <c r="M18" s="23"/>
      <c r="N18" s="23"/>
      <c r="O18" s="23">
        <f t="shared" si="4"/>
        <v>2.5000018000000002</v>
      </c>
      <c r="P18" s="155">
        <f>D18*가정!$C$42</f>
        <v>21818181.818181816</v>
      </c>
      <c r="Q18" s="155">
        <f>E18*가정!$C$42</f>
        <v>9090909.0909090899</v>
      </c>
      <c r="R18" s="155">
        <f>F18*가정!$C$42</f>
        <v>21818181.818181816</v>
      </c>
      <c r="S18" s="155">
        <f>G18*가정!$C$42</f>
        <v>8727272.7272727266</v>
      </c>
    </row>
    <row r="19" spans="1:19" ht="14.25" customHeight="1">
      <c r="A19" s="139">
        <v>15</v>
      </c>
      <c r="B19" s="139" t="s">
        <v>258</v>
      </c>
      <c r="C19" s="139" t="str">
        <f>CA_개요!C19</f>
        <v>SW 상세설계/단위구현(ASW)</v>
      </c>
      <c r="D19" s="154">
        <f>실적MM_입력!E19</f>
        <v>2.6829268292682928</v>
      </c>
      <c r="E19" s="154">
        <f>$D19*($N$4/가정!$C$31)</f>
        <v>1.1178861788617886</v>
      </c>
      <c r="F19" s="154">
        <f>$D19*CA_개요!J19/100</f>
        <v>2.6829268292682928</v>
      </c>
      <c r="G19" s="154">
        <f>SUMPRODUCT((실적MM_입력!$B$5:$B$33=B19)*실적MM_입력!$AD$5:$AD$33)</f>
        <v>1.0731707317073171</v>
      </c>
      <c r="H19" s="154">
        <f t="shared" si="0"/>
        <v>1.5650406504065042</v>
      </c>
      <c r="I19" s="154">
        <f t="shared" si="1"/>
        <v>1.6097560975609757</v>
      </c>
      <c r="J19" s="154">
        <f t="shared" si="2"/>
        <v>2.4</v>
      </c>
      <c r="K19" s="154">
        <f t="shared" si="3"/>
        <v>2.5</v>
      </c>
      <c r="L19" s="23"/>
      <c r="M19" s="23"/>
      <c r="N19" s="23"/>
      <c r="O19" s="23">
        <f t="shared" si="4"/>
        <v>2.5000019</v>
      </c>
      <c r="P19" s="155">
        <f>D19*가정!$C$42</f>
        <v>21463414.634146344</v>
      </c>
      <c r="Q19" s="155">
        <f>E19*가정!$C$42</f>
        <v>8943089.4308943097</v>
      </c>
      <c r="R19" s="155">
        <f>F19*가정!$C$42</f>
        <v>21463414.634146344</v>
      </c>
      <c r="S19" s="155">
        <f>G19*가정!$C$42</f>
        <v>8585365.8536585364</v>
      </c>
    </row>
    <row r="20" spans="1:19" ht="14.25" customHeight="1">
      <c r="A20" s="139">
        <v>16</v>
      </c>
      <c r="B20" s="139" t="s">
        <v>262</v>
      </c>
      <c r="C20" s="139" t="str">
        <f>CA_개요!C20</f>
        <v>SW 상세설계/단위구현(BSW)</v>
      </c>
      <c r="D20" s="154">
        <f>실적MM_입력!E20</f>
        <v>10</v>
      </c>
      <c r="E20" s="154">
        <f>$D20*($N$4/가정!$C$31)</f>
        <v>4.166666666666667</v>
      </c>
      <c r="F20" s="154">
        <f>$D20*CA_개요!J20/100</f>
        <v>10</v>
      </c>
      <c r="G20" s="154">
        <f>SUMPRODUCT((실적MM_입력!$B$5:$B$33=B20)*실적MM_입력!$AD$5:$AD$33)</f>
        <v>4</v>
      </c>
      <c r="H20" s="154">
        <f t="shared" si="0"/>
        <v>5.833333333333333</v>
      </c>
      <c r="I20" s="154">
        <f t="shared" si="1"/>
        <v>6</v>
      </c>
      <c r="J20" s="154">
        <f t="shared" si="2"/>
        <v>2.4</v>
      </c>
      <c r="K20" s="154">
        <f t="shared" si="3"/>
        <v>2.5</v>
      </c>
      <c r="L20" s="23"/>
      <c r="M20" s="23"/>
      <c r="N20" s="23"/>
      <c r="O20" s="23">
        <f t="shared" si="4"/>
        <v>2.5000019999999998</v>
      </c>
      <c r="P20" s="155">
        <f>D20*가정!$C$42</f>
        <v>80000000</v>
      </c>
      <c r="Q20" s="155">
        <f>E20*가정!$C$42</f>
        <v>33333333.333333336</v>
      </c>
      <c r="R20" s="155">
        <f>F20*가정!$C$42</f>
        <v>80000000</v>
      </c>
      <c r="S20" s="155">
        <f>G20*가정!$C$42</f>
        <v>32000000</v>
      </c>
    </row>
    <row r="21" spans="1:19" ht="14.25" customHeight="1">
      <c r="A21" s="139">
        <v>17</v>
      </c>
      <c r="B21" s="139" t="s">
        <v>266</v>
      </c>
      <c r="C21" s="139" t="str">
        <f>CA_개요!C21</f>
        <v>SW 단위검증(ASW)</v>
      </c>
      <c r="D21" s="154">
        <f>실적MM_입력!E21</f>
        <v>2.6829268292682928</v>
      </c>
      <c r="E21" s="154">
        <f>$D21*($N$4/가정!$C$31)</f>
        <v>1.1178861788617886</v>
      </c>
      <c r="F21" s="154">
        <f>$D21*CA_개요!J21/100</f>
        <v>2.6829268292682928</v>
      </c>
      <c r="G21" s="154">
        <f>SUMPRODUCT((실적MM_입력!$B$5:$B$33=B21)*실적MM_입력!$AD$5:$AD$33)</f>
        <v>1.0731707317073171</v>
      </c>
      <c r="H21" s="154">
        <f t="shared" si="0"/>
        <v>1.5650406504065042</v>
      </c>
      <c r="I21" s="154">
        <f t="shared" si="1"/>
        <v>1.6097560975609757</v>
      </c>
      <c r="J21" s="154">
        <f t="shared" si="2"/>
        <v>2.4</v>
      </c>
      <c r="K21" s="154">
        <f t="shared" si="3"/>
        <v>2.5</v>
      </c>
      <c r="L21" s="23"/>
      <c r="M21" s="23"/>
      <c r="N21" s="23"/>
      <c r="O21" s="23">
        <f t="shared" si="4"/>
        <v>2.5000021000000001</v>
      </c>
      <c r="P21" s="155">
        <f>D21*가정!$C$42</f>
        <v>21463414.634146344</v>
      </c>
      <c r="Q21" s="155">
        <f>E21*가정!$C$42</f>
        <v>8943089.4308943097</v>
      </c>
      <c r="R21" s="155">
        <f>F21*가정!$C$42</f>
        <v>21463414.634146344</v>
      </c>
      <c r="S21" s="155">
        <f>G21*가정!$C$42</f>
        <v>8585365.8536585364</v>
      </c>
    </row>
    <row r="22" spans="1:19" ht="14.25" customHeight="1">
      <c r="A22" s="139">
        <v>18</v>
      </c>
      <c r="B22" s="139" t="s">
        <v>269</v>
      </c>
      <c r="C22" s="139" t="str">
        <f>CA_개요!C22</f>
        <v>SW 단위검증(BSW)</v>
      </c>
      <c r="D22" s="154">
        <f>실적MM_입력!E22</f>
        <v>10</v>
      </c>
      <c r="E22" s="154">
        <f>$D22*($N$4/가정!$C$31)</f>
        <v>4.166666666666667</v>
      </c>
      <c r="F22" s="154">
        <f>$D22*CA_개요!J22/100</f>
        <v>10</v>
      </c>
      <c r="G22" s="154">
        <f>SUMPRODUCT((실적MM_입력!$B$5:$B$33=B22)*실적MM_입력!$AD$5:$AD$33)</f>
        <v>4</v>
      </c>
      <c r="H22" s="154">
        <f t="shared" si="0"/>
        <v>5.833333333333333</v>
      </c>
      <c r="I22" s="154">
        <f t="shared" si="1"/>
        <v>6</v>
      </c>
      <c r="J22" s="154">
        <f t="shared" si="2"/>
        <v>2.4</v>
      </c>
      <c r="K22" s="154">
        <f t="shared" si="3"/>
        <v>2.5</v>
      </c>
      <c r="L22" s="23"/>
      <c r="M22" s="23"/>
      <c r="N22" s="23"/>
      <c r="O22" s="23">
        <f t="shared" si="4"/>
        <v>2.5000022</v>
      </c>
      <c r="P22" s="155">
        <f>D22*가정!$C$42</f>
        <v>80000000</v>
      </c>
      <c r="Q22" s="155">
        <f>E22*가정!$C$42</f>
        <v>33333333.333333336</v>
      </c>
      <c r="R22" s="155">
        <f>F22*가정!$C$42</f>
        <v>80000000</v>
      </c>
      <c r="S22" s="155">
        <f>G22*가정!$C$42</f>
        <v>32000000</v>
      </c>
    </row>
    <row r="23" spans="1:19" ht="14.25" customHeight="1">
      <c r="A23" s="139">
        <v>19</v>
      </c>
      <c r="B23" s="139" t="s">
        <v>272</v>
      </c>
      <c r="C23" s="139" t="str">
        <f>CA_개요!C23</f>
        <v>SW 통합/통합검증</v>
      </c>
      <c r="D23" s="154">
        <f>실적MM_입력!E23</f>
        <v>6</v>
      </c>
      <c r="E23" s="154">
        <f>$D23*($N$4/가정!$C$31)</f>
        <v>2.5</v>
      </c>
      <c r="F23" s="154">
        <f>$D23*CA_개요!J23/100</f>
        <v>3.4260000000000002</v>
      </c>
      <c r="G23" s="154">
        <f>SUMPRODUCT((실적MM_입력!$B$5:$B$33=B23)*실적MM_입력!$AD$5:$AD$33)</f>
        <v>2.4</v>
      </c>
      <c r="H23" s="154">
        <f t="shared" si="0"/>
        <v>0.92600000000000016</v>
      </c>
      <c r="I23" s="154">
        <f t="shared" si="1"/>
        <v>1.0260000000000002</v>
      </c>
      <c r="J23" s="154">
        <f t="shared" si="2"/>
        <v>1.3704000000000001</v>
      </c>
      <c r="K23" s="154">
        <f t="shared" si="3"/>
        <v>1.4275000000000002</v>
      </c>
      <c r="L23" s="23"/>
      <c r="M23" s="23"/>
      <c r="N23" s="23"/>
      <c r="O23" s="23">
        <f t="shared" si="4"/>
        <v>1.4275023000000002</v>
      </c>
      <c r="P23" s="155">
        <f>D23*가정!$C$42</f>
        <v>48000000</v>
      </c>
      <c r="Q23" s="155">
        <f>E23*가정!$C$42</f>
        <v>20000000</v>
      </c>
      <c r="R23" s="155">
        <f>F23*가정!$C$42</f>
        <v>27408000</v>
      </c>
      <c r="S23" s="155">
        <f>G23*가정!$C$42</f>
        <v>19200000</v>
      </c>
    </row>
    <row r="24" spans="1:19" ht="14.25" customHeight="1">
      <c r="A24" s="139">
        <v>20</v>
      </c>
      <c r="B24" s="139" t="s">
        <v>275</v>
      </c>
      <c r="C24" s="139" t="str">
        <f>CA_개요!C24</f>
        <v>SW 검증</v>
      </c>
      <c r="D24" s="154">
        <f>실적MM_입력!E24</f>
        <v>1</v>
      </c>
      <c r="E24" s="154">
        <f>$D24*($N$4/가정!$C$31)</f>
        <v>0.41666666666666669</v>
      </c>
      <c r="F24" s="154">
        <f>$D24*CA_개요!J24/100</f>
        <v>0.1</v>
      </c>
      <c r="G24" s="154">
        <f>SUMPRODUCT((실적MM_입력!$B$5:$B$33=B24)*실적MM_입력!$AD$5:$AD$33)</f>
        <v>0.39999999999999991</v>
      </c>
      <c r="H24" s="154">
        <f t="shared" si="0"/>
        <v>-0.31666666666666665</v>
      </c>
      <c r="I24" s="154">
        <f t="shared" si="1"/>
        <v>-0.29999999999999993</v>
      </c>
      <c r="J24" s="154">
        <f t="shared" si="2"/>
        <v>0.24</v>
      </c>
      <c r="K24" s="154">
        <f t="shared" si="3"/>
        <v>0.25000000000000006</v>
      </c>
      <c r="L24" s="23"/>
      <c r="M24" s="23"/>
      <c r="N24" s="23"/>
      <c r="O24" s="23">
        <f t="shared" si="4"/>
        <v>0.25000240000000007</v>
      </c>
      <c r="P24" s="155">
        <f>D24*가정!$C$42</f>
        <v>8000000</v>
      </c>
      <c r="Q24" s="155">
        <f>E24*가정!$C$42</f>
        <v>3333333.3333333335</v>
      </c>
      <c r="R24" s="155">
        <f>F24*가정!$C$42</f>
        <v>800000</v>
      </c>
      <c r="S24" s="155">
        <f>G24*가정!$C$42</f>
        <v>3199999.9999999991</v>
      </c>
    </row>
    <row r="25" spans="1:19" ht="14.25" customHeight="1">
      <c r="A25" s="139">
        <v>21</v>
      </c>
      <c r="B25" s="139" t="s">
        <v>278</v>
      </c>
      <c r="C25" s="139" t="str">
        <f>CA_개요!C25</f>
        <v>제품확인(Validation)</v>
      </c>
      <c r="D25" s="154">
        <f>실적MM_입력!E25</f>
        <v>1</v>
      </c>
      <c r="E25" s="154">
        <f>$D25*($N$4/가정!$C$31)</f>
        <v>0.41666666666666669</v>
      </c>
      <c r="F25" s="154">
        <f>$D25*CA_개요!J25/100</f>
        <v>0</v>
      </c>
      <c r="G25" s="154">
        <f>SUMPRODUCT((실적MM_입력!$B$5:$B$33=B25)*실적MM_입력!$AD$5:$AD$33)</f>
        <v>0.39999999999999991</v>
      </c>
      <c r="H25" s="154">
        <f t="shared" si="0"/>
        <v>-0.41666666666666669</v>
      </c>
      <c r="I25" s="154">
        <f t="shared" si="1"/>
        <v>-0.39999999999999991</v>
      </c>
      <c r="J25" s="154">
        <f t="shared" si="2"/>
        <v>0</v>
      </c>
      <c r="K25" s="154">
        <f t="shared" si="3"/>
        <v>0</v>
      </c>
      <c r="L25" s="23"/>
      <c r="M25" s="23"/>
      <c r="N25" s="23"/>
      <c r="O25" s="23">
        <f t="shared" si="4"/>
        <v>2.4999999999999998E-6</v>
      </c>
      <c r="P25" s="155">
        <f>D25*가정!$C$42</f>
        <v>8000000</v>
      </c>
      <c r="Q25" s="155">
        <f>E25*가정!$C$42</f>
        <v>3333333.3333333335</v>
      </c>
      <c r="R25" s="155">
        <f>F25*가정!$C$42</f>
        <v>0</v>
      </c>
      <c r="S25" s="155">
        <f>G25*가정!$C$42</f>
        <v>3199999.9999999991</v>
      </c>
    </row>
    <row r="26" spans="1:19" ht="14.25" customHeight="1">
      <c r="A26" s="139">
        <v>22</v>
      </c>
      <c r="B26" s="139" t="s">
        <v>281</v>
      </c>
      <c r="C26" s="139" t="str">
        <f>CA_개요!C26</f>
        <v>ML 요구사항분석(ASW에 포함)</v>
      </c>
      <c r="D26" s="154">
        <f>실적MM_입력!E26</f>
        <v>3.2195121951219514</v>
      </c>
      <c r="E26" s="154">
        <f>$D26*($N$4/가정!$C$31)</f>
        <v>1.3414634146341464</v>
      </c>
      <c r="F26" s="154">
        <f>$D26*CA_개요!J26/100</f>
        <v>3.2195121951219519</v>
      </c>
      <c r="G26" s="154">
        <f>SUMPRODUCT((실적MM_입력!$B$5:$B$33=B26)*실적MM_입력!$AD$5:$AD$33)</f>
        <v>1.2878048780487805</v>
      </c>
      <c r="H26" s="154">
        <f t="shared" si="0"/>
        <v>1.8780487804878054</v>
      </c>
      <c r="I26" s="154">
        <f t="shared" si="1"/>
        <v>1.9317073170731713</v>
      </c>
      <c r="J26" s="154">
        <f t="shared" si="2"/>
        <v>2.4000000000000004</v>
      </c>
      <c r="K26" s="154">
        <f t="shared" si="3"/>
        <v>2.5000000000000004</v>
      </c>
      <c r="L26" s="23"/>
      <c r="M26" s="23"/>
      <c r="N26" s="23"/>
      <c r="O26" s="23">
        <f t="shared" si="4"/>
        <v>2.5000026000000006</v>
      </c>
      <c r="P26" s="155">
        <f>D26*가정!$C$42</f>
        <v>25756097.560975611</v>
      </c>
      <c r="Q26" s="155">
        <f>E26*가정!$C$42</f>
        <v>10731707.317073172</v>
      </c>
      <c r="R26" s="155">
        <f>F26*가정!$C$42</f>
        <v>25756097.560975615</v>
      </c>
      <c r="S26" s="155">
        <f>G26*가정!$C$42</f>
        <v>10302439.024390245</v>
      </c>
    </row>
    <row r="27" spans="1:19" ht="14.25" customHeight="1">
      <c r="A27" s="139">
        <v>23</v>
      </c>
      <c r="B27" s="139" t="s">
        <v>284</v>
      </c>
      <c r="C27" s="139" t="str">
        <f>CA_개요!C27</f>
        <v>ML 아키텍처설계(ASW에 포함)</v>
      </c>
      <c r="D27" s="154">
        <f>실적MM_입력!E27</f>
        <v>3.7560975609756104</v>
      </c>
      <c r="E27" s="154">
        <f>$D27*($N$4/가정!$C$31)</f>
        <v>1.5650406504065044</v>
      </c>
      <c r="F27" s="154">
        <f>$D27*CA_개요!J27/100</f>
        <v>3.7560975609756104</v>
      </c>
      <c r="G27" s="154">
        <f>SUMPRODUCT((실적MM_입력!$B$5:$B$33=B27)*실적MM_입력!$AD$5:$AD$33)</f>
        <v>1.5024390243902441</v>
      </c>
      <c r="H27" s="154">
        <f t="shared" si="0"/>
        <v>2.191056910569106</v>
      </c>
      <c r="I27" s="154">
        <f t="shared" si="1"/>
        <v>2.2536585365853661</v>
      </c>
      <c r="J27" s="154">
        <f t="shared" si="2"/>
        <v>2.4</v>
      </c>
      <c r="K27" s="154">
        <f t="shared" si="3"/>
        <v>2.5</v>
      </c>
      <c r="L27" s="23"/>
      <c r="M27" s="23"/>
      <c r="N27" s="23"/>
      <c r="O27" s="23">
        <f t="shared" si="4"/>
        <v>2.5000027</v>
      </c>
      <c r="P27" s="155">
        <f>D27*가정!$C$42</f>
        <v>30048780.487804882</v>
      </c>
      <c r="Q27" s="155">
        <f>E27*가정!$C$42</f>
        <v>12520325.203252036</v>
      </c>
      <c r="R27" s="155">
        <f>F27*가정!$C$42</f>
        <v>30048780.487804882</v>
      </c>
      <c r="S27" s="155">
        <f>G27*가정!$C$42</f>
        <v>12019512.195121953</v>
      </c>
    </row>
    <row r="28" spans="1:19" ht="14.25" customHeight="1">
      <c r="A28" s="139">
        <v>24</v>
      </c>
      <c r="B28" s="139" t="s">
        <v>286</v>
      </c>
      <c r="C28" s="139" t="str">
        <f>CA_개요!C28</f>
        <v>ML 훈련/검증(ASW에 포함)</v>
      </c>
      <c r="D28" s="154">
        <f>실적MM_입력!E28</f>
        <v>2.6829268292682928</v>
      </c>
      <c r="E28" s="154">
        <f>$D28*($N$4/가정!$C$31)</f>
        <v>1.1178861788617886</v>
      </c>
      <c r="F28" s="154">
        <f>$D28*CA_개요!J28/100</f>
        <v>1.475609756097561</v>
      </c>
      <c r="G28" s="154">
        <f>SUMPRODUCT((실적MM_입력!$B$5:$B$33=B28)*실적MM_입력!$AD$5:$AD$33)</f>
        <v>1.0731707317073171</v>
      </c>
      <c r="H28" s="154">
        <f t="shared" si="0"/>
        <v>0.35772357723577231</v>
      </c>
      <c r="I28" s="154">
        <f t="shared" si="1"/>
        <v>0.40243902439024382</v>
      </c>
      <c r="J28" s="154">
        <f t="shared" si="2"/>
        <v>1.3199999999999998</v>
      </c>
      <c r="K28" s="154">
        <f t="shared" si="3"/>
        <v>1.375</v>
      </c>
      <c r="L28" s="23"/>
      <c r="M28" s="23"/>
      <c r="N28" s="23"/>
      <c r="O28" s="23">
        <f t="shared" si="4"/>
        <v>1.3750028000000001</v>
      </c>
      <c r="P28" s="155">
        <f>D28*가정!$C$42</f>
        <v>21463414.634146344</v>
      </c>
      <c r="Q28" s="155">
        <f>E28*가정!$C$42</f>
        <v>8943089.4308943097</v>
      </c>
      <c r="R28" s="155">
        <f>F28*가정!$C$42</f>
        <v>11804878.048780488</v>
      </c>
      <c r="S28" s="155">
        <f>G28*가정!$C$42</f>
        <v>8585365.8536585364</v>
      </c>
    </row>
    <row r="29" spans="1:19" ht="14.25" customHeight="1">
      <c r="A29" s="139">
        <v>25</v>
      </c>
      <c r="B29" s="139" t="s">
        <v>288</v>
      </c>
      <c r="C29" s="139" t="str">
        <f>CA_개요!C29</f>
        <v>ML 테스트(ASW에 포함)</v>
      </c>
      <c r="D29" s="154">
        <f>실적MM_입력!E29</f>
        <v>3.7560975609756104</v>
      </c>
      <c r="E29" s="154">
        <f>$D29*($N$4/가정!$C$31)</f>
        <v>1.5650406504065044</v>
      </c>
      <c r="F29" s="154">
        <f>$D29*CA_개요!J29/100</f>
        <v>0.40190243902439027</v>
      </c>
      <c r="G29" s="154">
        <f>SUMPRODUCT((실적MM_입력!$B$5:$B$33=B29)*실적MM_입력!$AD$5:$AD$33)</f>
        <v>1.5024390243902441</v>
      </c>
      <c r="H29" s="154">
        <f t="shared" si="0"/>
        <v>-1.163138211382114</v>
      </c>
      <c r="I29" s="154">
        <f t="shared" si="1"/>
        <v>-1.100536585365854</v>
      </c>
      <c r="J29" s="154">
        <f t="shared" si="2"/>
        <v>0.25679999999999997</v>
      </c>
      <c r="K29" s="154">
        <f t="shared" si="3"/>
        <v>0.26749999999999996</v>
      </c>
      <c r="L29" s="23"/>
      <c r="M29" s="23"/>
      <c r="N29" s="23"/>
      <c r="O29" s="23">
        <f t="shared" si="4"/>
        <v>0.26750289999999993</v>
      </c>
      <c r="P29" s="155">
        <f>D29*가정!$C$42</f>
        <v>30048780.487804882</v>
      </c>
      <c r="Q29" s="155">
        <f>E29*가정!$C$42</f>
        <v>12520325.203252036</v>
      </c>
      <c r="R29" s="155">
        <f>F29*가정!$C$42</f>
        <v>3215219.512195122</v>
      </c>
      <c r="S29" s="155">
        <f>G29*가정!$C$42</f>
        <v>12019512.195121953</v>
      </c>
    </row>
    <row r="30" spans="1:19" ht="14.25" customHeight="1">
      <c r="A30" s="139">
        <v>26</v>
      </c>
      <c r="B30" s="139" t="s">
        <v>290</v>
      </c>
      <c r="C30" s="139" t="str">
        <f>CA_개요!C30</f>
        <v>HW 요구사항분석</v>
      </c>
      <c r="D30" s="154">
        <f>실적MM_입력!E30</f>
        <v>1.5</v>
      </c>
      <c r="E30" s="154">
        <f>$D30*($N$4/가정!$C$31)</f>
        <v>0.625</v>
      </c>
      <c r="F30" s="154">
        <f>$D30*CA_개요!J30/100</f>
        <v>1.5</v>
      </c>
      <c r="G30" s="154">
        <f>SUMPRODUCT((실적MM_입력!$B$5:$B$33=B30)*실적MM_입력!$AD$5:$AD$33)</f>
        <v>0.6</v>
      </c>
      <c r="H30" s="154">
        <f t="shared" si="0"/>
        <v>0.875</v>
      </c>
      <c r="I30" s="154">
        <f t="shared" si="1"/>
        <v>0.9</v>
      </c>
      <c r="J30" s="154">
        <f t="shared" si="2"/>
        <v>2.4</v>
      </c>
      <c r="K30" s="154">
        <f t="shared" si="3"/>
        <v>2.5</v>
      </c>
      <c r="L30" s="23"/>
      <c r="M30" s="23"/>
      <c r="N30" s="23"/>
      <c r="O30" s="23">
        <f t="shared" si="4"/>
        <v>2.500003</v>
      </c>
      <c r="P30" s="155">
        <f>D30*가정!$C$42</f>
        <v>12000000</v>
      </c>
      <c r="Q30" s="155">
        <f>E30*가정!$C$42</f>
        <v>5000000</v>
      </c>
      <c r="R30" s="155">
        <f>F30*가정!$C$42</f>
        <v>12000000</v>
      </c>
      <c r="S30" s="155">
        <f>G30*가정!$C$42</f>
        <v>4800000</v>
      </c>
    </row>
    <row r="31" spans="1:19" ht="14.25" customHeight="1">
      <c r="A31" s="139">
        <v>27</v>
      </c>
      <c r="B31" s="139" t="s">
        <v>294</v>
      </c>
      <c r="C31" s="139" t="str">
        <f>CA_개요!C31</f>
        <v>HW 아키텍처/상세설계</v>
      </c>
      <c r="D31" s="154">
        <f>실적MM_입력!E31</f>
        <v>1.5</v>
      </c>
      <c r="E31" s="154">
        <f>$D31*($N$4/가정!$C$31)</f>
        <v>0.625</v>
      </c>
      <c r="F31" s="154">
        <f>$D31*CA_개요!J31/100</f>
        <v>1.5</v>
      </c>
      <c r="G31" s="154">
        <f>SUMPRODUCT((실적MM_입력!$B$5:$B$33=B31)*실적MM_입력!$AD$5:$AD$33)</f>
        <v>0.6</v>
      </c>
      <c r="H31" s="154">
        <f t="shared" si="0"/>
        <v>0.875</v>
      </c>
      <c r="I31" s="154">
        <f t="shared" si="1"/>
        <v>0.9</v>
      </c>
      <c r="J31" s="154">
        <f t="shared" si="2"/>
        <v>2.4</v>
      </c>
      <c r="K31" s="154">
        <f t="shared" si="3"/>
        <v>2.5</v>
      </c>
      <c r="L31" s="23"/>
      <c r="M31" s="23"/>
      <c r="N31" s="23"/>
      <c r="O31" s="23">
        <f t="shared" si="4"/>
        <v>2.5000030999999998</v>
      </c>
      <c r="P31" s="155">
        <f>D31*가정!$C$42</f>
        <v>12000000</v>
      </c>
      <c r="Q31" s="155">
        <f>E31*가정!$C$42</f>
        <v>5000000</v>
      </c>
      <c r="R31" s="155">
        <f>F31*가정!$C$42</f>
        <v>12000000</v>
      </c>
      <c r="S31" s="155">
        <f>G31*가정!$C$42</f>
        <v>4800000</v>
      </c>
    </row>
    <row r="32" spans="1:19" ht="14.25" customHeight="1">
      <c r="A32" s="139">
        <v>28</v>
      </c>
      <c r="B32" s="139" t="s">
        <v>296</v>
      </c>
      <c r="C32" s="139" t="str">
        <f>CA_개요!C32</f>
        <v>HW 설계검증</v>
      </c>
      <c r="D32" s="154">
        <f>실적MM_입력!E32</f>
        <v>1.5</v>
      </c>
      <c r="E32" s="154">
        <f>$D32*($N$4/가정!$C$31)</f>
        <v>0.625</v>
      </c>
      <c r="F32" s="154">
        <f>$D32*CA_개요!J32/100</f>
        <v>0.9375</v>
      </c>
      <c r="G32" s="154">
        <f>SUMPRODUCT((실적MM_입력!$B$5:$B$33=B32)*실적MM_입력!$AD$5:$AD$33)</f>
        <v>0.6</v>
      </c>
      <c r="H32" s="154">
        <f t="shared" si="0"/>
        <v>0.3125</v>
      </c>
      <c r="I32" s="154">
        <f t="shared" si="1"/>
        <v>0.33750000000000002</v>
      </c>
      <c r="J32" s="154">
        <f t="shared" si="2"/>
        <v>1.5</v>
      </c>
      <c r="K32" s="154">
        <f t="shared" si="3"/>
        <v>1.5625</v>
      </c>
      <c r="L32" s="23"/>
      <c r="M32" s="23"/>
      <c r="N32" s="23"/>
      <c r="O32" s="23">
        <f t="shared" si="4"/>
        <v>1.5625032000000001</v>
      </c>
      <c r="P32" s="155">
        <f>D32*가정!$C$42</f>
        <v>12000000</v>
      </c>
      <c r="Q32" s="155">
        <f>E32*가정!$C$42</f>
        <v>5000000</v>
      </c>
      <c r="R32" s="155">
        <f>F32*가정!$C$42</f>
        <v>7500000</v>
      </c>
      <c r="S32" s="155">
        <f>G32*가정!$C$42</f>
        <v>4800000</v>
      </c>
    </row>
    <row r="33" spans="1:19" ht="14.25" customHeight="1">
      <c r="A33" s="139">
        <v>29</v>
      </c>
      <c r="B33" s="139" t="s">
        <v>298</v>
      </c>
      <c r="C33" s="139" t="str">
        <f>CA_개요!C33</f>
        <v>HW 요구사항검증</v>
      </c>
      <c r="D33" s="154">
        <f>실적MM_입력!E33</f>
        <v>1.5</v>
      </c>
      <c r="E33" s="154">
        <f>$D33*($N$4/가정!$C$31)</f>
        <v>0.625</v>
      </c>
      <c r="F33" s="154">
        <f>$D33*CA_개요!J33/100</f>
        <v>0.1875</v>
      </c>
      <c r="G33" s="154">
        <f>SUMPRODUCT((실적MM_입력!$B$5:$B$33=B33)*실적MM_입력!$AD$5:$AD$33)</f>
        <v>0.6</v>
      </c>
      <c r="H33" s="154">
        <f t="shared" si="0"/>
        <v>-0.4375</v>
      </c>
      <c r="I33" s="154">
        <f t="shared" si="1"/>
        <v>-0.41249999999999998</v>
      </c>
      <c r="J33" s="154">
        <f t="shared" si="2"/>
        <v>0.3</v>
      </c>
      <c r="K33" s="154">
        <f t="shared" si="3"/>
        <v>0.3125</v>
      </c>
      <c r="L33" s="23"/>
      <c r="M33" s="23"/>
      <c r="N33" s="23"/>
      <c r="O33" s="23">
        <f t="shared" si="4"/>
        <v>0.31250329999999998</v>
      </c>
      <c r="P33" s="155">
        <f>D33*가정!$C$42</f>
        <v>12000000</v>
      </c>
      <c r="Q33" s="155">
        <f>E33*가정!$C$42</f>
        <v>5000000</v>
      </c>
      <c r="R33" s="155">
        <f>F33*가정!$C$42</f>
        <v>1500000</v>
      </c>
      <c r="S33" s="155">
        <f>G33*가정!$C$42</f>
        <v>4800000</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704</v>
      </c>
      <c r="D35" s="156">
        <f>SUM(D5:D33)</f>
        <v>99.999999999999972</v>
      </c>
      <c r="E35" s="156">
        <f>SUM(E5:E33)</f>
        <v>41.666666666666664</v>
      </c>
      <c r="F35" s="156">
        <f>SUM(F5:F33)</f>
        <v>78.543286447826858</v>
      </c>
      <c r="G35" s="156">
        <f>SUM(G5:G33)</f>
        <v>39.964473684210525</v>
      </c>
      <c r="H35" s="68">
        <f>F35-E35</f>
        <v>36.876619781160194</v>
      </c>
      <c r="I35" s="68">
        <f>F35-G35</f>
        <v>38.578812763616334</v>
      </c>
      <c r="J35" s="68">
        <f>IFERROR(F35/E35,0)</f>
        <v>1.8850388747478448</v>
      </c>
      <c r="K35" s="68">
        <f>IFERROR(F35/G35,0)</f>
        <v>1.9653276824926222</v>
      </c>
      <c r="L35" s="23"/>
      <c r="M35" s="23"/>
      <c r="N35" s="23"/>
      <c r="O35" s="23"/>
      <c r="P35" s="157">
        <f>SUM(P5:P33)</f>
        <v>799999999.99999988</v>
      </c>
      <c r="Q35" s="157">
        <f>SUM(Q5:Q33)</f>
        <v>333333333.33333331</v>
      </c>
      <c r="R35" s="157">
        <f>SUM(R5:R33)</f>
        <v>628346291.58261502</v>
      </c>
      <c r="S35" s="157">
        <f>SUM(S5:S33)</f>
        <v>319715789.47368419</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664</v>
      </c>
      <c r="B4" s="64" t="s">
        <v>705</v>
      </c>
      <c r="C4" s="71" t="s">
        <v>303</v>
      </c>
      <c r="D4" s="64" t="s">
        <v>706</v>
      </c>
      <c r="E4" s="64" t="s">
        <v>707</v>
      </c>
      <c r="F4" s="64" t="s">
        <v>708</v>
      </c>
      <c r="G4" s="64" t="s">
        <v>709</v>
      </c>
      <c r="H4" s="64" t="s">
        <v>710</v>
      </c>
      <c r="I4" s="71" t="s">
        <v>711</v>
      </c>
      <c r="J4" s="64" t="s">
        <v>544</v>
      </c>
      <c r="K4" s="64" t="s">
        <v>712</v>
      </c>
      <c r="L4" s="64" t="s">
        <v>10</v>
      </c>
      <c r="M4" s="23"/>
      <c r="N4" s="175" t="s">
        <v>713</v>
      </c>
      <c r="O4" s="175"/>
      <c r="P4" s="175"/>
      <c r="Q4" s="175"/>
    </row>
    <row r="5" spans="1:17" ht="22.5" customHeight="1">
      <c r="A5" s="139" t="s">
        <v>714</v>
      </c>
      <c r="B5" s="158" t="s">
        <v>240</v>
      </c>
      <c r="C5" s="158">
        <v>1</v>
      </c>
      <c r="D5" s="159" t="s">
        <v>450</v>
      </c>
      <c r="E5" s="160"/>
      <c r="F5" s="160"/>
      <c r="G5" s="160"/>
      <c r="H5" s="160"/>
      <c r="I5" s="160"/>
      <c r="J5" s="158">
        <f t="shared" ref="J5:J24" si="0">SUM(E5:I5)</f>
        <v>0</v>
      </c>
      <c r="K5" s="158" t="str">
        <f t="shared" ref="K5:K24" si="1">IF(J5&gt;=95,"S",IF(J5&gt;=80,"A",IF(J5&gt;=60,"B",IF(J5&gt;=35,"C","D"))))</f>
        <v>D</v>
      </c>
      <c r="L5" s="139"/>
      <c r="M5" s="23"/>
      <c r="N5" s="139" t="s">
        <v>715</v>
      </c>
      <c r="O5" s="139" t="s">
        <v>716</v>
      </c>
      <c r="P5" s="176" t="s">
        <v>717</v>
      </c>
      <c r="Q5" s="176"/>
    </row>
    <row r="6" spans="1:17" ht="22.5" customHeight="1">
      <c r="A6" s="139" t="s">
        <v>714</v>
      </c>
      <c r="B6" s="158" t="s">
        <v>264</v>
      </c>
      <c r="C6" s="158">
        <v>1</v>
      </c>
      <c r="D6" s="159" t="s">
        <v>450</v>
      </c>
      <c r="E6" s="160"/>
      <c r="F6" s="160"/>
      <c r="G6" s="160"/>
      <c r="H6" s="160"/>
      <c r="I6" s="160"/>
      <c r="J6" s="158">
        <f t="shared" si="0"/>
        <v>0</v>
      </c>
      <c r="K6" s="158" t="str">
        <f t="shared" si="1"/>
        <v>D</v>
      </c>
      <c r="L6" s="139"/>
      <c r="M6" s="23"/>
      <c r="N6" s="139" t="s">
        <v>718</v>
      </c>
      <c r="O6" s="139" t="s">
        <v>719</v>
      </c>
      <c r="P6" s="176" t="s">
        <v>720</v>
      </c>
      <c r="Q6" s="176"/>
    </row>
    <row r="7" spans="1:17" ht="22.5" customHeight="1">
      <c r="A7" s="139" t="s">
        <v>714</v>
      </c>
      <c r="B7" s="158" t="s">
        <v>240</v>
      </c>
      <c r="C7" s="158">
        <v>2</v>
      </c>
      <c r="D7" s="159" t="s">
        <v>452</v>
      </c>
      <c r="E7" s="160"/>
      <c r="F7" s="160"/>
      <c r="G7" s="160"/>
      <c r="H7" s="160"/>
      <c r="I7" s="160"/>
      <c r="J7" s="158">
        <f t="shared" si="0"/>
        <v>0</v>
      </c>
      <c r="K7" s="158" t="str">
        <f t="shared" si="1"/>
        <v>D</v>
      </c>
      <c r="L7" s="139"/>
      <c r="M7" s="23"/>
      <c r="N7" s="139" t="s">
        <v>721</v>
      </c>
      <c r="O7" s="139" t="s">
        <v>722</v>
      </c>
      <c r="P7" s="176" t="s">
        <v>723</v>
      </c>
      <c r="Q7" s="176"/>
    </row>
    <row r="8" spans="1:17" ht="22.5" customHeight="1">
      <c r="A8" s="139" t="s">
        <v>714</v>
      </c>
      <c r="B8" s="158" t="s">
        <v>264</v>
      </c>
      <c r="C8" s="158">
        <v>2</v>
      </c>
      <c r="D8" s="159" t="s">
        <v>452</v>
      </c>
      <c r="E8" s="160"/>
      <c r="F8" s="160"/>
      <c r="G8" s="160"/>
      <c r="H8" s="160"/>
      <c r="I8" s="160"/>
      <c r="J8" s="158">
        <f t="shared" si="0"/>
        <v>0</v>
      </c>
      <c r="K8" s="158" t="str">
        <f t="shared" si="1"/>
        <v>D</v>
      </c>
      <c r="L8" s="139"/>
      <c r="M8" s="23"/>
      <c r="N8" s="139" t="s">
        <v>724</v>
      </c>
      <c r="O8" s="139" t="s">
        <v>725</v>
      </c>
      <c r="P8" s="176" t="s">
        <v>726</v>
      </c>
      <c r="Q8" s="176"/>
    </row>
    <row r="9" spans="1:17" ht="14.25" customHeight="1">
      <c r="A9" s="139" t="s">
        <v>714</v>
      </c>
      <c r="B9" s="158" t="s">
        <v>240</v>
      </c>
      <c r="C9" s="158">
        <v>3</v>
      </c>
      <c r="D9" s="159" t="s">
        <v>453</v>
      </c>
      <c r="E9" s="160"/>
      <c r="F9" s="160"/>
      <c r="G9" s="160"/>
      <c r="H9" s="160"/>
      <c r="I9" s="160"/>
      <c r="J9" s="158">
        <f t="shared" si="0"/>
        <v>0</v>
      </c>
      <c r="K9" s="158" t="str">
        <f t="shared" si="1"/>
        <v>D</v>
      </c>
      <c r="L9" s="139"/>
      <c r="M9" s="23"/>
      <c r="N9" s="139" t="s">
        <v>727</v>
      </c>
      <c r="O9" s="139" t="s">
        <v>728</v>
      </c>
      <c r="P9" s="176" t="s">
        <v>729</v>
      </c>
      <c r="Q9" s="176"/>
    </row>
    <row r="10" spans="1:17" ht="14.25" customHeight="1">
      <c r="A10" s="139" t="s">
        <v>714</v>
      </c>
      <c r="B10" s="158" t="s">
        <v>264</v>
      </c>
      <c r="C10" s="158">
        <v>3</v>
      </c>
      <c r="D10" s="159" t="s">
        <v>453</v>
      </c>
      <c r="E10" s="160"/>
      <c r="F10" s="160"/>
      <c r="G10" s="160"/>
      <c r="H10" s="160"/>
      <c r="I10" s="160"/>
      <c r="J10" s="158">
        <f t="shared" si="0"/>
        <v>0</v>
      </c>
      <c r="K10" s="158" t="str">
        <f t="shared" si="1"/>
        <v>D</v>
      </c>
      <c r="L10" s="139"/>
      <c r="M10" s="23"/>
      <c r="N10" s="23"/>
      <c r="O10" s="23"/>
      <c r="P10" s="23"/>
      <c r="Q10" s="23"/>
    </row>
    <row r="11" spans="1:17" ht="22.5" customHeight="1">
      <c r="A11" s="139" t="s">
        <v>714</v>
      </c>
      <c r="B11" s="158" t="s">
        <v>240</v>
      </c>
      <c r="C11" s="158">
        <v>4</v>
      </c>
      <c r="D11" s="159" t="s">
        <v>454</v>
      </c>
      <c r="E11" s="160"/>
      <c r="F11" s="160"/>
      <c r="G11" s="160"/>
      <c r="H11" s="160"/>
      <c r="I11" s="160"/>
      <c r="J11" s="158">
        <f t="shared" si="0"/>
        <v>0</v>
      </c>
      <c r="K11" s="158" t="str">
        <f t="shared" si="1"/>
        <v>D</v>
      </c>
      <c r="L11" s="139"/>
      <c r="M11" s="23"/>
      <c r="N11" s="23"/>
      <c r="O11" s="23"/>
      <c r="P11" s="23"/>
      <c r="Q11" s="23"/>
    </row>
    <row r="12" spans="1:17" ht="22.5" customHeight="1">
      <c r="A12" s="139" t="s">
        <v>714</v>
      </c>
      <c r="B12" s="158" t="s">
        <v>264</v>
      </c>
      <c r="C12" s="158">
        <v>4</v>
      </c>
      <c r="D12" s="159" t="s">
        <v>454</v>
      </c>
      <c r="E12" s="160"/>
      <c r="F12" s="160"/>
      <c r="G12" s="160"/>
      <c r="H12" s="160"/>
      <c r="I12" s="160"/>
      <c r="J12" s="158">
        <f t="shared" si="0"/>
        <v>0</v>
      </c>
      <c r="K12" s="158" t="str">
        <f t="shared" si="1"/>
        <v>D</v>
      </c>
      <c r="L12" s="139"/>
      <c r="M12" s="23"/>
      <c r="N12" s="23"/>
      <c r="O12" s="23"/>
      <c r="P12" s="23"/>
      <c r="Q12" s="23"/>
    </row>
    <row r="13" spans="1:17" ht="22.5" customHeight="1">
      <c r="A13" s="139" t="s">
        <v>714</v>
      </c>
      <c r="B13" s="158" t="s">
        <v>240</v>
      </c>
      <c r="C13" s="158">
        <v>5</v>
      </c>
      <c r="D13" s="159" t="s">
        <v>455</v>
      </c>
      <c r="E13" s="160"/>
      <c r="F13" s="160"/>
      <c r="G13" s="160"/>
      <c r="H13" s="160"/>
      <c r="I13" s="160"/>
      <c r="J13" s="158">
        <f t="shared" si="0"/>
        <v>0</v>
      </c>
      <c r="K13" s="158" t="str">
        <f t="shared" si="1"/>
        <v>D</v>
      </c>
      <c r="L13" s="139"/>
      <c r="M13" s="23"/>
      <c r="N13" s="23"/>
      <c r="O13" s="23"/>
      <c r="P13" s="23"/>
      <c r="Q13" s="23"/>
    </row>
    <row r="14" spans="1:17" ht="22.5" customHeight="1">
      <c r="A14" s="139" t="s">
        <v>714</v>
      </c>
      <c r="B14" s="158" t="s">
        <v>264</v>
      </c>
      <c r="C14" s="158">
        <v>5</v>
      </c>
      <c r="D14" s="159" t="s">
        <v>455</v>
      </c>
      <c r="E14" s="160"/>
      <c r="F14" s="160"/>
      <c r="G14" s="160"/>
      <c r="H14" s="160"/>
      <c r="I14" s="160"/>
      <c r="J14" s="158">
        <f t="shared" si="0"/>
        <v>0</v>
      </c>
      <c r="K14" s="158" t="str">
        <f t="shared" si="1"/>
        <v>D</v>
      </c>
      <c r="L14" s="139"/>
      <c r="M14" s="23"/>
      <c r="N14" s="23"/>
      <c r="O14" s="23"/>
      <c r="P14" s="23"/>
      <c r="Q14" s="23"/>
    </row>
    <row r="15" spans="1:17" ht="14.25" customHeight="1">
      <c r="A15" s="139" t="s">
        <v>730</v>
      </c>
      <c r="B15" s="158" t="s">
        <v>240</v>
      </c>
      <c r="C15" s="158">
        <v>1</v>
      </c>
      <c r="D15" s="159" t="s">
        <v>457</v>
      </c>
      <c r="E15" s="160"/>
      <c r="F15" s="160"/>
      <c r="G15" s="160"/>
      <c r="H15" s="160"/>
      <c r="I15" s="160"/>
      <c r="J15" s="158">
        <f t="shared" si="0"/>
        <v>0</v>
      </c>
      <c r="K15" s="158" t="str">
        <f t="shared" si="1"/>
        <v>D</v>
      </c>
      <c r="L15" s="139"/>
      <c r="M15" s="23"/>
      <c r="N15" s="23"/>
      <c r="O15" s="23"/>
      <c r="P15" s="23"/>
      <c r="Q15" s="23"/>
    </row>
    <row r="16" spans="1:17" ht="14.25" customHeight="1">
      <c r="A16" s="139" t="s">
        <v>730</v>
      </c>
      <c r="B16" s="158" t="s">
        <v>264</v>
      </c>
      <c r="C16" s="158">
        <v>1</v>
      </c>
      <c r="D16" s="159" t="s">
        <v>457</v>
      </c>
      <c r="E16" s="160"/>
      <c r="F16" s="160"/>
      <c r="G16" s="160"/>
      <c r="H16" s="160"/>
      <c r="I16" s="160"/>
      <c r="J16" s="158">
        <f t="shared" si="0"/>
        <v>0</v>
      </c>
      <c r="K16" s="158" t="str">
        <f t="shared" si="1"/>
        <v>D</v>
      </c>
      <c r="L16" s="139"/>
      <c r="M16" s="23"/>
      <c r="N16" s="23"/>
      <c r="O16" s="23"/>
      <c r="P16" s="23"/>
      <c r="Q16" s="23"/>
    </row>
    <row r="17" spans="1:17" ht="22.5" customHeight="1">
      <c r="A17" s="139" t="s">
        <v>730</v>
      </c>
      <c r="B17" s="158" t="s">
        <v>240</v>
      </c>
      <c r="C17" s="158">
        <v>2</v>
      </c>
      <c r="D17" s="159" t="s">
        <v>459</v>
      </c>
      <c r="E17" s="160"/>
      <c r="F17" s="160"/>
      <c r="G17" s="160"/>
      <c r="H17" s="160"/>
      <c r="I17" s="160"/>
      <c r="J17" s="158">
        <f t="shared" si="0"/>
        <v>0</v>
      </c>
      <c r="K17" s="158" t="str">
        <f t="shared" si="1"/>
        <v>D</v>
      </c>
      <c r="L17" s="139"/>
      <c r="M17" s="23"/>
      <c r="N17" s="23"/>
      <c r="O17" s="23"/>
      <c r="P17" s="23"/>
      <c r="Q17" s="23"/>
    </row>
    <row r="18" spans="1:17" ht="22.5" customHeight="1">
      <c r="A18" s="139" t="s">
        <v>730</v>
      </c>
      <c r="B18" s="158" t="s">
        <v>264</v>
      </c>
      <c r="C18" s="158">
        <v>2</v>
      </c>
      <c r="D18" s="159" t="s">
        <v>459</v>
      </c>
      <c r="E18" s="160"/>
      <c r="F18" s="160"/>
      <c r="G18" s="160"/>
      <c r="H18" s="160"/>
      <c r="I18" s="160"/>
      <c r="J18" s="158">
        <f t="shared" si="0"/>
        <v>0</v>
      </c>
      <c r="K18" s="158" t="str">
        <f t="shared" si="1"/>
        <v>D</v>
      </c>
      <c r="L18" s="139"/>
      <c r="M18" s="23"/>
      <c r="N18" s="23"/>
      <c r="O18" s="23"/>
      <c r="P18" s="23"/>
      <c r="Q18" s="23"/>
    </row>
    <row r="19" spans="1:17" ht="14.25" customHeight="1">
      <c r="A19" s="139" t="s">
        <v>730</v>
      </c>
      <c r="B19" s="158" t="s">
        <v>240</v>
      </c>
      <c r="C19" s="158">
        <v>3</v>
      </c>
      <c r="D19" s="159" t="s">
        <v>460</v>
      </c>
      <c r="E19" s="160"/>
      <c r="F19" s="160"/>
      <c r="G19" s="160"/>
      <c r="H19" s="160"/>
      <c r="I19" s="160"/>
      <c r="J19" s="158">
        <f t="shared" si="0"/>
        <v>0</v>
      </c>
      <c r="K19" s="158" t="str">
        <f t="shared" si="1"/>
        <v>D</v>
      </c>
      <c r="L19" s="139"/>
      <c r="M19" s="23"/>
      <c r="N19" s="23"/>
      <c r="O19" s="23"/>
      <c r="P19" s="23"/>
      <c r="Q19" s="23"/>
    </row>
    <row r="20" spans="1:17" ht="14.25" customHeight="1">
      <c r="A20" s="139" t="s">
        <v>730</v>
      </c>
      <c r="B20" s="158" t="s">
        <v>264</v>
      </c>
      <c r="C20" s="158">
        <v>3</v>
      </c>
      <c r="D20" s="159" t="s">
        <v>460</v>
      </c>
      <c r="E20" s="160"/>
      <c r="F20" s="160"/>
      <c r="G20" s="160"/>
      <c r="H20" s="160"/>
      <c r="I20" s="160"/>
      <c r="J20" s="158">
        <f t="shared" si="0"/>
        <v>0</v>
      </c>
      <c r="K20" s="158" t="str">
        <f t="shared" si="1"/>
        <v>D</v>
      </c>
      <c r="L20" s="139"/>
      <c r="M20" s="23"/>
      <c r="N20" s="23"/>
      <c r="O20" s="23"/>
      <c r="P20" s="23"/>
      <c r="Q20" s="23"/>
    </row>
    <row r="21" spans="1:17" ht="22.5" customHeight="1">
      <c r="A21" s="139" t="s">
        <v>730</v>
      </c>
      <c r="B21" s="158" t="s">
        <v>240</v>
      </c>
      <c r="C21" s="158">
        <v>4</v>
      </c>
      <c r="D21" s="159" t="s">
        <v>461</v>
      </c>
      <c r="E21" s="160"/>
      <c r="F21" s="160"/>
      <c r="G21" s="160"/>
      <c r="H21" s="160"/>
      <c r="I21" s="160"/>
      <c r="J21" s="158">
        <f t="shared" si="0"/>
        <v>0</v>
      </c>
      <c r="K21" s="158" t="str">
        <f t="shared" si="1"/>
        <v>D</v>
      </c>
      <c r="L21" s="139"/>
      <c r="M21" s="23"/>
      <c r="N21" s="23"/>
      <c r="O21" s="23"/>
      <c r="P21" s="23"/>
      <c r="Q21" s="23"/>
    </row>
    <row r="22" spans="1:17" ht="22.5" customHeight="1">
      <c r="A22" s="139" t="s">
        <v>730</v>
      </c>
      <c r="B22" s="158" t="s">
        <v>264</v>
      </c>
      <c r="C22" s="158">
        <v>4</v>
      </c>
      <c r="D22" s="159" t="s">
        <v>461</v>
      </c>
      <c r="E22" s="160"/>
      <c r="F22" s="160"/>
      <c r="G22" s="160"/>
      <c r="H22" s="160"/>
      <c r="I22" s="160"/>
      <c r="J22" s="158">
        <f t="shared" si="0"/>
        <v>0</v>
      </c>
      <c r="K22" s="158" t="str">
        <f t="shared" si="1"/>
        <v>D</v>
      </c>
      <c r="L22" s="139"/>
      <c r="M22" s="23"/>
      <c r="N22" s="23"/>
      <c r="O22" s="23"/>
      <c r="P22" s="23"/>
      <c r="Q22" s="23"/>
    </row>
    <row r="23" spans="1:17" ht="14.25" customHeight="1">
      <c r="A23" s="139" t="s">
        <v>730</v>
      </c>
      <c r="B23" s="158" t="s">
        <v>240</v>
      </c>
      <c r="C23" s="158">
        <v>5</v>
      </c>
      <c r="D23" s="159" t="s">
        <v>462</v>
      </c>
      <c r="E23" s="160"/>
      <c r="F23" s="160"/>
      <c r="G23" s="160"/>
      <c r="H23" s="160"/>
      <c r="I23" s="160"/>
      <c r="J23" s="158">
        <f t="shared" si="0"/>
        <v>0</v>
      </c>
      <c r="K23" s="158" t="str">
        <f t="shared" si="1"/>
        <v>D</v>
      </c>
      <c r="L23" s="139"/>
      <c r="M23" s="23"/>
      <c r="N23" s="23"/>
      <c r="O23" s="23"/>
      <c r="P23" s="23"/>
      <c r="Q23" s="23"/>
    </row>
    <row r="24" spans="1:17" ht="14.25" customHeight="1">
      <c r="A24" s="139" t="s">
        <v>730</v>
      </c>
      <c r="B24" s="158" t="s">
        <v>264</v>
      </c>
      <c r="C24" s="158">
        <v>5</v>
      </c>
      <c r="D24" s="159" t="s">
        <v>462</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731</v>
      </c>
      <c r="B4" s="64" t="s">
        <v>732</v>
      </c>
      <c r="C4" s="64" t="s">
        <v>733</v>
      </c>
      <c r="D4" s="64" t="s">
        <v>734</v>
      </c>
      <c r="E4" s="64" t="s">
        <v>735</v>
      </c>
      <c r="F4" s="64" t="s">
        <v>736</v>
      </c>
      <c r="G4" s="64" t="s">
        <v>737</v>
      </c>
      <c r="H4" s="64" t="s">
        <v>738</v>
      </c>
    </row>
    <row r="5" spans="1:8" ht="14.25" customHeight="1">
      <c r="A5" s="139" t="s">
        <v>739</v>
      </c>
      <c r="B5" s="139">
        <f>COUNTIF(WP_상세!$H$5:$H$500,"Discrete")</f>
        <v>153</v>
      </c>
      <c r="C5" s="139">
        <f t="shared" ref="C5:C16" si="0">$D$18</f>
        <v>46</v>
      </c>
      <c r="D5" s="161"/>
      <c r="E5" s="161">
        <v>1</v>
      </c>
      <c r="F5" s="162" t="s">
        <v>740</v>
      </c>
      <c r="G5" s="162" t="s">
        <v>741</v>
      </c>
      <c r="H5" s="161"/>
    </row>
    <row r="6" spans="1:8" ht="14.25" customHeight="1">
      <c r="A6" s="139" t="s">
        <v>742</v>
      </c>
      <c r="B6" s="139">
        <f>COUNTIF(WP_상세!$H$5:$H$500,"Discrete")</f>
        <v>153</v>
      </c>
      <c r="C6" s="139">
        <f t="shared" si="0"/>
        <v>46</v>
      </c>
      <c r="D6" s="161"/>
      <c r="E6" s="161">
        <v>0</v>
      </c>
      <c r="F6" s="162" t="s">
        <v>743</v>
      </c>
      <c r="G6" s="162" t="s">
        <v>741</v>
      </c>
      <c r="H6" s="162" t="s">
        <v>744</v>
      </c>
    </row>
    <row r="7" spans="1:8" ht="14.25" customHeight="1">
      <c r="A7" s="139" t="s">
        <v>745</v>
      </c>
      <c r="B7" s="139">
        <f>COUNTIF(WP_상세!$H$5:$H$500,"Discrete")</f>
        <v>153</v>
      </c>
      <c r="C7" s="139">
        <f t="shared" si="0"/>
        <v>46</v>
      </c>
      <c r="D7" s="161"/>
      <c r="E7" s="161">
        <v>1</v>
      </c>
      <c r="F7" s="162" t="s">
        <v>746</v>
      </c>
      <c r="G7" s="162" t="s">
        <v>741</v>
      </c>
      <c r="H7" s="161"/>
    </row>
    <row r="8" spans="1:8" ht="14.25" customHeight="1">
      <c r="A8" s="139" t="s">
        <v>747</v>
      </c>
      <c r="B8" s="139">
        <f>COUNTIF(WP_상세!$H$5:$H$500,"Discrete")</f>
        <v>153</v>
      </c>
      <c r="C8" s="139">
        <f t="shared" si="0"/>
        <v>46</v>
      </c>
      <c r="D8" s="161"/>
      <c r="E8" s="161">
        <v>1</v>
      </c>
      <c r="F8" s="162" t="s">
        <v>748</v>
      </c>
      <c r="G8" s="162" t="s">
        <v>741</v>
      </c>
      <c r="H8" s="162" t="s">
        <v>744</v>
      </c>
    </row>
    <row r="9" spans="1:8" ht="14.25" customHeight="1">
      <c r="A9" s="139" t="s">
        <v>749</v>
      </c>
      <c r="B9" s="139">
        <f>COUNTIF(WP_상세!$H$5:$H$500,"Discrete")</f>
        <v>153</v>
      </c>
      <c r="C9" s="139">
        <f t="shared" si="0"/>
        <v>46</v>
      </c>
      <c r="D9" s="161"/>
      <c r="E9" s="161">
        <v>0</v>
      </c>
      <c r="F9" s="162" t="s">
        <v>743</v>
      </c>
      <c r="G9" s="162" t="s">
        <v>741</v>
      </c>
      <c r="H9" s="161"/>
    </row>
    <row r="10" spans="1:8" ht="14.25" customHeight="1">
      <c r="A10" s="139" t="s">
        <v>750</v>
      </c>
      <c r="B10" s="139">
        <f>COUNTIF(WP_상세!$H$5:$H$500,"Discrete")</f>
        <v>153</v>
      </c>
      <c r="C10" s="139">
        <f t="shared" si="0"/>
        <v>46</v>
      </c>
      <c r="D10" s="161"/>
      <c r="E10" s="161"/>
      <c r="F10" s="161"/>
      <c r="G10" s="161"/>
      <c r="H10" s="161"/>
    </row>
    <row r="11" spans="1:8" ht="14.25" customHeight="1">
      <c r="A11" s="139" t="s">
        <v>751</v>
      </c>
      <c r="B11" s="139">
        <f>COUNTIF(WP_상세!$H$5:$H$500,"Discrete")</f>
        <v>153</v>
      </c>
      <c r="C11" s="139">
        <f t="shared" si="0"/>
        <v>46</v>
      </c>
      <c r="D11" s="161"/>
      <c r="E11" s="161"/>
      <c r="F11" s="161"/>
      <c r="G11" s="161"/>
      <c r="H11" s="161"/>
    </row>
    <row r="12" spans="1:8" ht="14.25" customHeight="1">
      <c r="A12" s="139" t="s">
        <v>752</v>
      </c>
      <c r="B12" s="139">
        <f>COUNTIF(WP_상세!$H$5:$H$500,"Discrete")</f>
        <v>153</v>
      </c>
      <c r="C12" s="139">
        <f t="shared" si="0"/>
        <v>46</v>
      </c>
      <c r="D12" s="161"/>
      <c r="E12" s="161"/>
      <c r="F12" s="161"/>
      <c r="G12" s="161"/>
      <c r="H12" s="161"/>
    </row>
    <row r="13" spans="1:8" ht="14.25" customHeight="1">
      <c r="A13" s="139" t="s">
        <v>753</v>
      </c>
      <c r="B13" s="139">
        <f>COUNTIF(WP_상세!$H$5:$H$500,"Discrete")</f>
        <v>153</v>
      </c>
      <c r="C13" s="139">
        <f t="shared" si="0"/>
        <v>46</v>
      </c>
      <c r="D13" s="161"/>
      <c r="E13" s="161"/>
      <c r="F13" s="161"/>
      <c r="G13" s="161"/>
      <c r="H13" s="161"/>
    </row>
    <row r="14" spans="1:8" ht="14.25" customHeight="1">
      <c r="A14" s="139" t="s">
        <v>754</v>
      </c>
      <c r="B14" s="139">
        <f>COUNTIF(WP_상세!$H$5:$H$500,"Discrete")</f>
        <v>153</v>
      </c>
      <c r="C14" s="139">
        <f t="shared" si="0"/>
        <v>46</v>
      </c>
      <c r="D14" s="161"/>
      <c r="E14" s="161"/>
      <c r="F14" s="161"/>
      <c r="G14" s="161"/>
      <c r="H14" s="161"/>
    </row>
    <row r="15" spans="1:8" ht="14.25" customHeight="1">
      <c r="A15" s="139" t="s">
        <v>755</v>
      </c>
      <c r="B15" s="139">
        <f>COUNTIF(WP_상세!$H$5:$H$500,"Discrete")</f>
        <v>153</v>
      </c>
      <c r="C15" s="139">
        <f t="shared" si="0"/>
        <v>46</v>
      </c>
      <c r="D15" s="161"/>
      <c r="E15" s="161"/>
      <c r="F15" s="161"/>
      <c r="G15" s="161"/>
      <c r="H15" s="161"/>
    </row>
    <row r="16" spans="1:8" ht="14.25" customHeight="1">
      <c r="A16" s="139" t="s">
        <v>756</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757</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758</v>
      </c>
      <c r="C20" s="23"/>
      <c r="D20" s="23"/>
      <c r="E20" s="23"/>
      <c r="F20" s="23"/>
      <c r="G20" s="23"/>
      <c r="H20" s="23"/>
    </row>
    <row r="21" spans="1:8" ht="27.75" customHeight="1">
      <c r="A21" s="23"/>
      <c r="B21" s="23" t="s">
        <v>193</v>
      </c>
      <c r="C21" s="177" t="s">
        <v>759</v>
      </c>
      <c r="D21" s="177"/>
      <c r="E21" s="177"/>
      <c r="F21" s="177"/>
      <c r="G21" s="177"/>
      <c r="H21" s="177"/>
    </row>
    <row r="22" spans="1:8" ht="27.75" customHeight="1">
      <c r="A22" s="23"/>
      <c r="B22" s="23" t="s">
        <v>193</v>
      </c>
      <c r="C22" s="177" t="s">
        <v>760</v>
      </c>
      <c r="D22" s="177"/>
      <c r="E22" s="177"/>
      <c r="F22" s="177"/>
      <c r="G22" s="177"/>
      <c r="H22" s="177"/>
    </row>
    <row r="23" spans="1:8" ht="27.75" customHeight="1">
      <c r="A23" s="23"/>
      <c r="B23" s="23" t="s">
        <v>193</v>
      </c>
      <c r="C23" s="177" t="s">
        <v>761</v>
      </c>
      <c r="D23" s="177"/>
      <c r="E23" s="177"/>
      <c r="F23" s="177"/>
      <c r="G23" s="177"/>
      <c r="H23" s="177"/>
    </row>
    <row r="24" spans="1:8" ht="14.25" customHeight="1">
      <c r="A24" s="23"/>
      <c r="B24" s="23"/>
      <c r="C24" s="23"/>
      <c r="D24" s="23"/>
      <c r="E24" s="23"/>
      <c r="F24" s="23"/>
      <c r="G24" s="23"/>
      <c r="H24" s="23"/>
    </row>
    <row r="25" spans="1:8" ht="16.5" customHeight="1">
      <c r="A25" s="23"/>
      <c r="B25" s="98" t="s">
        <v>762</v>
      </c>
      <c r="C25" s="23"/>
      <c r="D25" s="23"/>
      <c r="E25" s="23"/>
      <c r="F25" s="23"/>
      <c r="G25" s="23"/>
      <c r="H25" s="23"/>
    </row>
    <row r="26" spans="1:8" ht="27.75" customHeight="1">
      <c r="A26" s="23"/>
      <c r="B26" s="23" t="s">
        <v>193</v>
      </c>
      <c r="C26" s="177" t="s">
        <v>763</v>
      </c>
      <c r="D26" s="177"/>
      <c r="E26" s="177"/>
      <c r="F26" s="177"/>
      <c r="G26" s="177"/>
      <c r="H26" s="177"/>
    </row>
    <row r="27" spans="1:8" ht="27.75" customHeight="1">
      <c r="A27" s="23"/>
      <c r="B27" s="23" t="s">
        <v>193</v>
      </c>
      <c r="C27" s="177" t="s">
        <v>764</v>
      </c>
      <c r="D27" s="177"/>
      <c r="E27" s="177"/>
      <c r="F27" s="177"/>
      <c r="G27" s="177"/>
      <c r="H27" s="177"/>
    </row>
    <row r="28" spans="1:8" ht="27.75" customHeight="1">
      <c r="A28" s="23"/>
      <c r="B28" s="23" t="s">
        <v>193</v>
      </c>
      <c r="C28" s="177" t="s">
        <v>765</v>
      </c>
      <c r="D28" s="177"/>
      <c r="E28" s="177"/>
      <c r="F28" s="177"/>
      <c r="G28" s="177"/>
      <c r="H28" s="177"/>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766</v>
      </c>
      <c r="B4" s="64" t="s">
        <v>767</v>
      </c>
      <c r="C4" s="64" t="s">
        <v>768</v>
      </c>
      <c r="D4" s="64" t="s">
        <v>769</v>
      </c>
      <c r="E4" s="64" t="s">
        <v>770</v>
      </c>
      <c r="F4" s="64" t="s">
        <v>771</v>
      </c>
      <c r="G4" s="64" t="s">
        <v>772</v>
      </c>
      <c r="H4" s="64" t="s">
        <v>773</v>
      </c>
      <c r="I4" s="64" t="s">
        <v>774</v>
      </c>
      <c r="J4" s="64" t="s">
        <v>10</v>
      </c>
    </row>
    <row r="5" spans="1:10" ht="14.25" customHeight="1">
      <c r="A5" s="158" t="s">
        <v>775</v>
      </c>
      <c r="B5" s="164"/>
      <c r="C5" s="161"/>
      <c r="D5" s="161"/>
      <c r="E5" s="161"/>
      <c r="F5" s="161"/>
      <c r="G5" s="161"/>
      <c r="H5" s="161"/>
      <c r="I5" s="161">
        <f>COUNTA($A$5:A5)</f>
        <v>1</v>
      </c>
      <c r="J5" s="161"/>
    </row>
    <row r="6" spans="1:10" ht="14.25" customHeight="1">
      <c r="A6" s="158" t="s">
        <v>776</v>
      </c>
      <c r="B6" s="161"/>
      <c r="C6" s="161"/>
      <c r="D6" s="161"/>
      <c r="E6" s="161"/>
      <c r="F6" s="161"/>
      <c r="G6" s="161"/>
      <c r="H6" s="161"/>
      <c r="I6" s="161">
        <f>COUNTA($A$5:A6)</f>
        <v>2</v>
      </c>
      <c r="J6" s="161"/>
    </row>
    <row r="7" spans="1:10" ht="14.25" customHeight="1">
      <c r="A7" s="158" t="s">
        <v>777</v>
      </c>
      <c r="B7" s="161"/>
      <c r="C7" s="161"/>
      <c r="D7" s="161"/>
      <c r="E7" s="161"/>
      <c r="F7" s="161"/>
      <c r="G7" s="161"/>
      <c r="H7" s="161"/>
      <c r="I7" s="161">
        <f>COUNTA($A$5:A7)</f>
        <v>3</v>
      </c>
      <c r="J7" s="161"/>
    </row>
    <row r="8" spans="1:10" ht="14.25" customHeight="1">
      <c r="A8" s="158" t="s">
        <v>778</v>
      </c>
      <c r="B8" s="161"/>
      <c r="C8" s="161"/>
      <c r="D8" s="161"/>
      <c r="E8" s="161"/>
      <c r="F8" s="161"/>
      <c r="G8" s="161"/>
      <c r="H8" s="161"/>
      <c r="I8" s="161">
        <f>COUNTA($A$5:A8)</f>
        <v>4</v>
      </c>
      <c r="J8" s="161"/>
    </row>
    <row r="9" spans="1:10" ht="14.25" customHeight="1">
      <c r="A9" s="158" t="s">
        <v>779</v>
      </c>
      <c r="B9" s="161"/>
      <c r="C9" s="161"/>
      <c r="D9" s="161"/>
      <c r="E9" s="161"/>
      <c r="F9" s="161"/>
      <c r="G9" s="161"/>
      <c r="H9" s="161"/>
      <c r="I9" s="161">
        <f>COUNTA($A$5:A9)</f>
        <v>5</v>
      </c>
      <c r="J9" s="161"/>
    </row>
    <row r="10" spans="1:10" ht="14.25" customHeight="1">
      <c r="A10" s="158" t="s">
        <v>780</v>
      </c>
      <c r="B10" s="161"/>
      <c r="C10" s="161"/>
      <c r="D10" s="161"/>
      <c r="E10" s="161"/>
      <c r="F10" s="161"/>
      <c r="G10" s="161"/>
      <c r="H10" s="161"/>
      <c r="I10" s="161">
        <f>COUNTA($A$5:A10)</f>
        <v>6</v>
      </c>
      <c r="J10" s="161"/>
    </row>
    <row r="11" spans="1:10" ht="14.25" customHeight="1">
      <c r="A11" s="158" t="s">
        <v>781</v>
      </c>
      <c r="B11" s="161"/>
      <c r="C11" s="161"/>
      <c r="D11" s="161"/>
      <c r="E11" s="161"/>
      <c r="F11" s="161"/>
      <c r="G11" s="161"/>
      <c r="H11" s="161"/>
      <c r="I11" s="161">
        <f>COUNTA($A$5:A11)</f>
        <v>7</v>
      </c>
      <c r="J11" s="161"/>
    </row>
    <row r="12" spans="1:10" ht="14.25" customHeight="1">
      <c r="A12" s="158" t="s">
        <v>782</v>
      </c>
      <c r="B12" s="161"/>
      <c r="C12" s="161"/>
      <c r="D12" s="161"/>
      <c r="E12" s="161"/>
      <c r="F12" s="161"/>
      <c r="G12" s="161"/>
      <c r="H12" s="161"/>
      <c r="I12" s="161">
        <f>COUNTA($A$5:A12)</f>
        <v>8</v>
      </c>
      <c r="J12" s="161"/>
    </row>
    <row r="13" spans="1:10" ht="14.25" customHeight="1">
      <c r="A13" s="158" t="s">
        <v>783</v>
      </c>
      <c r="B13" s="161"/>
      <c r="C13" s="161"/>
      <c r="D13" s="161"/>
      <c r="E13" s="161"/>
      <c r="F13" s="161"/>
      <c r="G13" s="161"/>
      <c r="H13" s="161"/>
      <c r="I13" s="161">
        <f>COUNTA($A$5:A13)</f>
        <v>9</v>
      </c>
      <c r="J13" s="161"/>
    </row>
    <row r="14" spans="1:10" ht="14.25" customHeight="1">
      <c r="A14" s="158" t="s">
        <v>784</v>
      </c>
      <c r="B14" s="161"/>
      <c r="C14" s="161"/>
      <c r="D14" s="161"/>
      <c r="E14" s="161"/>
      <c r="F14" s="161"/>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785</v>
      </c>
      <c r="B4" s="64" t="s">
        <v>786</v>
      </c>
      <c r="C4" s="64" t="s">
        <v>311</v>
      </c>
      <c r="D4" s="64" t="s">
        <v>187</v>
      </c>
      <c r="E4" s="64" t="s">
        <v>787</v>
      </c>
      <c r="F4" s="64" t="s">
        <v>10</v>
      </c>
    </row>
    <row r="5" spans="1:6" ht="14.25" customHeight="1">
      <c r="A5" s="79" t="s">
        <v>788</v>
      </c>
      <c r="B5" s="127">
        <v>0.2</v>
      </c>
      <c r="C5" s="165" t="s">
        <v>317</v>
      </c>
      <c r="D5" s="165" t="s">
        <v>789</v>
      </c>
      <c r="E5" s="166" t="s">
        <v>790</v>
      </c>
      <c r="F5" s="112"/>
    </row>
    <row r="6" spans="1:6" ht="14.25" customHeight="1">
      <c r="A6" s="79" t="s">
        <v>791</v>
      </c>
      <c r="B6" s="127">
        <v>0.3</v>
      </c>
      <c r="C6" s="165" t="s">
        <v>328</v>
      </c>
      <c r="D6" s="165" t="s">
        <v>792</v>
      </c>
      <c r="E6" s="166"/>
      <c r="F6" s="167" t="s">
        <v>793</v>
      </c>
    </row>
    <row r="7" spans="1:6" ht="15" customHeight="1">
      <c r="A7" s="79" t="s">
        <v>794</v>
      </c>
      <c r="B7" s="127">
        <v>0.2</v>
      </c>
      <c r="C7" s="165" t="s">
        <v>795</v>
      </c>
      <c r="D7" s="166"/>
      <c r="E7" s="166"/>
      <c r="F7" s="112" t="s">
        <v>796</v>
      </c>
    </row>
    <row r="8" spans="1:6" ht="15" customHeight="1">
      <c r="A8" s="112" t="s">
        <v>797</v>
      </c>
      <c r="B8" s="127">
        <v>0.1</v>
      </c>
      <c r="C8" s="165" t="s">
        <v>317</v>
      </c>
      <c r="D8" s="165" t="s">
        <v>798</v>
      </c>
      <c r="E8" s="166" t="s">
        <v>790</v>
      </c>
      <c r="F8" s="167" t="s">
        <v>744</v>
      </c>
    </row>
    <row r="9" spans="1:6" ht="14.25" customHeight="1">
      <c r="A9" s="79" t="s">
        <v>799</v>
      </c>
      <c r="B9" s="127">
        <v>0.2</v>
      </c>
      <c r="C9" s="165" t="s">
        <v>795</v>
      </c>
      <c r="D9" s="166"/>
      <c r="E9" s="166"/>
      <c r="F9" s="112"/>
    </row>
    <row r="10" spans="1:6" ht="14.25" customHeight="1">
      <c r="A10" s="68" t="s">
        <v>544</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800</v>
      </c>
      <c r="B4" s="64" t="s">
        <v>561</v>
      </c>
      <c r="C4" s="64" t="s">
        <v>801</v>
      </c>
      <c r="D4" s="64" t="s">
        <v>802</v>
      </c>
      <c r="E4" s="64" t="s">
        <v>803</v>
      </c>
      <c r="F4" s="64" t="s">
        <v>804</v>
      </c>
      <c r="G4" s="153" t="s">
        <v>701</v>
      </c>
      <c r="H4" s="64" t="s">
        <v>805</v>
      </c>
      <c r="I4" s="153" t="s">
        <v>806</v>
      </c>
      <c r="J4" s="64" t="s">
        <v>807</v>
      </c>
      <c r="K4" s="153" t="s">
        <v>700</v>
      </c>
      <c r="L4" s="153" t="s">
        <v>808</v>
      </c>
      <c r="M4" s="153" t="s">
        <v>143</v>
      </c>
      <c r="N4" s="64" t="s">
        <v>10</v>
      </c>
    </row>
    <row r="5" spans="1:14" ht="29.25" customHeight="1">
      <c r="A5" s="132" t="s">
        <v>809</v>
      </c>
      <c r="B5" s="79" t="s">
        <v>810</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8">
        <f>IFERROR(INDEX(CA_개요!$J$5:$J$33,MATCH(C5,CA_개요!$B$5:$B$33,0))/100,0)</f>
        <v>1</v>
      </c>
      <c r="G5" s="135">
        <f>D5*F5</f>
        <v>150000000</v>
      </c>
      <c r="H5" s="169">
        <v>144000000</v>
      </c>
      <c r="I5" s="135">
        <f>G5-H5</f>
        <v>6000000</v>
      </c>
      <c r="J5" s="168">
        <f>IFERROR(H5/D5,0)</f>
        <v>0.96</v>
      </c>
      <c r="K5" s="135">
        <f>IFERROR(IF(IFERROR(EVMS_대시보드!$N$4/가정!$C$31,0)&gt;=INDEX(가정!$C$46:$C$50,MATCH(E5,가정!$B$46:$B$50,0)),D5,0),0)</f>
        <v>0</v>
      </c>
      <c r="L5" s="135">
        <f>G5-K5</f>
        <v>150000000</v>
      </c>
      <c r="M5" s="168">
        <f>IFERROR(G5/K5,0)</f>
        <v>0</v>
      </c>
      <c r="N5" s="121" t="s">
        <v>811</v>
      </c>
    </row>
    <row r="6" spans="1:14" ht="29.25" customHeight="1">
      <c r="A6" s="132" t="s">
        <v>812</v>
      </c>
      <c r="B6" s="79" t="s">
        <v>810</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8">
        <f>IFERROR(INDEX(CA_개요!$J$5:$J$33,MATCH(C6,CA_개요!$B$5:$B$33,0))/100,0)</f>
        <v>1</v>
      </c>
      <c r="G6" s="135">
        <f>D6*F6</f>
        <v>80000000</v>
      </c>
      <c r="H6" s="169">
        <v>76800000</v>
      </c>
      <c r="I6" s="135">
        <f>G6-H6</f>
        <v>3200000</v>
      </c>
      <c r="J6" s="168">
        <f>IFERROR(H6/D6,0)</f>
        <v>0.96</v>
      </c>
      <c r="K6" s="135">
        <f>IFERROR(IF(IFERROR(EVMS_대시보드!$N$4/가정!$C$31,0)&gt;=INDEX(가정!$C$46:$C$50,MATCH(E6,가정!$B$46:$B$50,0)),D6,0),0)</f>
        <v>0</v>
      </c>
      <c r="L6" s="135">
        <f>G6-K6</f>
        <v>80000000</v>
      </c>
      <c r="M6" s="168">
        <f>IFERROR(G6/K6,0)</f>
        <v>0</v>
      </c>
      <c r="N6" s="132" t="s">
        <v>813</v>
      </c>
    </row>
    <row r="7" spans="1:14" ht="15" customHeight="1">
      <c r="A7" s="121" t="s">
        <v>814</v>
      </c>
      <c r="B7" s="79" t="s">
        <v>810</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8">
        <f>IFERROR(INDEX(CA_개요!$J$5:$J$33,MATCH(C7,CA_개요!$B$5:$B$33,0))/100,0)</f>
        <v>0.85</v>
      </c>
      <c r="G7" s="135">
        <f>D7*F7</f>
        <v>51000000</v>
      </c>
      <c r="H7" s="169">
        <v>0</v>
      </c>
      <c r="I7" s="135">
        <f>G7-H7</f>
        <v>51000000</v>
      </c>
      <c r="J7" s="168">
        <f>IFERROR(H7/D7,0)</f>
        <v>0</v>
      </c>
      <c r="K7" s="135">
        <f>IFERROR(IF(IFERROR(EVMS_대시보드!$N$4/가정!$C$31,0)&gt;=INDEX(가정!$C$46:$C$50,MATCH(E7,가정!$B$46:$B$50,0)),D7,0),0)</f>
        <v>0</v>
      </c>
      <c r="L7" s="135">
        <f>G7-K7</f>
        <v>51000000</v>
      </c>
      <c r="M7" s="168">
        <f>IFERROR(G7/K7,0)</f>
        <v>0</v>
      </c>
      <c r="N7" s="121" t="s">
        <v>815</v>
      </c>
    </row>
    <row r="8" spans="1:14" ht="15" customHeight="1">
      <c r="A8" s="121" t="s">
        <v>816</v>
      </c>
      <c r="B8" s="79" t="s">
        <v>817</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8">
        <f>IFERROR(INDEX(CA_개요!$J$5:$J$33,MATCH(C8,CA_개요!$B$5:$B$33,0))/100,0)</f>
        <v>1</v>
      </c>
      <c r="G8" s="135">
        <f>D8*F8</f>
        <v>40000000</v>
      </c>
      <c r="H8" s="169">
        <v>38400000</v>
      </c>
      <c r="I8" s="135">
        <f>G8-H8</f>
        <v>1600000</v>
      </c>
      <c r="J8" s="168">
        <f>IFERROR(H8/D8,0)</f>
        <v>0.96</v>
      </c>
      <c r="K8" s="135">
        <f>IFERROR(IF(IFERROR(EVMS_대시보드!$N$4/가정!$C$31,0)&gt;=INDEX(가정!$C$46:$C$50,MATCH(E8,가정!$B$46:$B$50,0)),D8,0),0)</f>
        <v>0</v>
      </c>
      <c r="L8" s="135">
        <f>G8-K8</f>
        <v>40000000</v>
      </c>
      <c r="M8" s="168">
        <f>IFERROR(G8/K8,0)</f>
        <v>0</v>
      </c>
      <c r="N8" s="132" t="s">
        <v>818</v>
      </c>
    </row>
    <row r="9" spans="1:14" ht="15" customHeight="1">
      <c r="A9" s="121" t="s">
        <v>819</v>
      </c>
      <c r="B9" s="79" t="s">
        <v>817</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8">
        <f>IFERROR(INDEX(CA_개요!$J$5:$J$33,MATCH(C9,CA_개요!$B$5:$B$33,0))/100,0)</f>
        <v>0.125</v>
      </c>
      <c r="G9" s="135">
        <f>D9*F9</f>
        <v>6250000</v>
      </c>
      <c r="H9" s="169">
        <v>0</v>
      </c>
      <c r="I9" s="135">
        <f>G9-H9</f>
        <v>6250000</v>
      </c>
      <c r="J9" s="168">
        <f>IFERROR(H9/D9,0)</f>
        <v>0</v>
      </c>
      <c r="K9" s="135">
        <f>IFERROR(IF(IFERROR(EVMS_대시보드!$N$4/가정!$C$31,0)&gt;=INDEX(가정!$C$46:$C$50,MATCH(E9,가정!$B$46:$B$50,0)),D9,0),0)</f>
        <v>0</v>
      </c>
      <c r="L9" s="135">
        <f>G9-K9</f>
        <v>6250000</v>
      </c>
      <c r="M9" s="168">
        <f>IFERROR(G9/K9,0)</f>
        <v>0</v>
      </c>
      <c r="N9" s="132" t="s">
        <v>820</v>
      </c>
    </row>
    <row r="11" spans="1:14" ht="16.5" customHeight="1">
      <c r="A11" s="98" t="s">
        <v>821</v>
      </c>
      <c r="D11" s="157">
        <f>SUM(D5:D9)</f>
        <v>380000000</v>
      </c>
      <c r="G11" s="157">
        <f>SUM(G5:G9)</f>
        <v>327250000</v>
      </c>
      <c r="H11" s="157">
        <f>SUM(H5:H9)</f>
        <v>259200000</v>
      </c>
      <c r="I11" s="157">
        <f>SUM(I5:I9)</f>
        <v>68050000</v>
      </c>
      <c r="J11" s="170">
        <f>IFERROR(H11/D11,0)</f>
        <v>0.68210526315789477</v>
      </c>
      <c r="K11" s="157">
        <f>SUM(K5:K9)</f>
        <v>0</v>
      </c>
      <c r="L11" s="157">
        <f>G11-K11</f>
        <v>327250000</v>
      </c>
      <c r="M11" s="170">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2026-09-08T03:51:29Z</dcterms:modified>
  <dc:language>en-US</dc:language>
</cp:coreProperties>
</file>