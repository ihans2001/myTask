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MyWork\MySite\data\"/>
    </mc:Choice>
  </mc:AlternateContent>
  <bookViews>
    <workbookView xWindow="0" yWindow="0" windowWidth="28800" windowHeight="11490" tabRatio="500" activeTab="3"/>
  </bookViews>
  <sheets>
    <sheet name="wsList" sheetId="5" r:id="rId1"/>
    <sheet name="Encrypt" sheetId="6" r:id="rId2"/>
    <sheet name="info_Vulnerability" sheetId="4" r:id="rId3"/>
    <sheet name="Weakness_Vulnerability" sheetId="1" r:id="rId4"/>
    <sheet name="Reference_Lists" sheetId="2" r:id="rId5"/>
    <sheet name="Discussion" sheetId="12" r:id="rId6"/>
    <sheet name="v3.1_벡터생성기" sheetId="10" r:id="rId7"/>
    <sheet name="Ref. CVSS_v3.1_가중치" sheetId="7" r:id="rId8"/>
    <sheet name="v4.0_벡터생성기" sheetId="11" r:id="rId9"/>
    <sheet name="Ref. CVSS_v4_MacroVector표" sheetId="8" r:id="rId10"/>
    <sheet name="Config" sheetId="3" r:id="rId11"/>
  </sheets>
  <functionGroups builtInGroupCount="18"/>
  <externalReferences>
    <externalReference r:id="rId12"/>
  </externalReferences>
  <calcPr calcId="152511" iterateDelta="1E-4"/>
  <extLst>
    <ext xmlns:loext="http://schemas.libreoffice.org/" uri="{7626C862-2A13-11E5-B345-FEFF819CDC9F}">
      <loext:extCalcPr stringRefSyntax="ExcelA1"/>
    </ext>
  </extLst>
</workbook>
</file>

<file path=xl/calcChain.xml><?xml version="1.0" encoding="utf-8"?>
<calcChain xmlns="http://schemas.openxmlformats.org/spreadsheetml/2006/main">
  <c r="E15" i="11" l="1"/>
  <c r="E14" i="11"/>
  <c r="E13" i="11"/>
  <c r="E12" i="11"/>
  <c r="E11" i="11"/>
  <c r="E10" i="11"/>
  <c r="E9" i="11"/>
  <c r="E8" i="11"/>
  <c r="E7" i="11"/>
  <c r="E6" i="11"/>
  <c r="E5" i="11"/>
  <c r="E12" i="10"/>
  <c r="E11" i="10"/>
  <c r="E10" i="10"/>
  <c r="E9" i="10"/>
  <c r="E8" i="10"/>
  <c r="E7" i="10"/>
  <c r="E6" i="10"/>
  <c r="E5" i="10"/>
  <c r="C14" i="10" s="1"/>
  <c r="C15" i="10"/>
  <c r="C17" i="11" l="1"/>
  <c r="C34" i="1"/>
  <c r="B34" i="1"/>
  <c r="B33" i="1"/>
  <c r="C33" i="1" s="1"/>
  <c r="C32" i="1"/>
  <c r="B32" i="1"/>
  <c r="C31" i="1"/>
  <c r="B31" i="1"/>
  <c r="B30" i="1"/>
  <c r="C30" i="1" s="1"/>
  <c r="B29" i="1"/>
  <c r="C29" i="1" s="1"/>
  <c r="C28" i="1"/>
  <c r="B28" i="1"/>
  <c r="B27" i="1"/>
  <c r="C27" i="1" s="1"/>
  <c r="C26" i="1"/>
  <c r="B26" i="1"/>
  <c r="B25" i="1"/>
  <c r="C25" i="1" s="1"/>
  <c r="C24" i="1"/>
  <c r="B24" i="1"/>
  <c r="C23" i="1"/>
  <c r="B23" i="1"/>
  <c r="B22" i="1"/>
  <c r="C22" i="1" s="1"/>
  <c r="B21" i="1"/>
  <c r="C21" i="1" s="1"/>
  <c r="C20" i="1"/>
  <c r="B20" i="1"/>
  <c r="B19" i="1"/>
  <c r="C19" i="1" s="1"/>
  <c r="C18" i="1"/>
  <c r="B18" i="1"/>
  <c r="B17" i="1"/>
  <c r="C17" i="1" s="1"/>
  <c r="B16" i="1"/>
  <c r="C16" i="1" s="1"/>
  <c r="C15" i="1"/>
  <c r="B15" i="1"/>
  <c r="B14" i="1"/>
  <c r="C14" i="1" s="1"/>
  <c r="B13" i="1"/>
  <c r="C13" i="1" s="1"/>
  <c r="C12" i="1"/>
  <c r="B12" i="1"/>
  <c r="B11" i="1"/>
  <c r="C11" i="1" s="1"/>
  <c r="C10" i="1"/>
  <c r="B10" i="1"/>
  <c r="B9" i="1"/>
  <c r="C9" i="1" s="1"/>
  <c r="C8" i="1"/>
  <c r="B8" i="1"/>
  <c r="C7" i="1"/>
  <c r="B7" i="1"/>
  <c r="B6" i="1"/>
  <c r="C6" i="1" s="1"/>
  <c r="B5" i="1"/>
  <c r="C5" i="1" s="1"/>
</calcChain>
</file>

<file path=xl/comments1.xml><?xml version="1.0" encoding="utf-8"?>
<comments xmlns="http://schemas.openxmlformats.org/spreadsheetml/2006/main">
  <authors>
    <author>apple</author>
  </authors>
  <commentList>
    <comment ref="D4" authorId="0" shapeId="0">
      <text>
        <r>
          <rPr>
            <b/>
            <sz val="9"/>
            <color indexed="81"/>
            <rFont val="Tahoma"/>
            <family val="2"/>
          </rPr>
          <t>apple:</t>
        </r>
        <r>
          <rPr>
            <sz val="9"/>
            <color indexed="81"/>
            <rFont val="Tahoma"/>
            <family val="2"/>
          </rPr>
          <t xml:space="preserve">
</t>
        </r>
        <r>
          <rPr>
            <sz val="9"/>
            <color indexed="81"/>
            <rFont val="돋움"/>
            <family val="3"/>
            <charset val="129"/>
          </rPr>
          <t>암호화</t>
        </r>
        <r>
          <rPr>
            <sz val="9"/>
            <color indexed="81"/>
            <rFont val="Tahoma"/>
            <family val="2"/>
          </rPr>
          <t xml:space="preserve"> </t>
        </r>
        <r>
          <rPr>
            <sz val="9"/>
            <color indexed="81"/>
            <rFont val="돋움"/>
            <family val="3"/>
            <charset val="129"/>
          </rPr>
          <t>로직으로</t>
        </r>
        <r>
          <rPr>
            <sz val="9"/>
            <color indexed="81"/>
            <rFont val="Tahoma"/>
            <family val="2"/>
          </rPr>
          <t xml:space="preserve"> </t>
        </r>
        <r>
          <rPr>
            <sz val="9"/>
            <color indexed="81"/>
            <rFont val="돋움"/>
            <family val="3"/>
            <charset val="129"/>
          </rPr>
          <t>항상</t>
        </r>
        <r>
          <rPr>
            <sz val="9"/>
            <color indexed="81"/>
            <rFont val="Tahoma"/>
            <family val="2"/>
          </rPr>
          <t xml:space="preserve"> </t>
        </r>
        <r>
          <rPr>
            <sz val="9"/>
            <color indexed="81"/>
            <rFont val="돋움"/>
            <family val="3"/>
            <charset val="129"/>
          </rPr>
          <t>노랑색</t>
        </r>
        <r>
          <rPr>
            <sz val="9"/>
            <color indexed="81"/>
            <rFont val="Tahoma"/>
            <family val="2"/>
          </rPr>
          <t xml:space="preserve"> </t>
        </r>
        <r>
          <rPr>
            <sz val="9"/>
            <color indexed="81"/>
            <rFont val="돋움"/>
            <family val="3"/>
            <charset val="129"/>
          </rPr>
          <t>유지</t>
        </r>
      </text>
    </comment>
  </commentList>
</comments>
</file>

<file path=xl/comments2.xml><?xml version="1.0" encoding="utf-8"?>
<comments xmlns="http://schemas.openxmlformats.org/spreadsheetml/2006/main">
  <authors>
    <author>apple</author>
  </authors>
  <commentList>
    <comment ref="H4" authorId="0" shapeId="0">
      <text>
        <r>
          <rPr>
            <b/>
            <sz val="9"/>
            <color indexed="81"/>
            <rFont val="Tahoma"/>
            <family val="2"/>
          </rPr>
          <t>apple:</t>
        </r>
        <r>
          <rPr>
            <sz val="9"/>
            <color indexed="81"/>
            <rFont val="Tahoma"/>
            <family val="2"/>
          </rPr>
          <t xml:space="preserve">
Matching_Method(L</t>
        </r>
        <r>
          <rPr>
            <sz val="9"/>
            <color indexed="81"/>
            <rFont val="돋움"/>
            <family val="3"/>
            <charset val="129"/>
          </rPr>
          <t>열</t>
        </r>
        <r>
          <rPr>
            <sz val="9"/>
            <color indexed="81"/>
            <rFont val="Tahoma"/>
            <family val="2"/>
          </rPr>
          <t>)</t>
        </r>
        <r>
          <rPr>
            <sz val="9"/>
            <color indexed="81"/>
            <rFont val="돋움"/>
            <family val="3"/>
            <charset val="129"/>
          </rPr>
          <t>을</t>
        </r>
        <r>
          <rPr>
            <sz val="9"/>
            <color indexed="81"/>
            <rFont val="Tahoma"/>
            <family val="2"/>
          </rPr>
          <t xml:space="preserve"> </t>
        </r>
        <r>
          <rPr>
            <sz val="9"/>
            <color indexed="81"/>
            <rFont val="돋움"/>
            <family val="3"/>
            <charset val="129"/>
          </rPr>
          <t>결정할</t>
        </r>
        <r>
          <rPr>
            <sz val="9"/>
            <color indexed="81"/>
            <rFont val="Tahoma"/>
            <family val="2"/>
          </rPr>
          <t xml:space="preserve"> </t>
        </r>
        <r>
          <rPr>
            <sz val="9"/>
            <color indexed="81"/>
            <rFont val="돋움"/>
            <family val="3"/>
            <charset val="129"/>
          </rPr>
          <t>때</t>
        </r>
        <r>
          <rPr>
            <sz val="9"/>
            <color indexed="81"/>
            <rFont val="Tahoma"/>
            <family val="2"/>
          </rPr>
          <t xml:space="preserve">, Config </t>
        </r>
        <r>
          <rPr>
            <sz val="9"/>
            <color indexed="81"/>
            <rFont val="돋움"/>
            <family val="3"/>
            <charset val="129"/>
          </rPr>
          <t>시트의</t>
        </r>
        <r>
          <rPr>
            <sz val="9"/>
            <color indexed="81"/>
            <rFont val="Tahoma"/>
            <family val="2"/>
          </rPr>
          <t xml:space="preserve"> Vendor</t>
        </r>
        <r>
          <rPr>
            <sz val="9"/>
            <color indexed="81"/>
            <rFont val="돋움"/>
            <family val="3"/>
            <charset val="129"/>
          </rPr>
          <t>와</t>
        </r>
        <r>
          <rPr>
            <sz val="9"/>
            <color indexed="81"/>
            <rFont val="Tahoma"/>
            <family val="2"/>
          </rPr>
          <t xml:space="preserve"> </t>
        </r>
        <r>
          <rPr>
            <sz val="9"/>
            <color indexed="81"/>
            <rFont val="돋움"/>
            <family val="3"/>
            <charset val="129"/>
          </rPr>
          <t>일치여부를</t>
        </r>
        <r>
          <rPr>
            <sz val="9"/>
            <color indexed="81"/>
            <rFont val="Tahoma"/>
            <family val="2"/>
          </rPr>
          <t xml:space="preserve"> </t>
        </r>
        <r>
          <rPr>
            <sz val="9"/>
            <color indexed="81"/>
            <rFont val="돋움"/>
            <family val="3"/>
            <charset val="129"/>
          </rPr>
          <t>체크함</t>
        </r>
      </text>
    </comment>
    <comment ref="Q4" authorId="0" shapeId="0">
      <text>
        <r>
          <rPr>
            <b/>
            <sz val="9"/>
            <color indexed="81"/>
            <rFont val="Tahoma"/>
            <family val="2"/>
          </rPr>
          <t>apple:</t>
        </r>
        <r>
          <rPr>
            <sz val="9"/>
            <color indexed="81"/>
            <rFont val="Tahoma"/>
            <family val="2"/>
          </rPr>
          <t xml:space="preserve">
</t>
        </r>
        <r>
          <rPr>
            <sz val="9"/>
            <color indexed="81"/>
            <rFont val="돋움"/>
            <family val="3"/>
            <charset val="129"/>
          </rPr>
          <t>벡터</t>
        </r>
        <r>
          <rPr>
            <sz val="9"/>
            <color indexed="81"/>
            <rFont val="Tahoma"/>
            <family val="2"/>
          </rPr>
          <t xml:space="preserve"> : AV:L/AC:L/AT:N/PR:N/UI:R/VC:H/VI:H/VA:H/SC:N/SI:N/SA:N</t>
        </r>
      </text>
    </comment>
    <comment ref="R4" authorId="0" shapeId="0">
      <text>
        <r>
          <rPr>
            <b/>
            <sz val="9"/>
            <color indexed="81"/>
            <rFont val="Tahoma"/>
            <family val="2"/>
          </rPr>
          <t>apple:</t>
        </r>
        <r>
          <rPr>
            <sz val="9"/>
            <color indexed="81"/>
            <rFont val="Tahoma"/>
            <family val="2"/>
          </rPr>
          <t xml:space="preserve">
</t>
        </r>
        <r>
          <rPr>
            <sz val="9"/>
            <color indexed="81"/>
            <rFont val="돋움"/>
            <family val="3"/>
            <charset val="129"/>
          </rPr>
          <t>벡터</t>
        </r>
        <r>
          <rPr>
            <sz val="9"/>
            <color indexed="81"/>
            <rFont val="Tahoma"/>
            <family val="2"/>
          </rPr>
          <t xml:space="preserve"> : AV:L/AC:L/PR:N/UI:R/S:U/C:H/I:H/A:H</t>
        </r>
      </text>
    </comment>
    <comment ref="S4" authorId="0" shapeId="0">
      <text>
        <r>
          <rPr>
            <b/>
            <sz val="9"/>
            <color indexed="81"/>
            <rFont val="Tahoma"/>
            <family val="2"/>
          </rPr>
          <t>apple:</t>
        </r>
        <r>
          <rPr>
            <sz val="9"/>
            <color indexed="81"/>
            <rFont val="Tahoma"/>
            <family val="2"/>
          </rPr>
          <t xml:space="preserve">
</t>
        </r>
        <r>
          <rPr>
            <sz val="9"/>
            <color indexed="81"/>
            <rFont val="돋움"/>
            <family val="3"/>
            <charset val="129"/>
          </rPr>
          <t>▷</t>
        </r>
        <r>
          <rPr>
            <sz val="9"/>
            <color indexed="81"/>
            <rFont val="Tahoma"/>
            <family val="2"/>
          </rPr>
          <t xml:space="preserve"> </t>
        </r>
        <r>
          <rPr>
            <sz val="9"/>
            <color indexed="81"/>
            <rFont val="돋움"/>
            <family val="3"/>
            <charset val="129"/>
          </rPr>
          <t>값이</t>
        </r>
        <r>
          <rPr>
            <sz val="9"/>
            <color indexed="81"/>
            <rFont val="Tahoma"/>
            <family val="2"/>
          </rPr>
          <t xml:space="preserve"> </t>
        </r>
        <r>
          <rPr>
            <sz val="9"/>
            <color indexed="81"/>
            <rFont val="돋움"/>
            <family val="3"/>
            <charset val="129"/>
          </rPr>
          <t>비어져</t>
        </r>
        <r>
          <rPr>
            <sz val="9"/>
            <color indexed="81"/>
            <rFont val="Tahoma"/>
            <family val="2"/>
          </rPr>
          <t xml:space="preserve"> </t>
        </r>
        <r>
          <rPr>
            <sz val="9"/>
            <color indexed="81"/>
            <rFont val="돋움"/>
            <family val="3"/>
            <charset val="129"/>
          </rPr>
          <t>있으면</t>
        </r>
        <r>
          <rPr>
            <sz val="9"/>
            <color indexed="81"/>
            <rFont val="Tahoma"/>
            <family val="2"/>
          </rPr>
          <t xml:space="preserve">, CVSS </t>
        </r>
        <r>
          <rPr>
            <sz val="9"/>
            <color indexed="81"/>
            <rFont val="돋움"/>
            <family val="3"/>
            <charset val="129"/>
          </rPr>
          <t>을</t>
        </r>
        <r>
          <rPr>
            <sz val="9"/>
            <color indexed="81"/>
            <rFont val="Tahoma"/>
            <family val="2"/>
          </rPr>
          <t xml:space="preserve"> </t>
        </r>
        <r>
          <rPr>
            <sz val="9"/>
            <color indexed="81"/>
            <rFont val="돋움"/>
            <family val="3"/>
            <charset val="129"/>
          </rPr>
          <t>이용하여</t>
        </r>
        <r>
          <rPr>
            <sz val="9"/>
            <color indexed="81"/>
            <rFont val="Tahoma"/>
            <family val="2"/>
          </rPr>
          <t xml:space="preserve"> </t>
        </r>
        <r>
          <rPr>
            <sz val="9"/>
            <color indexed="81"/>
            <rFont val="돋움"/>
            <family val="3"/>
            <charset val="129"/>
          </rPr>
          <t>도출
▷</t>
        </r>
        <r>
          <rPr>
            <sz val="9"/>
            <color indexed="81"/>
            <rFont val="Tahoma"/>
            <family val="2"/>
          </rPr>
          <t xml:space="preserve"> CVSS V4, CVSS V3.1</t>
        </r>
        <r>
          <rPr>
            <sz val="9"/>
            <color indexed="81"/>
            <rFont val="돋움"/>
            <family val="3"/>
            <charset val="129"/>
          </rPr>
          <t>을</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어떻게</t>
        </r>
        <r>
          <rPr>
            <sz val="9"/>
            <color indexed="81"/>
            <rFont val="Tahoma"/>
            <family val="2"/>
          </rPr>
          <t xml:space="preserve"> </t>
        </r>
        <r>
          <rPr>
            <sz val="9"/>
            <color indexed="81"/>
            <rFont val="돋움"/>
            <family val="3"/>
            <charset val="129"/>
          </rPr>
          <t>다루는지</t>
        </r>
        <r>
          <rPr>
            <sz val="9"/>
            <color indexed="81"/>
            <rFont val="Tahoma"/>
            <family val="2"/>
          </rPr>
          <t xml:space="preserve"> </t>
        </r>
        <r>
          <rPr>
            <sz val="9"/>
            <color indexed="81"/>
            <rFont val="돋움"/>
            <family val="3"/>
            <charset val="129"/>
          </rPr>
          <t>연구</t>
        </r>
        <r>
          <rPr>
            <sz val="9"/>
            <color indexed="81"/>
            <rFont val="Tahoma"/>
            <family val="2"/>
          </rPr>
          <t xml:space="preserve"> </t>
        </r>
        <r>
          <rPr>
            <sz val="9"/>
            <color indexed="81"/>
            <rFont val="돋움"/>
            <family val="3"/>
            <charset val="129"/>
          </rPr>
          <t>필요</t>
        </r>
      </text>
    </comment>
    <comment ref="T4" authorId="0" shapeId="0">
      <text>
        <r>
          <rPr>
            <b/>
            <sz val="9"/>
            <color indexed="81"/>
            <rFont val="Tahoma"/>
            <family val="2"/>
          </rPr>
          <t>apple:</t>
        </r>
        <r>
          <rPr>
            <sz val="9"/>
            <color indexed="81"/>
            <rFont val="Tahoma"/>
            <family val="2"/>
          </rPr>
          <t xml:space="preserve">
CVSS </t>
        </r>
        <r>
          <rPr>
            <sz val="9"/>
            <color indexed="81"/>
            <rFont val="돋움"/>
            <family val="3"/>
            <charset val="129"/>
          </rPr>
          <t>기반</t>
        </r>
        <r>
          <rPr>
            <sz val="9"/>
            <color indexed="81"/>
            <rFont val="Tahoma"/>
            <family val="2"/>
          </rPr>
          <t xml:space="preserve">(CVSS-based, Exploitability </t>
        </r>
        <r>
          <rPr>
            <sz val="9"/>
            <color indexed="81"/>
            <rFont val="돋움"/>
            <family val="3"/>
            <charset val="129"/>
          </rPr>
          <t>서브메트릭</t>
        </r>
        <r>
          <rPr>
            <sz val="9"/>
            <color indexed="81"/>
            <rFont val="Tahoma"/>
            <family val="2"/>
          </rPr>
          <t>(AV/AC/PR/UI)</t>
        </r>
        <r>
          <rPr>
            <sz val="9"/>
            <color indexed="81"/>
            <rFont val="돋움"/>
            <family val="3"/>
            <charset val="129"/>
          </rPr>
          <t>만</t>
        </r>
        <r>
          <rPr>
            <sz val="9"/>
            <color indexed="81"/>
            <rFont val="Tahoma"/>
            <family val="2"/>
          </rPr>
          <t xml:space="preserve"> </t>
        </r>
        <r>
          <rPr>
            <sz val="9"/>
            <color indexed="81"/>
            <rFont val="돋움"/>
            <family val="3"/>
            <charset val="129"/>
          </rPr>
          <t>사용</t>
        </r>
        <r>
          <rPr>
            <sz val="9"/>
            <color indexed="81"/>
            <rFont val="Tahoma"/>
            <family val="2"/>
          </rPr>
          <t xml:space="preserve">) </t>
        </r>
        <r>
          <rPr>
            <sz val="9"/>
            <color indexed="81"/>
            <rFont val="돋움"/>
            <family val="3"/>
            <charset val="129"/>
          </rPr>
          <t>방법이</t>
        </r>
        <r>
          <rPr>
            <sz val="9"/>
            <color indexed="81"/>
            <rFont val="Tahoma"/>
            <family val="2"/>
          </rPr>
          <t xml:space="preserve"> AFR </t>
        </r>
        <r>
          <rPr>
            <sz val="9"/>
            <color indexed="81"/>
            <rFont val="돋움"/>
            <family val="3"/>
            <charset val="129"/>
          </rPr>
          <t>방법론으로</t>
        </r>
        <r>
          <rPr>
            <sz val="9"/>
            <color indexed="81"/>
            <rFont val="Tahoma"/>
            <family val="2"/>
          </rPr>
          <t xml:space="preserve"> </t>
        </r>
        <r>
          <rPr>
            <sz val="9"/>
            <color indexed="81"/>
            <rFont val="돋움"/>
            <family val="3"/>
            <charset val="129"/>
          </rPr>
          <t>사용되기는</t>
        </r>
        <r>
          <rPr>
            <sz val="9"/>
            <color indexed="81"/>
            <rFont val="Tahoma"/>
            <family val="2"/>
          </rPr>
          <t xml:space="preserve"> </t>
        </r>
        <r>
          <rPr>
            <sz val="9"/>
            <color indexed="81"/>
            <rFont val="돋움"/>
            <family val="3"/>
            <charset val="129"/>
          </rPr>
          <t>하나</t>
        </r>
        <r>
          <rPr>
            <sz val="9"/>
            <color indexed="81"/>
            <rFont val="Tahoma"/>
            <family val="2"/>
          </rPr>
          <t xml:space="preserve">, </t>
        </r>
        <r>
          <rPr>
            <sz val="9"/>
            <color indexed="81"/>
            <rFont val="돋움"/>
            <family val="3"/>
            <charset val="129"/>
          </rPr>
          <t>반드시</t>
        </r>
        <r>
          <rPr>
            <sz val="9"/>
            <color indexed="81"/>
            <rFont val="Tahoma"/>
            <family val="2"/>
          </rPr>
          <t xml:space="preserve"> </t>
        </r>
        <r>
          <rPr>
            <sz val="9"/>
            <color indexed="81"/>
            <rFont val="돋움"/>
            <family val="3"/>
            <charset val="129"/>
          </rPr>
          <t>사용되는</t>
        </r>
        <r>
          <rPr>
            <sz val="9"/>
            <color indexed="81"/>
            <rFont val="Tahoma"/>
            <family val="2"/>
          </rPr>
          <t xml:space="preserve"> </t>
        </r>
        <r>
          <rPr>
            <sz val="9"/>
            <color indexed="81"/>
            <rFont val="돋움"/>
            <family val="3"/>
            <charset val="129"/>
          </rPr>
          <t>것은</t>
        </r>
        <r>
          <rPr>
            <sz val="9"/>
            <color indexed="81"/>
            <rFont val="Tahoma"/>
            <family val="2"/>
          </rPr>
          <t xml:space="preserve"> </t>
        </r>
        <r>
          <rPr>
            <sz val="9"/>
            <color indexed="81"/>
            <rFont val="돋움"/>
            <family val="3"/>
            <charset val="129"/>
          </rPr>
          <t>아니다</t>
        </r>
        <r>
          <rPr>
            <sz val="9"/>
            <color indexed="81"/>
            <rFont val="Tahoma"/>
            <family val="2"/>
          </rPr>
          <t xml:space="preserve">. </t>
        </r>
        <r>
          <rPr>
            <sz val="9"/>
            <color indexed="81"/>
            <rFont val="돋움"/>
            <family val="3"/>
            <charset val="129"/>
          </rPr>
          <t>따라서</t>
        </r>
        <r>
          <rPr>
            <sz val="9"/>
            <color indexed="81"/>
            <rFont val="Tahoma"/>
            <family val="2"/>
          </rPr>
          <t xml:space="preserve">, </t>
        </r>
        <r>
          <rPr>
            <sz val="9"/>
            <color indexed="81"/>
            <rFont val="돋움"/>
            <family val="3"/>
            <charset val="129"/>
          </rPr>
          <t>참조는</t>
        </r>
        <r>
          <rPr>
            <sz val="9"/>
            <color indexed="81"/>
            <rFont val="Tahoma"/>
            <family val="2"/>
          </rPr>
          <t xml:space="preserve"> </t>
        </r>
        <r>
          <rPr>
            <sz val="9"/>
            <color indexed="81"/>
            <rFont val="돋움"/>
            <family val="3"/>
            <charset val="129"/>
          </rPr>
          <t>할</t>
        </r>
        <r>
          <rPr>
            <sz val="9"/>
            <color indexed="81"/>
            <rFont val="Tahoma"/>
            <family val="2"/>
          </rPr>
          <t xml:space="preserve"> </t>
        </r>
        <r>
          <rPr>
            <sz val="9"/>
            <color indexed="81"/>
            <rFont val="돋움"/>
            <family val="3"/>
            <charset val="129"/>
          </rPr>
          <t>수</t>
        </r>
        <r>
          <rPr>
            <sz val="9"/>
            <color indexed="81"/>
            <rFont val="Tahoma"/>
            <family val="2"/>
          </rPr>
          <t xml:space="preserve"> </t>
        </r>
        <r>
          <rPr>
            <sz val="9"/>
            <color indexed="81"/>
            <rFont val="돋움"/>
            <family val="3"/>
            <charset val="129"/>
          </rPr>
          <t>있지만</t>
        </r>
        <r>
          <rPr>
            <sz val="9"/>
            <color indexed="81"/>
            <rFont val="Tahoma"/>
            <family val="2"/>
          </rPr>
          <t xml:space="preserve">, </t>
        </r>
        <r>
          <rPr>
            <sz val="9"/>
            <color indexed="81"/>
            <rFont val="돋움"/>
            <family val="3"/>
            <charset val="129"/>
          </rPr>
          <t>절대적인</t>
        </r>
        <r>
          <rPr>
            <sz val="9"/>
            <color indexed="81"/>
            <rFont val="Tahoma"/>
            <family val="2"/>
          </rPr>
          <t xml:space="preserve"> </t>
        </r>
        <r>
          <rPr>
            <sz val="9"/>
            <color indexed="81"/>
            <rFont val="돋움"/>
            <family val="3"/>
            <charset val="129"/>
          </rPr>
          <t>데이터는</t>
        </r>
        <r>
          <rPr>
            <sz val="9"/>
            <color indexed="81"/>
            <rFont val="Tahoma"/>
            <family val="2"/>
          </rPr>
          <t xml:space="preserve"> </t>
        </r>
        <r>
          <rPr>
            <sz val="9"/>
            <color indexed="81"/>
            <rFont val="돋움"/>
            <family val="3"/>
            <charset val="129"/>
          </rPr>
          <t>아니며</t>
        </r>
        <r>
          <rPr>
            <sz val="9"/>
            <color indexed="81"/>
            <rFont val="Tahoma"/>
            <family val="2"/>
          </rPr>
          <t xml:space="preserve">, </t>
        </r>
        <r>
          <rPr>
            <sz val="9"/>
            <color indexed="81"/>
            <rFont val="돋움"/>
            <family val="3"/>
            <charset val="129"/>
          </rPr>
          <t>나는</t>
        </r>
        <r>
          <rPr>
            <sz val="9"/>
            <color indexed="81"/>
            <rFont val="Tahoma"/>
            <family val="2"/>
          </rPr>
          <t xml:space="preserve"> </t>
        </r>
        <r>
          <rPr>
            <sz val="9"/>
            <color indexed="81"/>
            <rFont val="돋움"/>
            <family val="3"/>
            <charset val="129"/>
          </rPr>
          <t>공격</t>
        </r>
        <r>
          <rPr>
            <sz val="9"/>
            <color indexed="81"/>
            <rFont val="Tahoma"/>
            <family val="2"/>
          </rPr>
          <t xml:space="preserve"> </t>
        </r>
        <r>
          <rPr>
            <sz val="9"/>
            <color indexed="81"/>
            <rFont val="돋움"/>
            <family val="3"/>
            <charset val="129"/>
          </rPr>
          <t>잠재력</t>
        </r>
        <r>
          <rPr>
            <sz val="9"/>
            <color indexed="81"/>
            <rFont val="Tahoma"/>
            <family val="2"/>
          </rPr>
          <t xml:space="preserve"> </t>
        </r>
        <r>
          <rPr>
            <sz val="9"/>
            <color indexed="81"/>
            <rFont val="돋움"/>
            <family val="3"/>
            <charset val="129"/>
          </rPr>
          <t>기반</t>
        </r>
        <r>
          <rPr>
            <sz val="9"/>
            <color indexed="81"/>
            <rFont val="Tahoma"/>
            <family val="2"/>
          </rPr>
          <t>(Attack Potential-based)</t>
        </r>
        <r>
          <rPr>
            <sz val="9"/>
            <color indexed="81"/>
            <rFont val="돋움"/>
            <family val="3"/>
            <charset val="129"/>
          </rPr>
          <t>방법을</t>
        </r>
        <r>
          <rPr>
            <sz val="9"/>
            <color indexed="81"/>
            <rFont val="Tahoma"/>
            <family val="2"/>
          </rPr>
          <t xml:space="preserve"> </t>
        </r>
        <r>
          <rPr>
            <sz val="9"/>
            <color indexed="81"/>
            <rFont val="돋움"/>
            <family val="3"/>
            <charset val="129"/>
          </rPr>
          <t>사용하고</t>
        </r>
        <r>
          <rPr>
            <sz val="9"/>
            <color indexed="81"/>
            <rFont val="Tahoma"/>
            <family val="2"/>
          </rPr>
          <t xml:space="preserve"> </t>
        </r>
        <r>
          <rPr>
            <sz val="9"/>
            <color indexed="81"/>
            <rFont val="돋움"/>
            <family val="3"/>
            <charset val="129"/>
          </rPr>
          <t>있다</t>
        </r>
        <r>
          <rPr>
            <sz val="9"/>
            <color indexed="81"/>
            <rFont val="Tahoma"/>
            <family val="2"/>
          </rPr>
          <t>.</t>
        </r>
      </text>
    </comment>
    <comment ref="U4" authorId="0" shapeId="0">
      <text>
        <r>
          <rPr>
            <b/>
            <sz val="9"/>
            <color indexed="81"/>
            <rFont val="Tahoma"/>
            <family val="2"/>
          </rPr>
          <t>apple:</t>
        </r>
        <r>
          <rPr>
            <sz val="9"/>
            <color indexed="81"/>
            <rFont val="Tahoma"/>
            <family val="2"/>
          </rPr>
          <t xml:space="preserve">
</t>
        </r>
        <r>
          <rPr>
            <sz val="9"/>
            <color indexed="81"/>
            <rFont val="돋움"/>
            <family val="3"/>
            <charset val="129"/>
          </rPr>
          <t>약점분석</t>
        </r>
        <r>
          <rPr>
            <sz val="9"/>
            <color indexed="81"/>
            <rFont val="Tahoma"/>
            <family val="2"/>
          </rPr>
          <t xml:space="preserve"> </t>
        </r>
        <r>
          <rPr>
            <sz val="9"/>
            <color indexed="81"/>
            <rFont val="돋움"/>
            <family val="3"/>
            <charset val="129"/>
          </rPr>
          <t>과정에서</t>
        </r>
        <r>
          <rPr>
            <sz val="9"/>
            <color indexed="81"/>
            <rFont val="Tahoma"/>
            <family val="2"/>
          </rPr>
          <t xml:space="preserve"> </t>
        </r>
        <r>
          <rPr>
            <sz val="9"/>
            <color indexed="81"/>
            <rFont val="돋움"/>
            <family val="3"/>
            <charset val="129"/>
          </rPr>
          <t>자산과</t>
        </r>
        <r>
          <rPr>
            <sz val="9"/>
            <color indexed="81"/>
            <rFont val="Tahoma"/>
            <family val="2"/>
          </rPr>
          <t xml:space="preserve"> </t>
        </r>
        <r>
          <rPr>
            <sz val="9"/>
            <color indexed="81"/>
            <rFont val="돋움"/>
            <family val="3"/>
            <charset val="129"/>
          </rPr>
          <t>관련한</t>
        </r>
        <r>
          <rPr>
            <sz val="9"/>
            <color indexed="81"/>
            <rFont val="Tahoma"/>
            <family val="2"/>
          </rPr>
          <t xml:space="preserve"> </t>
        </r>
        <r>
          <rPr>
            <sz val="9"/>
            <color indexed="81"/>
            <rFont val="돋움"/>
            <family val="3"/>
            <charset val="129"/>
          </rPr>
          <t>위험처리</t>
        </r>
        <r>
          <rPr>
            <sz val="9"/>
            <color indexed="81"/>
            <rFont val="Tahoma"/>
            <family val="2"/>
          </rPr>
          <t xml:space="preserve"> </t>
        </r>
        <r>
          <rPr>
            <sz val="9"/>
            <color indexed="81"/>
            <rFont val="돋움"/>
            <family val="3"/>
            <charset val="129"/>
          </rPr>
          <t>결과를</t>
        </r>
        <r>
          <rPr>
            <sz val="9"/>
            <color indexed="81"/>
            <rFont val="Tahoma"/>
            <family val="2"/>
          </rPr>
          <t xml:space="preserve"> </t>
        </r>
        <r>
          <rPr>
            <sz val="9"/>
            <color indexed="81"/>
            <rFont val="돋움"/>
            <family val="3"/>
            <charset val="129"/>
          </rPr>
          <t>참조</t>
        </r>
        <r>
          <rPr>
            <sz val="9"/>
            <color indexed="81"/>
            <rFont val="Tahoma"/>
            <family val="2"/>
          </rPr>
          <t xml:space="preserve"> </t>
        </r>
      </text>
    </comment>
    <comment ref="V4" authorId="0" shapeId="0">
      <text>
        <r>
          <rPr>
            <b/>
            <sz val="9"/>
            <color indexed="81"/>
            <rFont val="Tahoma"/>
            <family val="2"/>
          </rPr>
          <t>apple:</t>
        </r>
        <r>
          <rPr>
            <sz val="9"/>
            <color indexed="81"/>
            <rFont val="Tahoma"/>
            <family val="2"/>
          </rPr>
          <t xml:space="preserve">
Risk</t>
        </r>
        <r>
          <rPr>
            <sz val="9"/>
            <color indexed="81"/>
            <rFont val="돋움"/>
            <family val="3"/>
            <charset val="129"/>
          </rPr>
          <t>처리결과와</t>
        </r>
        <r>
          <rPr>
            <sz val="9"/>
            <color indexed="81"/>
            <rFont val="Tahoma"/>
            <family val="2"/>
          </rPr>
          <t xml:space="preserve"> AFR </t>
        </r>
        <r>
          <rPr>
            <sz val="9"/>
            <color indexed="81"/>
            <rFont val="돋움"/>
            <family val="3"/>
            <charset val="129"/>
          </rPr>
          <t>방법론을</t>
        </r>
        <r>
          <rPr>
            <sz val="9"/>
            <color indexed="81"/>
            <rFont val="Tahoma"/>
            <family val="2"/>
          </rPr>
          <t xml:space="preserve"> </t>
        </r>
        <r>
          <rPr>
            <sz val="9"/>
            <color indexed="81"/>
            <rFont val="돋움"/>
            <family val="3"/>
            <charset val="129"/>
          </rPr>
          <t>참조하는</t>
        </r>
        <r>
          <rPr>
            <sz val="9"/>
            <color indexed="81"/>
            <rFont val="Tahoma"/>
            <family val="2"/>
          </rPr>
          <t xml:space="preserve"> </t>
        </r>
        <r>
          <rPr>
            <sz val="9"/>
            <color indexed="81"/>
            <rFont val="돋움"/>
            <family val="3"/>
            <charset val="129"/>
          </rPr>
          <t>것으로</t>
        </r>
        <r>
          <rPr>
            <sz val="9"/>
            <color indexed="81"/>
            <rFont val="Tahoma"/>
            <family val="2"/>
          </rPr>
          <t xml:space="preserve"> </t>
        </r>
        <r>
          <rPr>
            <sz val="9"/>
            <color indexed="81"/>
            <rFont val="돋움"/>
            <family val="3"/>
            <charset val="129"/>
          </rPr>
          <t>충분</t>
        </r>
        <r>
          <rPr>
            <sz val="9"/>
            <color indexed="81"/>
            <rFont val="Tahoma"/>
            <family val="2"/>
          </rPr>
          <t xml:space="preserve">.
AFR </t>
        </r>
        <r>
          <rPr>
            <sz val="9"/>
            <color indexed="81"/>
            <rFont val="돋움"/>
            <family val="3"/>
            <charset val="129"/>
          </rPr>
          <t>점수와</t>
        </r>
        <r>
          <rPr>
            <sz val="9"/>
            <color indexed="81"/>
            <rFont val="Tahoma"/>
            <family val="2"/>
          </rPr>
          <t xml:space="preserve"> </t>
        </r>
        <r>
          <rPr>
            <sz val="9"/>
            <color indexed="81"/>
            <rFont val="돋움"/>
            <family val="3"/>
            <charset val="129"/>
          </rPr>
          <t>등급은</t>
        </r>
        <r>
          <rPr>
            <sz val="9"/>
            <color indexed="81"/>
            <rFont val="Tahoma"/>
            <family val="2"/>
          </rPr>
          <t xml:space="preserve"> </t>
        </r>
        <r>
          <rPr>
            <sz val="9"/>
            <color indexed="81"/>
            <rFont val="돋움"/>
            <family val="3"/>
            <charset val="129"/>
          </rPr>
          <t>리스크</t>
        </r>
        <r>
          <rPr>
            <sz val="9"/>
            <color indexed="81"/>
            <rFont val="Tahoma"/>
            <family val="2"/>
          </rPr>
          <t xml:space="preserve"> </t>
        </r>
        <r>
          <rPr>
            <sz val="9"/>
            <color indexed="81"/>
            <rFont val="돋움"/>
            <family val="3"/>
            <charset val="129"/>
          </rPr>
          <t>처리에</t>
        </r>
        <r>
          <rPr>
            <sz val="9"/>
            <color indexed="81"/>
            <rFont val="Tahoma"/>
            <family val="2"/>
          </rPr>
          <t xml:space="preserve"> </t>
        </r>
        <r>
          <rPr>
            <sz val="9"/>
            <color indexed="81"/>
            <rFont val="돋움"/>
            <family val="3"/>
            <charset val="129"/>
          </rPr>
          <t>사용되는</t>
        </r>
        <r>
          <rPr>
            <sz val="9"/>
            <color indexed="81"/>
            <rFont val="Tahoma"/>
            <family val="2"/>
          </rPr>
          <t xml:space="preserve"> </t>
        </r>
        <r>
          <rPr>
            <sz val="9"/>
            <color indexed="81"/>
            <rFont val="돋움"/>
            <family val="3"/>
            <charset val="129"/>
          </rPr>
          <t>인자이지만</t>
        </r>
        <r>
          <rPr>
            <sz val="9"/>
            <color indexed="81"/>
            <rFont val="Tahoma"/>
            <family val="2"/>
          </rPr>
          <t xml:space="preserve">, </t>
        </r>
        <r>
          <rPr>
            <sz val="9"/>
            <color indexed="81"/>
            <rFont val="돋움"/>
            <family val="3"/>
            <charset val="129"/>
          </rPr>
          <t>리스크</t>
        </r>
        <r>
          <rPr>
            <sz val="9"/>
            <color indexed="81"/>
            <rFont val="Tahoma"/>
            <family val="2"/>
          </rPr>
          <t xml:space="preserve"> </t>
        </r>
        <r>
          <rPr>
            <sz val="9"/>
            <color indexed="81"/>
            <rFont val="돋움"/>
            <family val="3"/>
            <charset val="129"/>
          </rPr>
          <t>처리를</t>
        </r>
        <r>
          <rPr>
            <sz val="9"/>
            <color indexed="81"/>
            <rFont val="Tahoma"/>
            <family val="2"/>
          </rPr>
          <t xml:space="preserve"> </t>
        </r>
        <r>
          <rPr>
            <sz val="9"/>
            <color indexed="81"/>
            <rFont val="돋움"/>
            <family val="3"/>
            <charset val="129"/>
          </rPr>
          <t>참조하고</t>
        </r>
        <r>
          <rPr>
            <sz val="9"/>
            <color indexed="81"/>
            <rFont val="Tahoma"/>
            <family val="2"/>
          </rPr>
          <t xml:space="preserve"> </t>
        </r>
        <r>
          <rPr>
            <sz val="9"/>
            <color indexed="81"/>
            <rFont val="돋움"/>
            <family val="3"/>
            <charset val="129"/>
          </rPr>
          <t>있으므로</t>
        </r>
        <r>
          <rPr>
            <sz val="9"/>
            <color indexed="81"/>
            <rFont val="Tahoma"/>
            <family val="2"/>
          </rPr>
          <t xml:space="preserve">, </t>
        </r>
        <r>
          <rPr>
            <sz val="9"/>
            <color indexed="81"/>
            <rFont val="돋움"/>
            <family val="3"/>
            <charset val="129"/>
          </rPr>
          <t>점수와</t>
        </r>
        <r>
          <rPr>
            <sz val="9"/>
            <color indexed="81"/>
            <rFont val="Tahoma"/>
            <family val="2"/>
          </rPr>
          <t xml:space="preserve"> </t>
        </r>
        <r>
          <rPr>
            <sz val="9"/>
            <color indexed="81"/>
            <rFont val="돋움"/>
            <family val="3"/>
            <charset val="129"/>
          </rPr>
          <t>등급까지는</t>
        </r>
        <r>
          <rPr>
            <sz val="9"/>
            <color indexed="81"/>
            <rFont val="Tahoma"/>
            <family val="2"/>
          </rPr>
          <t xml:space="preserve"> </t>
        </r>
        <r>
          <rPr>
            <sz val="9"/>
            <color indexed="81"/>
            <rFont val="돋움"/>
            <family val="3"/>
            <charset val="129"/>
          </rPr>
          <t xml:space="preserve">필요없음
</t>
        </r>
        <r>
          <rPr>
            <sz val="9"/>
            <color indexed="81"/>
            <rFont val="Tahoma"/>
            <family val="2"/>
          </rPr>
          <t xml:space="preserve">AFR </t>
        </r>
        <r>
          <rPr>
            <sz val="9"/>
            <color indexed="81"/>
            <rFont val="돋움"/>
            <family val="3"/>
            <charset val="129"/>
          </rPr>
          <t>점수는</t>
        </r>
        <r>
          <rPr>
            <sz val="9"/>
            <color indexed="81"/>
            <rFont val="Tahoma"/>
            <family val="2"/>
          </rPr>
          <t xml:space="preserve"> TARA</t>
        </r>
        <r>
          <rPr>
            <sz val="9"/>
            <color indexed="81"/>
            <rFont val="돋움"/>
            <family val="3"/>
            <charset val="129"/>
          </rPr>
          <t>의</t>
        </r>
        <r>
          <rPr>
            <sz val="9"/>
            <color indexed="81"/>
            <rFont val="Tahoma"/>
            <family val="2"/>
          </rPr>
          <t xml:space="preserve"> risk treatment </t>
        </r>
        <r>
          <rPr>
            <sz val="9"/>
            <color indexed="81"/>
            <rFont val="돋움"/>
            <family val="3"/>
            <charset val="129"/>
          </rPr>
          <t>필드로</t>
        </r>
        <r>
          <rPr>
            <sz val="9"/>
            <color indexed="81"/>
            <rFont val="Tahoma"/>
            <family val="2"/>
          </rPr>
          <t xml:space="preserve"> </t>
        </r>
        <r>
          <rPr>
            <sz val="9"/>
            <color indexed="81"/>
            <rFont val="돋움"/>
            <family val="3"/>
            <charset val="129"/>
          </rPr>
          <t>대체함</t>
        </r>
        <r>
          <rPr>
            <sz val="9"/>
            <color indexed="81"/>
            <rFont val="Tahoma"/>
            <family val="2"/>
          </rPr>
          <t xml:space="preserve">.
</t>
        </r>
      </text>
    </comment>
    <comment ref="Z4" authorId="0" shapeId="0">
      <text>
        <r>
          <rPr>
            <b/>
            <sz val="9"/>
            <color indexed="81"/>
            <rFont val="Tahoma"/>
            <family val="2"/>
          </rPr>
          <t>apple:</t>
        </r>
        <r>
          <rPr>
            <sz val="9"/>
            <color indexed="81"/>
            <rFont val="Tahoma"/>
            <family val="2"/>
          </rPr>
          <t xml:space="preserve">
CVSS</t>
        </r>
        <r>
          <rPr>
            <sz val="9"/>
            <color indexed="81"/>
            <rFont val="돋움"/>
            <family val="3"/>
            <charset val="129"/>
          </rPr>
          <t>를</t>
        </r>
        <r>
          <rPr>
            <sz val="9"/>
            <color indexed="81"/>
            <rFont val="Tahoma"/>
            <family val="2"/>
          </rPr>
          <t xml:space="preserve"> </t>
        </r>
        <r>
          <rPr>
            <sz val="9"/>
            <color indexed="81"/>
            <rFont val="돋움"/>
            <family val="3"/>
            <charset val="129"/>
          </rPr>
          <t>구하기</t>
        </r>
        <r>
          <rPr>
            <sz val="9"/>
            <color indexed="81"/>
            <rFont val="Tahoma"/>
            <family val="2"/>
          </rPr>
          <t xml:space="preserve"> </t>
        </r>
        <r>
          <rPr>
            <sz val="9"/>
            <color indexed="81"/>
            <rFont val="돋움"/>
            <family val="3"/>
            <charset val="129"/>
          </rPr>
          <t>위한</t>
        </r>
        <r>
          <rPr>
            <sz val="9"/>
            <color indexed="81"/>
            <rFont val="Tahoma"/>
            <family val="2"/>
          </rPr>
          <t xml:space="preserve"> </t>
        </r>
        <r>
          <rPr>
            <sz val="9"/>
            <color indexed="81"/>
            <rFont val="돋움"/>
            <family val="3"/>
            <charset val="129"/>
          </rPr>
          <t>벡터의</t>
        </r>
        <r>
          <rPr>
            <sz val="9"/>
            <color indexed="81"/>
            <rFont val="Tahoma"/>
            <family val="2"/>
          </rPr>
          <t xml:space="preserve"> </t>
        </r>
        <r>
          <rPr>
            <sz val="9"/>
            <color indexed="81"/>
            <rFont val="돋움"/>
            <family val="3"/>
            <charset val="129"/>
          </rPr>
          <t>요소로서</t>
        </r>
        <r>
          <rPr>
            <sz val="9"/>
            <color indexed="81"/>
            <rFont val="Tahoma"/>
            <family val="2"/>
          </rPr>
          <t xml:space="preserve"> CIA</t>
        </r>
        <r>
          <rPr>
            <sz val="9"/>
            <color indexed="81"/>
            <rFont val="돋움"/>
            <family val="3"/>
            <charset val="129"/>
          </rPr>
          <t>를</t>
        </r>
        <r>
          <rPr>
            <sz val="9"/>
            <color indexed="81"/>
            <rFont val="Tahoma"/>
            <family val="2"/>
          </rPr>
          <t xml:space="preserve"> </t>
        </r>
        <r>
          <rPr>
            <sz val="9"/>
            <color indexed="81"/>
            <rFont val="돋움"/>
            <family val="3"/>
            <charset val="129"/>
          </rPr>
          <t>사용하고</t>
        </r>
        <r>
          <rPr>
            <sz val="9"/>
            <color indexed="81"/>
            <rFont val="Tahoma"/>
            <family val="2"/>
          </rPr>
          <t xml:space="preserve"> </t>
        </r>
        <r>
          <rPr>
            <sz val="9"/>
            <color indexed="81"/>
            <rFont val="돋움"/>
            <family val="3"/>
            <charset val="129"/>
          </rPr>
          <t>있음</t>
        </r>
        <r>
          <rPr>
            <sz val="9"/>
            <color indexed="81"/>
            <rFont val="Tahoma"/>
            <family val="2"/>
          </rPr>
          <t xml:space="preserve">.
</t>
        </r>
        <r>
          <rPr>
            <sz val="9"/>
            <color indexed="81"/>
            <rFont val="돋움"/>
            <family val="3"/>
            <charset val="129"/>
          </rPr>
          <t>단</t>
        </r>
        <r>
          <rPr>
            <sz val="9"/>
            <color indexed="81"/>
            <rFont val="Tahoma"/>
            <family val="2"/>
          </rPr>
          <t xml:space="preserve">, </t>
        </r>
        <r>
          <rPr>
            <sz val="9"/>
            <color indexed="81"/>
            <rFont val="돋움"/>
            <family val="3"/>
            <charset val="129"/>
          </rPr>
          <t>이것은</t>
        </r>
        <r>
          <rPr>
            <sz val="9"/>
            <color indexed="81"/>
            <rFont val="Tahoma"/>
            <family val="2"/>
          </rPr>
          <t xml:space="preserve"> SFOP </t>
        </r>
        <r>
          <rPr>
            <sz val="9"/>
            <color indexed="81"/>
            <rFont val="돋움"/>
            <family val="3"/>
            <charset val="129"/>
          </rPr>
          <t>기반의</t>
        </r>
        <r>
          <rPr>
            <sz val="9"/>
            <color indexed="81"/>
            <rFont val="Tahoma"/>
            <family val="2"/>
          </rPr>
          <t xml:space="preserve"> </t>
        </r>
        <r>
          <rPr>
            <sz val="9"/>
            <color indexed="81"/>
            <rFont val="돋움"/>
            <family val="3"/>
            <charset val="129"/>
          </rPr>
          <t>임팩트</t>
        </r>
        <r>
          <rPr>
            <sz val="9"/>
            <color indexed="81"/>
            <rFont val="Tahoma"/>
            <family val="2"/>
          </rPr>
          <t xml:space="preserve"> </t>
        </r>
        <r>
          <rPr>
            <sz val="9"/>
            <color indexed="81"/>
            <rFont val="돋움"/>
            <family val="3"/>
            <charset val="129"/>
          </rPr>
          <t>레이팅과는</t>
        </r>
        <r>
          <rPr>
            <sz val="9"/>
            <color indexed="81"/>
            <rFont val="Tahoma"/>
            <family val="2"/>
          </rPr>
          <t xml:space="preserve"> </t>
        </r>
        <r>
          <rPr>
            <sz val="9"/>
            <color indexed="81"/>
            <rFont val="돋움"/>
            <family val="3"/>
            <charset val="129"/>
          </rPr>
          <t>무관하므로</t>
        </r>
        <r>
          <rPr>
            <sz val="9"/>
            <color indexed="81"/>
            <rFont val="Tahoma"/>
            <family val="2"/>
          </rPr>
          <t xml:space="preserve">, </t>
        </r>
        <r>
          <rPr>
            <sz val="9"/>
            <color indexed="81"/>
            <rFont val="돋움"/>
            <family val="3"/>
            <charset val="129"/>
          </rPr>
          <t>이</t>
        </r>
        <r>
          <rPr>
            <sz val="9"/>
            <color indexed="81"/>
            <rFont val="Tahoma"/>
            <family val="2"/>
          </rPr>
          <t xml:space="preserve"> </t>
        </r>
        <r>
          <rPr>
            <sz val="9"/>
            <color indexed="81"/>
            <rFont val="돋움"/>
            <family val="3"/>
            <charset val="129"/>
          </rPr>
          <t>필드고</t>
        </r>
        <r>
          <rPr>
            <sz val="9"/>
            <color indexed="81"/>
            <rFont val="Tahoma"/>
            <family val="2"/>
          </rPr>
          <t xml:space="preserve"> </t>
        </r>
        <r>
          <rPr>
            <sz val="9"/>
            <color indexed="81"/>
            <rFont val="돋움"/>
            <family val="3"/>
            <charset val="129"/>
          </rPr>
          <t>사용하지</t>
        </r>
        <r>
          <rPr>
            <sz val="9"/>
            <color indexed="81"/>
            <rFont val="Tahoma"/>
            <family val="2"/>
          </rPr>
          <t xml:space="preserve"> </t>
        </r>
        <r>
          <rPr>
            <sz val="9"/>
            <color indexed="81"/>
            <rFont val="돋움"/>
            <family val="3"/>
            <charset val="129"/>
          </rPr>
          <t>않음</t>
        </r>
        <r>
          <rPr>
            <sz val="9"/>
            <color indexed="81"/>
            <rFont val="Tahoma"/>
            <family val="2"/>
          </rPr>
          <t>.</t>
        </r>
      </text>
    </comment>
    <comment ref="AA4" authorId="0" shapeId="0">
      <text>
        <r>
          <rPr>
            <b/>
            <sz val="9"/>
            <color indexed="81"/>
            <rFont val="Tahoma"/>
            <family val="2"/>
          </rPr>
          <t>apple:</t>
        </r>
        <r>
          <rPr>
            <sz val="9"/>
            <color indexed="81"/>
            <rFont val="Tahoma"/>
            <family val="2"/>
          </rPr>
          <t xml:space="preserve">
</t>
        </r>
        <r>
          <rPr>
            <sz val="9"/>
            <color indexed="81"/>
            <rFont val="돋움"/>
            <family val="3"/>
            <charset val="129"/>
          </rPr>
          <t>①</t>
        </r>
        <r>
          <rPr>
            <sz val="9"/>
            <color indexed="81"/>
            <rFont val="Tahoma"/>
            <family val="2"/>
          </rPr>
          <t xml:space="preserve">, </t>
        </r>
        <r>
          <rPr>
            <sz val="9"/>
            <color indexed="81"/>
            <rFont val="돋움"/>
            <family val="3"/>
            <charset val="129"/>
          </rPr>
          <t>②</t>
        </r>
        <r>
          <rPr>
            <sz val="9"/>
            <color indexed="81"/>
            <rFont val="Tahoma"/>
            <family val="2"/>
          </rPr>
          <t xml:space="preserve">, </t>
        </r>
        <r>
          <rPr>
            <sz val="9"/>
            <color indexed="81"/>
            <rFont val="돋움"/>
            <family val="3"/>
            <charset val="129"/>
          </rPr>
          <t>③</t>
        </r>
        <r>
          <rPr>
            <sz val="9"/>
            <color indexed="81"/>
            <rFont val="Tahoma"/>
            <family val="2"/>
          </rPr>
          <t xml:space="preserve"> </t>
        </r>
        <r>
          <rPr>
            <sz val="9"/>
            <color indexed="81"/>
            <rFont val="돋움"/>
            <family val="3"/>
            <charset val="129"/>
          </rPr>
          <t>단계가</t>
        </r>
        <r>
          <rPr>
            <sz val="9"/>
            <color indexed="81"/>
            <rFont val="Tahoma"/>
            <family val="2"/>
          </rPr>
          <t xml:space="preserve"> </t>
        </r>
        <r>
          <rPr>
            <sz val="9"/>
            <color indexed="81"/>
            <rFont val="돋움"/>
            <family val="3"/>
            <charset val="129"/>
          </rPr>
          <t>진행된</t>
        </r>
        <r>
          <rPr>
            <sz val="9"/>
            <color indexed="81"/>
            <rFont val="Tahoma"/>
            <family val="2"/>
          </rPr>
          <t xml:space="preserve"> </t>
        </r>
        <r>
          <rPr>
            <sz val="9"/>
            <color indexed="81"/>
            <rFont val="돋움"/>
            <family val="3"/>
            <charset val="129"/>
          </rPr>
          <t>후</t>
        </r>
        <r>
          <rPr>
            <sz val="9"/>
            <color indexed="81"/>
            <rFont val="Tahoma"/>
            <family val="2"/>
          </rPr>
          <t xml:space="preserve">, </t>
        </r>
        <r>
          <rPr>
            <sz val="9"/>
            <color indexed="81"/>
            <rFont val="돋움"/>
            <family val="3"/>
            <charset val="129"/>
          </rPr>
          <t>결과로</t>
        </r>
        <r>
          <rPr>
            <sz val="9"/>
            <color indexed="81"/>
            <rFont val="Tahoma"/>
            <family val="2"/>
          </rPr>
          <t xml:space="preserve"> </t>
        </r>
        <r>
          <rPr>
            <sz val="9"/>
            <color indexed="81"/>
            <rFont val="돋움"/>
            <family val="3"/>
            <charset val="129"/>
          </rPr>
          <t>판단하여</t>
        </r>
        <r>
          <rPr>
            <sz val="9"/>
            <color indexed="81"/>
            <rFont val="Tahoma"/>
            <family val="2"/>
          </rPr>
          <t>, AA</t>
        </r>
        <r>
          <rPr>
            <sz val="9"/>
            <color indexed="81"/>
            <rFont val="돋움"/>
            <family val="3"/>
            <charset val="129"/>
          </rPr>
          <t>열을</t>
        </r>
        <r>
          <rPr>
            <sz val="9"/>
            <color indexed="81"/>
            <rFont val="Tahoma"/>
            <family val="2"/>
          </rPr>
          <t xml:space="preserve"> </t>
        </r>
        <r>
          <rPr>
            <sz val="9"/>
            <color indexed="81"/>
            <rFont val="돋움"/>
            <family val="3"/>
            <charset val="129"/>
          </rPr>
          <t>사람이</t>
        </r>
        <r>
          <rPr>
            <sz val="9"/>
            <color indexed="81"/>
            <rFont val="Tahoma"/>
            <family val="2"/>
          </rPr>
          <t xml:space="preserve"> </t>
        </r>
        <r>
          <rPr>
            <sz val="9"/>
            <color indexed="81"/>
            <rFont val="돋움"/>
            <family val="3"/>
            <charset val="129"/>
          </rPr>
          <t>직접</t>
        </r>
        <r>
          <rPr>
            <sz val="9"/>
            <color indexed="81"/>
            <rFont val="Tahoma"/>
            <family val="2"/>
          </rPr>
          <t xml:space="preserve"> </t>
        </r>
        <r>
          <rPr>
            <sz val="9"/>
            <color indexed="81"/>
            <rFont val="돋움"/>
            <family val="3"/>
            <charset val="129"/>
          </rPr>
          <t>판정</t>
        </r>
        <r>
          <rPr>
            <sz val="9"/>
            <color indexed="81"/>
            <rFont val="Tahoma"/>
            <family val="2"/>
          </rPr>
          <t xml:space="preserve"> 
</t>
        </r>
        <r>
          <rPr>
            <sz val="9"/>
            <color indexed="81"/>
            <rFont val="돋움"/>
            <family val="3"/>
            <charset val="129"/>
          </rPr>
          <t>또는</t>
        </r>
        <r>
          <rPr>
            <sz val="9"/>
            <color indexed="81"/>
            <rFont val="Tahoma"/>
            <family val="2"/>
          </rPr>
          <t xml:space="preserve"> </t>
        </r>
        <r>
          <rPr>
            <sz val="9"/>
            <color indexed="81"/>
            <rFont val="돋움"/>
            <family val="3"/>
            <charset val="129"/>
          </rPr>
          <t>자동화</t>
        </r>
        <r>
          <rPr>
            <sz val="9"/>
            <color indexed="81"/>
            <rFont val="Tahoma"/>
            <family val="2"/>
          </rPr>
          <t xml:space="preserve"> </t>
        </r>
        <r>
          <rPr>
            <sz val="9"/>
            <color indexed="81"/>
            <rFont val="돋움"/>
            <family val="3"/>
            <charset val="129"/>
          </rPr>
          <t>로직을</t>
        </r>
        <r>
          <rPr>
            <sz val="9"/>
            <color indexed="81"/>
            <rFont val="Tahoma"/>
            <family val="2"/>
          </rPr>
          <t xml:space="preserve"> </t>
        </r>
        <r>
          <rPr>
            <sz val="9"/>
            <color indexed="81"/>
            <rFont val="돋움"/>
            <family val="3"/>
            <charset val="129"/>
          </rPr>
          <t>구현</t>
        </r>
        <r>
          <rPr>
            <sz val="9"/>
            <color indexed="81"/>
            <rFont val="Tahoma"/>
            <family val="2"/>
          </rPr>
          <t xml:space="preserve"> </t>
        </r>
        <r>
          <rPr>
            <sz val="9"/>
            <color indexed="81"/>
            <rFont val="돋움"/>
            <family val="3"/>
            <charset val="129"/>
          </rPr>
          <t>검토함</t>
        </r>
        <r>
          <rPr>
            <sz val="9"/>
            <color indexed="81"/>
            <rFont val="Tahoma"/>
            <family val="2"/>
          </rPr>
          <t xml:space="preserve">
</t>
        </r>
      </text>
    </comment>
    <comment ref="AC4" authorId="0" shapeId="0">
      <text>
        <r>
          <rPr>
            <b/>
            <sz val="9"/>
            <color indexed="81"/>
            <rFont val="Tahoma"/>
            <family val="2"/>
          </rPr>
          <t>apple:</t>
        </r>
        <r>
          <rPr>
            <sz val="9"/>
            <color indexed="81"/>
            <rFont val="Tahoma"/>
            <family val="2"/>
          </rPr>
          <t xml:space="preserve">
U</t>
        </r>
        <r>
          <rPr>
            <sz val="9"/>
            <color indexed="81"/>
            <rFont val="돋움"/>
            <family val="3"/>
            <charset val="129"/>
          </rPr>
          <t>열</t>
        </r>
        <r>
          <rPr>
            <sz val="9"/>
            <color indexed="81"/>
            <rFont val="Tahoma"/>
            <family val="2"/>
          </rPr>
          <t>, Rist treatment(TARA)</t>
        </r>
        <r>
          <rPr>
            <sz val="9"/>
            <color indexed="81"/>
            <rFont val="돋움"/>
            <family val="3"/>
            <charset val="129"/>
          </rPr>
          <t>와</t>
        </r>
        <r>
          <rPr>
            <sz val="9"/>
            <color indexed="81"/>
            <rFont val="Tahoma"/>
            <family val="2"/>
          </rPr>
          <t xml:space="preserve"> </t>
        </r>
        <r>
          <rPr>
            <sz val="9"/>
            <color indexed="81"/>
            <rFont val="돋움"/>
            <family val="3"/>
            <charset val="129"/>
          </rPr>
          <t>비교할</t>
        </r>
        <r>
          <rPr>
            <sz val="9"/>
            <color indexed="81"/>
            <rFont val="Tahoma"/>
            <family val="2"/>
          </rPr>
          <t xml:space="preserve"> </t>
        </r>
        <r>
          <rPr>
            <sz val="9"/>
            <color indexed="81"/>
            <rFont val="돋움"/>
            <family val="3"/>
            <charset val="129"/>
          </rPr>
          <t>것</t>
        </r>
        <r>
          <rPr>
            <sz val="9"/>
            <color indexed="81"/>
            <rFont val="Tahoma"/>
            <family val="2"/>
          </rPr>
          <t xml:space="preserve"> </t>
        </r>
      </text>
    </comment>
    <comment ref="L20" authorId="0" shapeId="0">
      <text>
        <r>
          <rPr>
            <b/>
            <sz val="9"/>
            <color indexed="81"/>
            <rFont val="Tahoma"/>
            <family val="2"/>
          </rPr>
          <t>apple:</t>
        </r>
        <r>
          <rPr>
            <sz val="9"/>
            <color indexed="81"/>
            <rFont val="Tahoma"/>
            <family val="2"/>
          </rPr>
          <t xml:space="preserve">
1) Config </t>
        </r>
        <r>
          <rPr>
            <sz val="9"/>
            <color indexed="81"/>
            <rFont val="돋움"/>
            <family val="3"/>
            <charset val="129"/>
          </rPr>
          <t>시트와</t>
        </r>
        <r>
          <rPr>
            <sz val="9"/>
            <color indexed="81"/>
            <rFont val="Tahoma"/>
            <family val="2"/>
          </rPr>
          <t xml:space="preserve"> </t>
        </r>
        <r>
          <rPr>
            <sz val="9"/>
            <color indexed="81"/>
            <rFont val="돋움"/>
            <family val="3"/>
            <charset val="129"/>
          </rPr>
          <t>일치하는</t>
        </r>
        <r>
          <rPr>
            <sz val="9"/>
            <color indexed="81"/>
            <rFont val="Tahoma"/>
            <family val="2"/>
          </rPr>
          <t xml:space="preserve"> </t>
        </r>
        <r>
          <rPr>
            <sz val="9"/>
            <color indexed="81"/>
            <rFont val="돋움"/>
            <family val="3"/>
            <charset val="129"/>
          </rPr>
          <t>자산이</t>
        </r>
        <r>
          <rPr>
            <sz val="9"/>
            <color indexed="81"/>
            <rFont val="Tahoma"/>
            <family val="2"/>
          </rPr>
          <t xml:space="preserve"> </t>
        </r>
        <r>
          <rPr>
            <sz val="9"/>
            <color indexed="81"/>
            <rFont val="돋움"/>
            <family val="3"/>
            <charset val="129"/>
          </rPr>
          <t>없는</t>
        </r>
        <r>
          <rPr>
            <sz val="9"/>
            <color indexed="81"/>
            <rFont val="Tahoma"/>
            <family val="2"/>
          </rPr>
          <t xml:space="preserve"> </t>
        </r>
        <r>
          <rPr>
            <sz val="9"/>
            <color indexed="81"/>
            <rFont val="돋움"/>
            <family val="3"/>
            <charset val="129"/>
          </rPr>
          <t>경우</t>
        </r>
        <r>
          <rPr>
            <sz val="9"/>
            <color indexed="81"/>
            <rFont val="Tahoma"/>
            <family val="2"/>
          </rPr>
          <t xml:space="preserve">. 
2) </t>
        </r>
        <r>
          <rPr>
            <sz val="9"/>
            <color indexed="81"/>
            <rFont val="돋움"/>
            <family val="3"/>
            <charset val="129"/>
          </rPr>
          <t>임베딩을</t>
        </r>
        <r>
          <rPr>
            <sz val="9"/>
            <color indexed="81"/>
            <rFont val="Tahoma"/>
            <family val="2"/>
          </rPr>
          <t xml:space="preserve"> </t>
        </r>
        <r>
          <rPr>
            <sz val="9"/>
            <color indexed="81"/>
            <rFont val="돋움"/>
            <family val="3"/>
            <charset val="129"/>
          </rPr>
          <t>거쳐</t>
        </r>
        <r>
          <rPr>
            <sz val="9"/>
            <color indexed="81"/>
            <rFont val="Tahoma"/>
            <family val="2"/>
          </rPr>
          <t xml:space="preserve">, </t>
        </r>
        <r>
          <rPr>
            <sz val="9"/>
            <color indexed="81"/>
            <rFont val="돋움"/>
            <family val="3"/>
            <charset val="129"/>
          </rPr>
          <t>파이썬</t>
        </r>
        <r>
          <rPr>
            <sz val="9"/>
            <color indexed="81"/>
            <rFont val="Tahoma"/>
            <family val="2"/>
          </rPr>
          <t xml:space="preserve"> AI/</t>
        </r>
        <r>
          <rPr>
            <sz val="9"/>
            <color indexed="81"/>
            <rFont val="돋움"/>
            <family val="3"/>
            <charset val="129"/>
          </rPr>
          <t>임베딩</t>
        </r>
        <r>
          <rPr>
            <sz val="9"/>
            <color indexed="81"/>
            <rFont val="Tahoma"/>
            <family val="2"/>
          </rPr>
          <t xml:space="preserve"> </t>
        </r>
        <r>
          <rPr>
            <sz val="9"/>
            <color indexed="81"/>
            <rFont val="돋움"/>
            <family val="3"/>
            <charset val="129"/>
          </rPr>
          <t>기반</t>
        </r>
        <r>
          <rPr>
            <sz val="9"/>
            <color indexed="81"/>
            <rFont val="Tahoma"/>
            <family val="2"/>
          </rPr>
          <t xml:space="preserve"> </t>
        </r>
        <r>
          <rPr>
            <sz val="9"/>
            <color indexed="81"/>
            <rFont val="돋움"/>
            <family val="3"/>
            <charset val="129"/>
          </rPr>
          <t>매칭</t>
        </r>
        <r>
          <rPr>
            <sz val="9"/>
            <color indexed="81"/>
            <rFont val="Tahoma"/>
            <family val="2"/>
          </rPr>
          <t xml:space="preserve"> </t>
        </r>
        <r>
          <rPr>
            <sz val="9"/>
            <color indexed="81"/>
            <rFont val="돋움"/>
            <family val="3"/>
            <charset val="129"/>
          </rPr>
          <t>성공이</t>
        </r>
        <r>
          <rPr>
            <sz val="9"/>
            <color indexed="81"/>
            <rFont val="Tahoma"/>
            <family val="2"/>
          </rPr>
          <t xml:space="preserve"> </t>
        </r>
        <r>
          <rPr>
            <sz val="9"/>
            <color indexed="81"/>
            <rFont val="돋움"/>
            <family val="3"/>
            <charset val="129"/>
          </rPr>
          <t>되면</t>
        </r>
        <r>
          <rPr>
            <sz val="9"/>
            <color indexed="81"/>
            <rFont val="Tahoma"/>
            <family val="2"/>
          </rPr>
          <t>, semantic</t>
        </r>
        <r>
          <rPr>
            <sz val="9"/>
            <color indexed="81"/>
            <rFont val="돋움"/>
            <family val="3"/>
            <charset val="129"/>
          </rPr>
          <t>으로</t>
        </r>
        <r>
          <rPr>
            <sz val="9"/>
            <color indexed="81"/>
            <rFont val="Tahoma"/>
            <family val="2"/>
          </rPr>
          <t xml:space="preserve"> </t>
        </r>
        <r>
          <rPr>
            <sz val="9"/>
            <color indexed="81"/>
            <rFont val="돋움"/>
            <family val="3"/>
            <charset val="129"/>
          </rPr>
          <t xml:space="preserve">변경
</t>
        </r>
        <r>
          <rPr>
            <sz val="9"/>
            <color indexed="81"/>
            <rFont val="Tahoma"/>
            <family val="2"/>
          </rPr>
          <t xml:space="preserve">3) </t>
        </r>
        <r>
          <rPr>
            <sz val="9"/>
            <color indexed="81"/>
            <rFont val="돋움"/>
            <family val="3"/>
            <charset val="129"/>
          </rPr>
          <t>임베딩</t>
        </r>
        <r>
          <rPr>
            <sz val="9"/>
            <color indexed="81"/>
            <rFont val="Tahoma"/>
            <family val="2"/>
          </rPr>
          <t xml:space="preserve"> </t>
        </r>
        <r>
          <rPr>
            <sz val="9"/>
            <color indexed="81"/>
            <rFont val="돋움"/>
            <family val="3"/>
            <charset val="129"/>
          </rPr>
          <t>이후에도</t>
        </r>
        <r>
          <rPr>
            <sz val="9"/>
            <color indexed="81"/>
            <rFont val="Tahoma"/>
            <family val="2"/>
          </rPr>
          <t xml:space="preserve"> semantic </t>
        </r>
        <r>
          <rPr>
            <sz val="9"/>
            <color indexed="81"/>
            <rFont val="돋움"/>
            <family val="3"/>
            <charset val="129"/>
          </rPr>
          <t>필요로</t>
        </r>
        <r>
          <rPr>
            <sz val="9"/>
            <color indexed="81"/>
            <rFont val="Tahoma"/>
            <family val="2"/>
          </rPr>
          <t xml:space="preserve"> </t>
        </r>
        <r>
          <rPr>
            <sz val="9"/>
            <color indexed="81"/>
            <rFont val="돋움"/>
            <family val="3"/>
            <charset val="129"/>
          </rPr>
          <t>남은</t>
        </r>
        <r>
          <rPr>
            <sz val="9"/>
            <color indexed="81"/>
            <rFont val="Tahoma"/>
            <family val="2"/>
          </rPr>
          <t xml:space="preserve"> </t>
        </r>
        <r>
          <rPr>
            <sz val="9"/>
            <color indexed="81"/>
            <rFont val="돋움"/>
            <family val="3"/>
            <charset val="129"/>
          </rPr>
          <t>항은</t>
        </r>
        <r>
          <rPr>
            <sz val="9"/>
            <color indexed="81"/>
            <rFont val="Tahoma"/>
            <family val="2"/>
          </rPr>
          <t xml:space="preserve"> </t>
        </r>
        <r>
          <rPr>
            <sz val="9"/>
            <color indexed="81"/>
            <rFont val="돋움"/>
            <family val="3"/>
            <charset val="129"/>
          </rPr>
          <t>매뉴얼로</t>
        </r>
        <r>
          <rPr>
            <sz val="9"/>
            <color indexed="81"/>
            <rFont val="Tahoma"/>
            <family val="2"/>
          </rPr>
          <t xml:space="preserve"> </t>
        </r>
        <r>
          <rPr>
            <sz val="9"/>
            <color indexed="81"/>
            <rFont val="돋움"/>
            <family val="3"/>
            <charset val="129"/>
          </rPr>
          <t>확인을</t>
        </r>
        <r>
          <rPr>
            <sz val="9"/>
            <color indexed="81"/>
            <rFont val="Tahoma"/>
            <family val="2"/>
          </rPr>
          <t xml:space="preserve"> </t>
        </r>
        <r>
          <rPr>
            <sz val="9"/>
            <color indexed="81"/>
            <rFont val="돋움"/>
            <family val="3"/>
            <charset val="129"/>
          </rPr>
          <t>거쳐</t>
        </r>
        <r>
          <rPr>
            <sz val="9"/>
            <color indexed="81"/>
            <rFont val="Tahoma"/>
            <family val="2"/>
          </rPr>
          <t xml:space="preserve"> Manual </t>
        </r>
        <r>
          <rPr>
            <sz val="9"/>
            <color indexed="81"/>
            <rFont val="돋움"/>
            <family val="3"/>
            <charset val="129"/>
          </rPr>
          <t>또는</t>
        </r>
        <r>
          <rPr>
            <sz val="9"/>
            <color indexed="81"/>
            <rFont val="Tahoma"/>
            <family val="2"/>
          </rPr>
          <t xml:space="preserve"> </t>
        </r>
        <r>
          <rPr>
            <sz val="9"/>
            <color indexed="81"/>
            <rFont val="돋움"/>
            <family val="3"/>
            <charset val="129"/>
          </rPr>
          <t>수동입력</t>
        </r>
        <r>
          <rPr>
            <sz val="9"/>
            <color indexed="81"/>
            <rFont val="Tahoma"/>
            <family val="2"/>
          </rPr>
          <t xml:space="preserve"> </t>
        </r>
        <r>
          <rPr>
            <sz val="9"/>
            <color indexed="81"/>
            <rFont val="돋움"/>
            <family val="3"/>
            <charset val="129"/>
          </rPr>
          <t>으로</t>
        </r>
        <r>
          <rPr>
            <sz val="9"/>
            <color indexed="81"/>
            <rFont val="Tahoma"/>
            <family val="2"/>
          </rPr>
          <t xml:space="preserve"> </t>
        </r>
        <r>
          <rPr>
            <sz val="9"/>
            <color indexed="81"/>
            <rFont val="돋움"/>
            <family val="3"/>
            <charset val="129"/>
          </rPr>
          <t>변환</t>
        </r>
        <r>
          <rPr>
            <sz val="9"/>
            <color indexed="81"/>
            <rFont val="Tahoma"/>
            <family val="2"/>
          </rPr>
          <t xml:space="preserve"> </t>
        </r>
        <r>
          <rPr>
            <sz val="9"/>
            <color indexed="81"/>
            <rFont val="돋움"/>
            <family val="3"/>
            <charset val="129"/>
          </rPr>
          <t>기록</t>
        </r>
        <r>
          <rPr>
            <sz val="9"/>
            <color indexed="81"/>
            <rFont val="Tahoma"/>
            <family val="2"/>
          </rPr>
          <t xml:space="preserve">
</t>
        </r>
      </text>
    </comment>
  </commentList>
</comments>
</file>

<file path=xl/comments3.xml><?xml version="1.0" encoding="utf-8"?>
<comments xmlns="http://schemas.openxmlformats.org/spreadsheetml/2006/main">
  <authors>
    <author>apple</author>
    <author>Unknown Author</author>
  </authors>
  <commentList>
    <comment ref="J4" authorId="0" shapeId="0">
      <text>
        <r>
          <rPr>
            <b/>
            <sz val="9"/>
            <color indexed="81"/>
            <rFont val="Tahoma"/>
            <family val="2"/>
          </rPr>
          <t>apple:</t>
        </r>
        <r>
          <rPr>
            <sz val="9"/>
            <color indexed="81"/>
            <rFont val="Tahoma"/>
            <family val="2"/>
          </rPr>
          <t xml:space="preserve">
Risk</t>
        </r>
        <r>
          <rPr>
            <sz val="9"/>
            <color indexed="81"/>
            <rFont val="돋움"/>
            <family val="3"/>
            <charset val="129"/>
          </rPr>
          <t>처리결과와</t>
        </r>
        <r>
          <rPr>
            <sz val="9"/>
            <color indexed="81"/>
            <rFont val="Tahoma"/>
            <family val="2"/>
          </rPr>
          <t xml:space="preserve"> AFR </t>
        </r>
        <r>
          <rPr>
            <sz val="9"/>
            <color indexed="81"/>
            <rFont val="돋움"/>
            <family val="3"/>
            <charset val="129"/>
          </rPr>
          <t>방법론을</t>
        </r>
        <r>
          <rPr>
            <sz val="9"/>
            <color indexed="81"/>
            <rFont val="Tahoma"/>
            <family val="2"/>
          </rPr>
          <t xml:space="preserve"> </t>
        </r>
        <r>
          <rPr>
            <sz val="9"/>
            <color indexed="81"/>
            <rFont val="돋움"/>
            <family val="3"/>
            <charset val="129"/>
          </rPr>
          <t>참조하는</t>
        </r>
        <r>
          <rPr>
            <sz val="9"/>
            <color indexed="81"/>
            <rFont val="Tahoma"/>
            <family val="2"/>
          </rPr>
          <t xml:space="preserve"> </t>
        </r>
        <r>
          <rPr>
            <sz val="9"/>
            <color indexed="81"/>
            <rFont val="돋움"/>
            <family val="3"/>
            <charset val="129"/>
          </rPr>
          <t>것으로</t>
        </r>
        <r>
          <rPr>
            <sz val="9"/>
            <color indexed="81"/>
            <rFont val="Tahoma"/>
            <family val="2"/>
          </rPr>
          <t xml:space="preserve"> </t>
        </r>
        <r>
          <rPr>
            <sz val="9"/>
            <color indexed="81"/>
            <rFont val="돋움"/>
            <family val="3"/>
            <charset val="129"/>
          </rPr>
          <t>충분</t>
        </r>
        <r>
          <rPr>
            <sz val="9"/>
            <color indexed="81"/>
            <rFont val="Tahoma"/>
            <family val="2"/>
          </rPr>
          <t xml:space="preserve">.
AFR </t>
        </r>
        <r>
          <rPr>
            <sz val="9"/>
            <color indexed="81"/>
            <rFont val="돋움"/>
            <family val="3"/>
            <charset val="129"/>
          </rPr>
          <t>점수와</t>
        </r>
        <r>
          <rPr>
            <sz val="9"/>
            <color indexed="81"/>
            <rFont val="Tahoma"/>
            <family val="2"/>
          </rPr>
          <t xml:space="preserve"> </t>
        </r>
        <r>
          <rPr>
            <sz val="9"/>
            <color indexed="81"/>
            <rFont val="돋움"/>
            <family val="3"/>
            <charset val="129"/>
          </rPr>
          <t>등급은</t>
        </r>
        <r>
          <rPr>
            <sz val="9"/>
            <color indexed="81"/>
            <rFont val="Tahoma"/>
            <family val="2"/>
          </rPr>
          <t xml:space="preserve"> </t>
        </r>
        <r>
          <rPr>
            <sz val="9"/>
            <color indexed="81"/>
            <rFont val="돋움"/>
            <family val="3"/>
            <charset val="129"/>
          </rPr>
          <t>리스크</t>
        </r>
        <r>
          <rPr>
            <sz val="9"/>
            <color indexed="81"/>
            <rFont val="Tahoma"/>
            <family val="2"/>
          </rPr>
          <t xml:space="preserve"> </t>
        </r>
        <r>
          <rPr>
            <sz val="9"/>
            <color indexed="81"/>
            <rFont val="돋움"/>
            <family val="3"/>
            <charset val="129"/>
          </rPr>
          <t>처리에</t>
        </r>
        <r>
          <rPr>
            <sz val="9"/>
            <color indexed="81"/>
            <rFont val="Tahoma"/>
            <family val="2"/>
          </rPr>
          <t xml:space="preserve"> </t>
        </r>
        <r>
          <rPr>
            <sz val="9"/>
            <color indexed="81"/>
            <rFont val="돋움"/>
            <family val="3"/>
            <charset val="129"/>
          </rPr>
          <t>사용되는</t>
        </r>
        <r>
          <rPr>
            <sz val="9"/>
            <color indexed="81"/>
            <rFont val="Tahoma"/>
            <family val="2"/>
          </rPr>
          <t xml:space="preserve"> </t>
        </r>
        <r>
          <rPr>
            <sz val="9"/>
            <color indexed="81"/>
            <rFont val="돋움"/>
            <family val="3"/>
            <charset val="129"/>
          </rPr>
          <t>인자이지만</t>
        </r>
        <r>
          <rPr>
            <sz val="9"/>
            <color indexed="81"/>
            <rFont val="Tahoma"/>
            <family val="2"/>
          </rPr>
          <t xml:space="preserve">, </t>
        </r>
        <r>
          <rPr>
            <sz val="9"/>
            <color indexed="81"/>
            <rFont val="돋움"/>
            <family val="3"/>
            <charset val="129"/>
          </rPr>
          <t>리스크</t>
        </r>
        <r>
          <rPr>
            <sz val="9"/>
            <color indexed="81"/>
            <rFont val="Tahoma"/>
            <family val="2"/>
          </rPr>
          <t xml:space="preserve"> </t>
        </r>
        <r>
          <rPr>
            <sz val="9"/>
            <color indexed="81"/>
            <rFont val="돋움"/>
            <family val="3"/>
            <charset val="129"/>
          </rPr>
          <t>처리를</t>
        </r>
        <r>
          <rPr>
            <sz val="9"/>
            <color indexed="81"/>
            <rFont val="Tahoma"/>
            <family val="2"/>
          </rPr>
          <t xml:space="preserve"> </t>
        </r>
        <r>
          <rPr>
            <sz val="9"/>
            <color indexed="81"/>
            <rFont val="돋움"/>
            <family val="3"/>
            <charset val="129"/>
          </rPr>
          <t>참조하고</t>
        </r>
        <r>
          <rPr>
            <sz val="9"/>
            <color indexed="81"/>
            <rFont val="Tahoma"/>
            <family val="2"/>
          </rPr>
          <t xml:space="preserve"> </t>
        </r>
        <r>
          <rPr>
            <sz val="9"/>
            <color indexed="81"/>
            <rFont val="돋움"/>
            <family val="3"/>
            <charset val="129"/>
          </rPr>
          <t>있으므로</t>
        </r>
        <r>
          <rPr>
            <sz val="9"/>
            <color indexed="81"/>
            <rFont val="Tahoma"/>
            <family val="2"/>
          </rPr>
          <t xml:space="preserve">, </t>
        </r>
        <r>
          <rPr>
            <sz val="9"/>
            <color indexed="81"/>
            <rFont val="돋움"/>
            <family val="3"/>
            <charset val="129"/>
          </rPr>
          <t>점수와</t>
        </r>
        <r>
          <rPr>
            <sz val="9"/>
            <color indexed="81"/>
            <rFont val="Tahoma"/>
            <family val="2"/>
          </rPr>
          <t xml:space="preserve"> </t>
        </r>
        <r>
          <rPr>
            <sz val="9"/>
            <color indexed="81"/>
            <rFont val="돋움"/>
            <family val="3"/>
            <charset val="129"/>
          </rPr>
          <t>등급까지는</t>
        </r>
        <r>
          <rPr>
            <sz val="9"/>
            <color indexed="81"/>
            <rFont val="Tahoma"/>
            <family val="2"/>
          </rPr>
          <t xml:space="preserve"> </t>
        </r>
        <r>
          <rPr>
            <sz val="9"/>
            <color indexed="81"/>
            <rFont val="돋움"/>
            <family val="3"/>
            <charset val="129"/>
          </rPr>
          <t>필요없음</t>
        </r>
      </text>
    </comment>
    <comment ref="Q4" authorId="1" shapeId="0">
      <text>
        <r>
          <rPr>
            <sz val="10"/>
            <rFont val="Noto Sans CJK SC"/>
            <family val="2"/>
          </rPr>
          <t>예시 밴드입니다</t>
        </r>
        <r>
          <rPr>
            <sz val="10"/>
            <rFont val="Arial"/>
            <family val="2"/>
          </rPr>
          <t>(</t>
        </r>
        <r>
          <rPr>
            <sz val="10"/>
            <rFont val="Noto Sans CJK SC"/>
            <family val="2"/>
          </rPr>
          <t>공식 표준 수치 아님</t>
        </r>
        <r>
          <rPr>
            <sz val="10"/>
            <rFont val="Arial"/>
            <family val="2"/>
          </rPr>
          <t xml:space="preserve">). </t>
        </r>
        <r>
          <rPr>
            <sz val="10"/>
            <rFont val="Noto Sans CJK SC"/>
            <family val="2"/>
          </rPr>
          <t xml:space="preserve">사내 </t>
        </r>
        <r>
          <rPr>
            <sz val="10"/>
            <rFont val="Arial"/>
            <family val="2"/>
          </rPr>
          <t xml:space="preserve">TAGS AFR </t>
        </r>
        <r>
          <rPr>
            <sz val="10"/>
            <rFont val="Noto Sans CJK SC"/>
            <family val="2"/>
          </rPr>
          <t>모듈의 등급 정의와 맞춰 재조정하십시오</t>
        </r>
        <r>
          <rPr>
            <sz val="10"/>
            <rFont val="Arial"/>
            <family val="2"/>
          </rPr>
          <t>.</t>
        </r>
      </text>
    </comment>
  </commentList>
</comments>
</file>

<file path=xl/sharedStrings.xml><?xml version="1.0" encoding="utf-8"?>
<sst xmlns="http://schemas.openxmlformats.org/spreadsheetml/2006/main" count="1504" uniqueCount="971">
  <si>
    <t>No</t>
  </si>
  <si>
    <t>Weakness_ID</t>
  </si>
  <si>
    <t>Analysis_Date</t>
  </si>
  <si>
    <t>CWE</t>
  </si>
  <si>
    <t>Vendor</t>
  </si>
  <si>
    <t>Product</t>
  </si>
  <si>
    <t>Version</t>
  </si>
  <si>
    <t>Match_Method</t>
  </si>
  <si>
    <t>VEX_Status</t>
  </si>
  <si>
    <t>VEX_Detail
(Impact/Action)</t>
  </si>
  <si>
    <t>CVSS_V4</t>
  </si>
  <si>
    <t>CVSS_V3.1</t>
  </si>
  <si>
    <t>KEV_Listed</t>
  </si>
  <si>
    <t>Linked_TARA_TS_ID
(taraDB)</t>
  </si>
  <si>
    <t>Impact_Rating</t>
  </si>
  <si>
    <t>Disposition</t>
  </si>
  <si>
    <t>Owner</t>
  </si>
  <si>
    <t>Due_Date</t>
  </si>
  <si>
    <t>Reviewer</t>
  </si>
  <si>
    <t>Review_Date</t>
  </si>
  <si>
    <t>Notes</t>
  </si>
  <si>
    <t>CVE-2026-49319</t>
  </si>
  <si>
    <t>CWE-294 Authentication Bypass by Capture-replay</t>
  </si>
  <si>
    <t>Alps Electric Co., Ltd.</t>
  </si>
  <si>
    <t>Remote Keyless Entry System (RKES) R53R0</t>
  </si>
  <si>
    <t>R53R0</t>
  </si>
  <si>
    <t>ECU-RKE-001</t>
  </si>
  <si>
    <t>Exact</t>
  </si>
  <si>
    <t>affected</t>
  </si>
  <si>
    <t>6.9 (CVSS:4.0/AV:A/AC:L/AT:N/PR:N/UI:P/VC:N/VI:H/VA:N/SC:N/SI:L/SA:N)</t>
  </si>
  <si>
    <t>6.5 (CVSS:3.1/AV:A/AC:L/PR:N/UI:N/S:U/C:N/I:H/A:N)</t>
  </si>
  <si>
    <t>ISO18045_DIM4</t>
  </si>
  <si>
    <t>Medium</t>
  </si>
  <si>
    <t>N</t>
  </si>
  <si>
    <t>Mitigate</t>
  </si>
  <si>
    <t>Justification_Code</t>
  </si>
  <si>
    <t>AFR_Level</t>
  </si>
  <si>
    <t>AFR_Method</t>
  </si>
  <si>
    <t>component_not_present</t>
  </si>
  <si>
    <t>Very Low</t>
  </si>
  <si>
    <t>Accept</t>
  </si>
  <si>
    <t>not_affected</t>
  </si>
  <si>
    <t>vulnerable_code_not_present</t>
  </si>
  <si>
    <t>Low</t>
  </si>
  <si>
    <t>HMC4</t>
  </si>
  <si>
    <t>Semantic</t>
  </si>
  <si>
    <t>fixed</t>
  </si>
  <si>
    <t>vulnerable_code_not_in_execute_path</t>
  </si>
  <si>
    <t>HEAVENS4</t>
  </si>
  <si>
    <t>Manual</t>
  </si>
  <si>
    <t>Transfer</t>
  </si>
  <si>
    <t>under_investigation</t>
  </si>
  <si>
    <t>vulnerable_code_cannot_be_controlled_by_adversary</t>
  </si>
  <si>
    <t>High</t>
  </si>
  <si>
    <t>Avoid</t>
  </si>
  <si>
    <t>inline_mitigations_already_exist</t>
  </si>
  <si>
    <t>ISO18045_FULL4</t>
  </si>
  <si>
    <t>FTS_SUM4</t>
  </si>
  <si>
    <t>FTS_MULTI4</t>
  </si>
  <si>
    <t>Asset_ID</t>
  </si>
  <si>
    <t>SBOM_Ref</t>
  </si>
  <si>
    <t>Note</t>
  </si>
  <si>
    <t>Monitoring Keyword</t>
  </si>
  <si>
    <t>CVE</t>
  </si>
  <si>
    <t>CVSS score</t>
  </si>
  <si>
    <t>Date</t>
  </si>
  <si>
    <t>Triage</t>
  </si>
  <si>
    <t>Trigger</t>
  </si>
  <si>
    <t>ID</t>
  </si>
  <si>
    <t>CAN</t>
  </si>
  <si>
    <t>Contents</t>
  </si>
  <si>
    <t xml:space="preserve"> Update Date</t>
  </si>
  <si>
    <t>Pubulished Date</t>
  </si>
  <si>
    <t>V4</t>
  </si>
  <si>
    <t>V3.1</t>
  </si>
  <si>
    <t>V2 &amp; Etc</t>
  </si>
  <si>
    <t>Versions</t>
  </si>
  <si>
    <t>Credits</t>
  </si>
  <si>
    <t>References</t>
  </si>
  <si>
    <t>2026-07-31</t>
  </si>
  <si>
    <t>Sector</t>
  </si>
  <si>
    <t>Automotive</t>
  </si>
  <si>
    <t>CVE-2026-54413</t>
  </si>
  <si>
    <t>TuranSec</t>
  </si>
  <si>
    <t>driftregion iso14229 through 0.9.0 contains an integer underflow and downstream out-of-bounds read in the Handle_0x27_SecurityAccess() function in iso14229.c that allows a remote unauthenticated attacker to crash a UDS server and potentially read memory past the receive buffer by sending a single-byte 0x27 SecurityAccess request that follows any earlier well-formed 0x27 message. The handler reads the SecurityAccess subFunction from recv_buf[1] without first checking that recv_len is at least 2, then computes the key-data length as the unsigned subtraction (uint16_t)(recv_len - UDS_0X27_REQ_BASE_LEN); when recv_len equals 1 the result underflows to 65535 and is passed as args.len to the application's SecAccessValidateKey or SecAccessRequestSeed callback, which typically iterates or copies that many bytes from the 4-KB receive buffer. Every other UDS sub-function handler in the library (0x10, 0x11, 0x14, 0x19, 0x22, 0x23, 0x28, and others) performs an explicit recv_len lower-bound check before indexing; Handle_0x27_SecurityAccess is the sole outlier. The vulnerable handler reaches over CAN bus, OBD-II, ISO-TP, and DoIP transports and is exposed in the default diagnostic session without prior authentication; deployments on automotive ECUs, industrial controllers, and IoT devices that ship iso14229 as their UDS server are affected.</t>
  </si>
  <si>
    <t>2026-06-15T15:09:01.438Z</t>
  </si>
  <si>
    <t>2026-06-14T17:38:16.326Z</t>
  </si>
  <si>
    <t>CWE-191 Integer Underflow (Wrap or Wraparound); CWE-125 Out-of-bounds Read</t>
  </si>
  <si>
    <t>7.8 (CVSS:4.0/AV:N/AC:L/AT:N/PR:N/UI:N/VC:L/VI:N/VA:H/SC:N/SI:N/SA:N/E:P/AU:Y/V:D)</t>
  </si>
  <si>
    <t>8.2 (CVSS:3.1/AV:N/AC:L/PR:N/UI:N/S:U/C:L/I:N/A:H)</t>
  </si>
  <si>
    <t>driftregion</t>
  </si>
  <si>
    <t>iso14229</t>
  </si>
  <si>
    <t>0</t>
  </si>
  <si>
    <t>Burxonov Muslimbek</t>
  </si>
  <si>
    <t>https://github.com/driftregion/iso14229
https://github.com/driftregion/iso14229/blob/main/iso14229.c#L1447
https://cwe.mitre.org/data/definitions/191.html
https://cwe.mitre.org/data/definitions/125.html</t>
  </si>
  <si>
    <t>ASRG</t>
  </si>
  <si>
    <t>Remote Keyless Entry System (RKES), using the 433 MHz key fob bearing FCC ID CWTR53R0 manufactured by ALPS ALPINE CO., LTD., is vulnerable to a roll-back attack against its rolling-code authentication. 
An attacker within RF range who records two consecutive lock or unlock transmissions from a legitimate key fob can later replay the same pair of transmissions repeatedly. During testing, replaying the first captured transmission caused the RKES to enter a state in which replaying the second captured transmission resulted in a successful lock or unlock operation of the vehicle. Tested and confirmed on a 2024 Suzuki Swift (SWIFT ISG GLS AC 1.2 5P 4x2 TM).</t>
  </si>
  <si>
    <t>2026-06-26T05:00:00.212Z</t>
  </si>
  <si>
    <t>2026-06-25T14:11:18.921Z</t>
  </si>
  <si>
    <t>Danilo Erazo (Automotive Cybersecurity Researcher)</t>
  </si>
  <si>
    <t>https://fccid.io/CWTR53R0
https://www.asrg.io/security-advisories/cve-2026-49319-suzuki-swift-2024-rkes-rollback-replay</t>
  </si>
  <si>
    <t>Company</t>
  </si>
  <si>
    <t>Hyundai</t>
  </si>
  <si>
    <t>CVE-2025-55618</t>
  </si>
  <si>
    <t>mitre</t>
  </si>
  <si>
    <t>In Hyundai Navigation App STD5W.EUR.HMC.230516.afa908d, an attacker can inject HTML payloads in the profile name field in navigation app which then get rendered.</t>
  </si>
  <si>
    <t>2026-07-05T01:10:22.865Z</t>
  </si>
  <si>
    <t>2025-08-27T00:00:00.000Z</t>
  </si>
  <si>
    <t>CWE-79 Improper Neutralization of Input During Web Page Generation ('Cross-site Scripting')</t>
  </si>
  <si>
    <t>7.3 (CVSS:3.1/AV:N/AC:L/PR:N/UI:N/S:U/C:L/I:L/A:L)</t>
  </si>
  <si>
    <t>n/a</t>
  </si>
  <si>
    <t>https://github.com/MatJosephs/CVEs/tree/main/CVE-2025-55618</t>
  </si>
  <si>
    <t>CVE-2023-39373</t>
  </si>
  <si>
    <t>INCD</t>
  </si>
  <si>
    <t xml:space="preserve">
 A Hyundai model (2017) - CWE-294: Authentication Bypass by Capture-replay.
</t>
  </si>
  <si>
    <t>2024-09-27T15:37:25.930Z</t>
  </si>
  <si>
    <t>2023-09-03T14:45:13.160Z</t>
  </si>
  <si>
    <t>7.4 (CVSS:3.1/AV:A/AC:L/PR:N/UI:N/S:C/C:N/I:N/A:H)</t>
  </si>
  <si>
    <t xml:space="preserve"> Hyundai</t>
  </si>
  <si>
    <t>model (2017)</t>
  </si>
  <si>
    <t>Osher Assor</t>
  </si>
  <si>
    <t>https://www.gov.il/en/Departments/faq/cve_advisories</t>
  </si>
  <si>
    <t>CVE-2023-26246</t>
  </si>
  <si>
    <t>An issue was discovered in the Hyundai Gen5W_L in-vehicle infotainment system AE_E_PE_EUR.S5W_L001.001.211214. The AppUpgrade binary file, which is used during the firmware installation process, can be modified by an attacker to bypass the digital signature check. This indirectly allows an attacker to install custom firmware in the IVI system.</t>
  </si>
  <si>
    <t>2025-01-31T18:56:20.737Z</t>
  </si>
  <si>
    <t>2023-04-27T00:00:00.000Z</t>
  </si>
  <si>
    <t>CWE-863 Incorrect Authorization</t>
  </si>
  <si>
    <t>7.8 (CVSS:3.1/AV:L/AC:L/PR:L/UI:N/S:U/C:H/I:H/A:H)</t>
  </si>
  <si>
    <t>https://sowhat.iit.cnr.it
https://sowhat.iit.cnr.it:8443/can-work/chimaera/-/blob/main/Report/IIT-01-2023.pdf
https://sowhat.iit.cnr.it:8443/can-work/chimaera</t>
  </si>
  <si>
    <t>CVE-2023-26245</t>
  </si>
  <si>
    <t>An issue was discovered in the Hyundai Gen5W_L in-vehicle infotainment system AE_E_PE_EUR.S5W_L001.001.211214. The AppUpgrade binary file, which is used during the firmware installation process, can be modified by an attacker to bypass the version check in order to install any firmware version (e.g., newer, older, or customized). This indirectly allows an attacker to install custom firmware in the IVI system.</t>
  </si>
  <si>
    <t>2025-01-31T18:57:55.466Z</t>
  </si>
  <si>
    <t>Ford</t>
  </si>
  <si>
    <t>CVE-2025-14823</t>
  </si>
  <si>
    <t>ConnectWise</t>
  </si>
  <si>
    <t>In deployments using the ScreenConnect™ Certificate Signing Extension, encrypted configuration values including an Azure Key Vault-related key, could be returned to unauthenticated users through a client-facing endpoint under certain conditions. The values remained encrypted and securely stored at rest; however, an encrypted representation could be exposed in client responses. Updating the Certificate Signing Extension to version 1.0.12 or higher ensures configuration handling occurs exclusively on the server side, preventing encrypted values from being transmitted to or rendered by client-side components.</t>
  </si>
  <si>
    <t>2025-12-18T16:04:17.893Z</t>
  </si>
  <si>
    <t>2025-12-18T15:50:06.929Z</t>
  </si>
  <si>
    <t>CWE-201 Insertion of Sensitive Information Into Sent Data</t>
  </si>
  <si>
    <t>5.3 (CVSS:3.1/AV:N/AC:L/PR:N/UI:N/S:U/C:L/I:N/A:N)</t>
  </si>
  <si>
    <t>ScreenConnect</t>
  </si>
  <si>
    <t>ScreenConnect (all supported versions) when used with the Certificate Signing Extension versions prior to 1.0.12</t>
  </si>
  <si>
    <t>Michael Gilliam (Dean Dorton Allen Ford, PLLC)</t>
  </si>
  <si>
    <t>https://www.connectwise.com/company/trust/security-bulletins/2025-12-18-screenconnect-certificate-signing-extension-update</t>
  </si>
  <si>
    <t>Hardware</t>
  </si>
  <si>
    <t>Controller</t>
  </si>
  <si>
    <t>CVE-2026-9651</t>
  </si>
  <si>
    <t>schneider</t>
  </si>
  <si>
    <t>CWE-732 Incorrect Permission Assignment for Critical Resource vulnerability that could cause unauthorized disclosure of password hashes and potential account compromise when an attacker with privileged local access reads improperly protected system files.</t>
  </si>
  <si>
    <t>2026-06-25T15:49:36.271Z</t>
  </si>
  <si>
    <t>2026-06-25T14:47:24.496Z</t>
  </si>
  <si>
    <t>CWE-732 Incorrect Permission Assignment for Critical Resource</t>
  </si>
  <si>
    <t>6.7 (CVSS:4.0/AV:L/AC:L/AT:N/PR:H/UI:N/VC:H/VI:N/VA:N/SC:N/SI:N/SA:N)</t>
  </si>
  <si>
    <t>Schneider Electric</t>
  </si>
  <si>
    <t>EasyLogic T150 (formerly Saitel DR) Remote Terminal Unit &amp; Controller; Saitel DP Remote Terminal Unit &amp; Controller</t>
  </si>
  <si>
    <t>Version 11.06.31 and prior; Version 11.06.37 and prior</t>
  </si>
  <si>
    <t>https://download.schneider-electric.com/files?p_Doc_Ref=SEVD-2026-160-02&amp;p_enDocType=Security+and+Safety+Notice&amp;p_File_Name=SEVD-2026-160-02.pdf</t>
  </si>
  <si>
    <t>CVE-2026-9650</t>
  </si>
  <si>
    <t>CWE-522 Insufficiently Protected Credentials vulnerability that could cause unauthorized access and exposure of sensitive information when unauthenticated attacker accesses credentials stored within firmware or system files. With this credential an attacker could subsequently compromise the device if they have physical access to the device.</t>
  </si>
  <si>
    <t>2026-06-25T15:49:18.212Z</t>
  </si>
  <si>
    <t>2026-06-25T14:44:30.419Z</t>
  </si>
  <si>
    <t>CWE-522 Insufficiently Protected Credentials</t>
  </si>
  <si>
    <t>8.7 (CVSS:4.0/AV:N/AC:L/AT:N/PR:N/UI:N/VC:H/VI:N/VA:N/SC:N/SI:N/SA:N)</t>
  </si>
  <si>
    <t>Version 11.06.30 and prior; Version 11.06.35 and prior</t>
  </si>
  <si>
    <t>ECU-TEL-001</t>
  </si>
  <si>
    <t>Continental AG</t>
  </si>
  <si>
    <t>Telematics Control Unit TCU-500</t>
  </si>
  <si>
    <t>2.3.1</t>
  </si>
  <si>
    <t>ECU-IVI-001</t>
  </si>
  <si>
    <t>Harman International</t>
  </si>
  <si>
    <t>Infotainment Head Unit IHU-9</t>
  </si>
  <si>
    <t>4.1.0</t>
  </si>
  <si>
    <t>ECU-BRK-001</t>
  </si>
  <si>
    <t>Robert Bosch GmbH</t>
  </si>
  <si>
    <t>Electronic Brake Control Module EBCM-7</t>
  </si>
  <si>
    <t>1.8.2</t>
  </si>
  <si>
    <t>ECU-GTW-001</t>
  </si>
  <si>
    <t>Hyundai Mobis</t>
  </si>
  <si>
    <t>Central Gateway Module CGW-3</t>
  </si>
  <si>
    <t>3.0.4</t>
  </si>
  <si>
    <t>ECU-BCM-001</t>
  </si>
  <si>
    <t>DENSO Corporation</t>
  </si>
  <si>
    <t>Body Control Module BCM-12</t>
  </si>
  <si>
    <t>2.1.0</t>
  </si>
  <si>
    <t>ECU-ADAS-001</t>
  </si>
  <si>
    <t>Mobileye</t>
  </si>
  <si>
    <t>ADAS Camera Controller EyeQ5</t>
  </si>
  <si>
    <t>5.2.1</t>
  </si>
  <si>
    <t>ECU-CHG-001</t>
  </si>
  <si>
    <t>LG Energy Solution</t>
  </si>
  <si>
    <t>EV Charging Control Unit CCU-2</t>
  </si>
  <si>
    <t>1.0.5</t>
  </si>
  <si>
    <t>ECU-PWR-001</t>
  </si>
  <si>
    <t>ZF Friedrichshafen AG</t>
  </si>
  <si>
    <t>Powertrain Control Module PCM-8</t>
  </si>
  <si>
    <t>4.4.0</t>
  </si>
  <si>
    <t>ECU-DIAG-001</t>
  </si>
  <si>
    <t>Vector Informatik GmbH</t>
  </si>
  <si>
    <t>Diagnostic Gateway VX1000</t>
  </si>
  <si>
    <t>3.9.2</t>
  </si>
  <si>
    <t>ECU-V2X-001</t>
  </si>
  <si>
    <t>Autotalks Ltd.</t>
  </si>
  <si>
    <t>V2X Communication Unit CRATON2</t>
  </si>
  <si>
    <t>2.0.0</t>
  </si>
  <si>
    <t>ECU-AVN-001</t>
  </si>
  <si>
    <t>Alpine Electronics, Inc.</t>
  </si>
  <si>
    <t>AVN System X800</t>
  </si>
  <si>
    <t>6.1.3</t>
  </si>
  <si>
    <t>ECU-OTA-001</t>
  </si>
  <si>
    <t>Aptiv PLC</t>
  </si>
  <si>
    <t>OTA Update Manager OTAM-4</t>
  </si>
  <si>
    <t>1.2.0</t>
  </si>
  <si>
    <t>ECU-SEAT-001</t>
  </si>
  <si>
    <t>Lear Corporation</t>
  </si>
  <si>
    <t>Seat Control Module SCM-6</t>
  </si>
  <si>
    <t>1.0.0</t>
  </si>
  <si>
    <t>CVE-2099-00001</t>
  </si>
  <si>
    <t>6.5 (CVSS:3.1/AV:N/AC:L/PR:N/UI:N/S:U/C:L/I:L/A:N)</t>
  </si>
  <si>
    <t>CWE-311 Missing Encryption of Sensitive Data</t>
  </si>
  <si>
    <t>7.4 (CVSS:3.1/AV:N/AC:L/PR:N/UI:N/S:U/C:L/I:L/A:N)</t>
  </si>
  <si>
    <t>CVE-2099-00003</t>
  </si>
  <si>
    <t>CWE-79 Cross-site Scripting</t>
  </si>
  <si>
    <t>5.4 (CVSS:3.1/AV:N/AC:L/PR:N/UI:N/S:U/C:L/I:L/A:N)</t>
  </si>
  <si>
    <t>CVE-2099-00004</t>
  </si>
  <si>
    <t>CWE-125 Out-of-bounds Read</t>
  </si>
  <si>
    <t>8.6 (CVSS:3.1/AV:N/AC:L/PR:N/UI:N/S:U/C:L/I:L/A:N)</t>
  </si>
  <si>
    <t>CVE-2099-00005</t>
  </si>
  <si>
    <t>CWE-306 Missing Authentication for Critical Function</t>
  </si>
  <si>
    <t>9.1 (CVSS:3.1/AV:N/AC:L/PR:N/UI:N/S:U/C:L/I:L/A:N)</t>
  </si>
  <si>
    <t>CVE-2099-00006</t>
  </si>
  <si>
    <t>CWE-798 Use of Hard-coded Credentials</t>
  </si>
  <si>
    <t>9.8 (CVSS:3.1/AV:N/AC:L/PR:N/UI:N/S:U/C:L/I:L/A:N)</t>
  </si>
  <si>
    <t>CVE-2099-00007</t>
  </si>
  <si>
    <t>CWE-20 Improper Input Validation</t>
  </si>
  <si>
    <t>CVE-2099-00008</t>
  </si>
  <si>
    <t>CWE-434 Unrestricted Upload of File with Dangerous Type</t>
  </si>
  <si>
    <t>CVE-2099-00009</t>
  </si>
  <si>
    <t>CWE-732 Incorrect Permission Assignment</t>
  </si>
  <si>
    <t>5.0 (CVSS:3.1/AV:N/AC:L/PR:N/UI:N/S:U/C:L/I:L/A:N)</t>
  </si>
  <si>
    <t>CVE-2099-00010</t>
  </si>
  <si>
    <t>CWE-287 Improper Authentication</t>
  </si>
  <si>
    <t>4.2 (CVSS:3.1/AV:N/AC:L/PR:N/UI:N/S:U/C:L/I:L/A:N)</t>
  </si>
  <si>
    <t>CVE-2099-00026</t>
  </si>
  <si>
    <t>CWE-284 Improper Access Control</t>
  </si>
  <si>
    <t>CVE-2099-00027</t>
  </si>
  <si>
    <t>CVE-2099-00028</t>
  </si>
  <si>
    <t>CWE-770 Allocation of Resources Without Limits</t>
  </si>
  <si>
    <t>9.0 (CVSS:3.1/AV:N/AC:L/PR:N/UI:N/S:U/C:L/I:L/A:N)</t>
  </si>
  <si>
    <t>CVE-2099-00029</t>
  </si>
  <si>
    <t>CWE-1188 Insecure Default Initialization</t>
  </si>
  <si>
    <t>1.2 (CVSS:3.1/AV:N/AC:L/PR:N/UI:N/S:U/C:L/I:L/A:N)</t>
  </si>
  <si>
    <t>CVE-2099-00030</t>
  </si>
  <si>
    <t>CWE-668 Exposure of Resource to Wrong Sphere</t>
  </si>
  <si>
    <t>3.9 (CVSS:3.1/AV:N/AC:L/PR:N/UI:N/S:U/C:L/I:L/A:N)</t>
  </si>
  <si>
    <t>CVE-2099-00011</t>
  </si>
  <si>
    <t>ALPS ALPINE</t>
  </si>
  <si>
    <t>RKES Receiver Unit R53R0</t>
  </si>
  <si>
    <t>6.9 (CVSS:3.1/AV:N/AC:L/PR:N/UI:N/S:U/C:L/I:L/A:N)</t>
  </si>
  <si>
    <t>CVE-2099-00012</t>
  </si>
  <si>
    <t>Continental AG (Automotive Networking)</t>
  </si>
  <si>
    <t>TCU-500 Telematics Unit</t>
  </si>
  <si>
    <t>v2.3.1</t>
  </si>
  <si>
    <t>7.1 (CVSS:3.1/AV:N/AC:L/PR:N/UI:N/S:U/C:L/I:L/A:N)</t>
  </si>
  <si>
    <t>CVE-2099-00013</t>
  </si>
  <si>
    <t>Harman Int'l</t>
  </si>
  <si>
    <t>IHU-9 Infotainment Headunit</t>
  </si>
  <si>
    <t>4.1</t>
  </si>
  <si>
    <t>5.7 (CVSS:3.1/AV:N/AC:L/PR:N/UI:N/S:U/C:L/I:L/A:N)</t>
  </si>
  <si>
    <t>CVE-2099-00014</t>
  </si>
  <si>
    <t>Bosch</t>
  </si>
  <si>
    <t>EBCM-7 Brake Controller</t>
  </si>
  <si>
    <t>1.8</t>
  </si>
  <si>
    <t>8.3 (CVSS:3.1/AV:N/AC:L/PR:N/UI:N/S:U/C:L/I:L/A:N)</t>
  </si>
  <si>
    <t>CVE-2099-00015</t>
  </si>
  <si>
    <t>3.0</t>
  </si>
  <si>
    <t>9.3 (CVSS:3.1/AV:N/AC:L/PR:N/UI:N/S:U/C:L/I:L/A:N)</t>
  </si>
  <si>
    <t>CVE-2099-00016</t>
  </si>
  <si>
    <t>Denso Corp.</t>
  </si>
  <si>
    <t>BCM-12 Body Controller</t>
  </si>
  <si>
    <t>2.1</t>
  </si>
  <si>
    <t>9.6 (CVSS:3.1/AV:N/AC:L/PR:N/UI:N/S:U/C:L/I:L/A:N)</t>
  </si>
  <si>
    <t>CVE-2099-00017</t>
  </si>
  <si>
    <t>Mobileye Vision Technologies</t>
  </si>
  <si>
    <t>EyeQ5 ADAS Camera Module</t>
  </si>
  <si>
    <t>5.2</t>
  </si>
  <si>
    <t>CVE-2099-00018</t>
  </si>
  <si>
    <t>Aptiv</t>
  </si>
  <si>
    <t>OTAM-4 Update Manager</t>
  </si>
  <si>
    <t>1.2</t>
  </si>
  <si>
    <t>8.9 (CVSS:3.1/AV:N/AC:L/PR:N/UI:N/S:U/C:L/I:L/A:N)</t>
  </si>
  <si>
    <t>CVE-2099-00019</t>
  </si>
  <si>
    <t>Vector Informatik</t>
  </si>
  <si>
    <t>VX1000 Diagnostic GW</t>
  </si>
  <si>
    <t>3.9</t>
  </si>
  <si>
    <t>4.8 (CVSS:3.1/AV:N/AC:L/PR:N/UI:N/S:U/C:L/I:L/A:N)</t>
  </si>
  <si>
    <t>CVE-2099-00020</t>
  </si>
  <si>
    <t>Lear Corp</t>
  </si>
  <si>
    <t>SCM-6 Seat Controller</t>
  </si>
  <si>
    <t>1.0</t>
  </si>
  <si>
    <t>CVE-2099-00021</t>
  </si>
  <si>
    <t>CWE-330 Use of Insufficiently Random Values</t>
  </si>
  <si>
    <t>Marelli Corporation</t>
  </si>
  <si>
    <t>LiDAR Sensor Module LSM-3</t>
  </si>
  <si>
    <t>6.8 (CVSS:3.1/AV:N/AC:L/PR:N/UI:N/S:U/C:L/I:L/A:N)</t>
  </si>
  <si>
    <t>CVE-2099-00022</t>
  </si>
  <si>
    <t>CWE-269 Improper Privilege Management</t>
  </si>
  <si>
    <t>NXP Semiconductors</t>
  </si>
  <si>
    <t>Secure Element SE051</t>
  </si>
  <si>
    <t>2.0</t>
  </si>
  <si>
    <t>7.9 (CVSS:3.1/AV:N/AC:L/PR:N/UI:N/S:U/C:L/I:L/A:N)</t>
  </si>
  <si>
    <t>CVE-2099-00023</t>
  </si>
  <si>
    <t>Qualcomm</t>
  </si>
  <si>
    <t>Snapdragon Digital Chassis SDC-8155</t>
  </si>
  <si>
    <t>3.1</t>
  </si>
  <si>
    <t>CVE-2099-00024</t>
  </si>
  <si>
    <t>CWE-400 Uncontrolled Resource Consumption</t>
  </si>
  <si>
    <t>Renesas Electronics</t>
  </si>
  <si>
    <t>RH850 MCU Diagnostic Stack</t>
  </si>
  <si>
    <t>1.5</t>
  </si>
  <si>
    <t>5.5 (CVSS:3.1/AV:N/AC:L/PR:N/UI:N/S:U/C:L/I:L/A:N)</t>
  </si>
  <si>
    <t>CVE-2099-00025</t>
  </si>
  <si>
    <t>CWE-346 Origin Validation Error</t>
  </si>
  <si>
    <t>Blackberry QNX</t>
  </si>
  <si>
    <t>QNX Hypervisor</t>
  </si>
  <si>
    <t>2.2.1</t>
  </si>
  <si>
    <r>
      <t xml:space="preserve"> </t>
    </r>
    <r>
      <rPr>
        <sz val="11"/>
        <color rgb="FFFF0000"/>
        <rFont val="나눔고딕"/>
        <family val="3"/>
        <charset val="129"/>
      </rPr>
      <t>※</t>
    </r>
    <r>
      <rPr>
        <sz val="11"/>
        <color rgb="FFFF0000"/>
        <rFont val="Times New Roman"/>
        <family val="1"/>
      </rPr>
      <t xml:space="preserve"> </t>
    </r>
    <r>
      <rPr>
        <sz val="11"/>
        <color rgb="FFFF0000"/>
        <rFont val="나눔고딕"/>
        <family val="3"/>
        <charset val="129"/>
      </rPr>
      <t>오픈된</t>
    </r>
    <r>
      <rPr>
        <sz val="11"/>
        <color rgb="FFFF0000"/>
        <rFont val="Times New Roman"/>
        <family val="1"/>
      </rPr>
      <t xml:space="preserve"> </t>
    </r>
    <r>
      <rPr>
        <sz val="11"/>
        <color rgb="FFFF0000"/>
        <rFont val="나눔고딕"/>
        <family val="3"/>
        <charset val="129"/>
      </rPr>
      <t>엑셀</t>
    </r>
    <r>
      <rPr>
        <sz val="11"/>
        <color rgb="FFFF0000"/>
        <rFont val="Times New Roman"/>
        <family val="1"/>
      </rPr>
      <t xml:space="preserve"> </t>
    </r>
    <r>
      <rPr>
        <sz val="11"/>
        <color rgb="FFFF0000"/>
        <rFont val="나눔고딕"/>
        <family val="3"/>
        <charset val="129"/>
      </rPr>
      <t>파일만</t>
    </r>
    <r>
      <rPr>
        <sz val="11"/>
        <color rgb="FFFF0000"/>
        <rFont val="Times New Roman"/>
        <family val="1"/>
      </rPr>
      <t xml:space="preserve"> </t>
    </r>
    <r>
      <rPr>
        <sz val="11"/>
        <color rgb="FFFF0000"/>
        <rFont val="나눔고딕"/>
        <family val="3"/>
        <charset val="129"/>
      </rPr>
      <t>대상으로</t>
    </r>
    <r>
      <rPr>
        <sz val="11"/>
        <color rgb="FFFF0000"/>
        <rFont val="Times New Roman"/>
        <family val="1"/>
      </rPr>
      <t xml:space="preserve"> </t>
    </r>
    <r>
      <rPr>
        <sz val="11"/>
        <color rgb="FFFF0000"/>
        <rFont val="나눔고딕"/>
        <family val="3"/>
        <charset val="129"/>
      </rPr>
      <t>선택</t>
    </r>
    <r>
      <rPr>
        <sz val="11"/>
        <color rgb="FFFF0000"/>
        <rFont val="Times New Roman"/>
        <family val="1"/>
      </rPr>
      <t xml:space="preserve"> (</t>
    </r>
    <r>
      <rPr>
        <sz val="11"/>
        <color rgb="FFFF0000"/>
        <rFont val="나눔고딕"/>
        <family val="3"/>
        <charset val="129"/>
      </rPr>
      <t>선택</t>
    </r>
    <r>
      <rPr>
        <sz val="11"/>
        <color rgb="FFFF0000"/>
        <rFont val="Times New Roman"/>
        <family val="1"/>
      </rPr>
      <t xml:space="preserve"> </t>
    </r>
    <r>
      <rPr>
        <sz val="11"/>
        <color rgb="FFFF0000"/>
        <rFont val="나눔고딕"/>
        <family val="3"/>
        <charset val="129"/>
      </rPr>
      <t>디폴트는</t>
    </r>
    <r>
      <rPr>
        <sz val="11"/>
        <color rgb="FFFF0000"/>
        <rFont val="Times New Roman"/>
        <family val="1"/>
      </rPr>
      <t xml:space="preserve"> </t>
    </r>
    <r>
      <rPr>
        <sz val="11"/>
        <color rgb="FFFF0000"/>
        <rFont val="나눔고딕"/>
        <family val="3"/>
        <charset val="129"/>
      </rPr>
      <t>현재</t>
    </r>
    <r>
      <rPr>
        <sz val="11"/>
        <color rgb="FFFF0000"/>
        <rFont val="Times New Roman"/>
        <family val="1"/>
      </rPr>
      <t xml:space="preserve"> </t>
    </r>
    <r>
      <rPr>
        <sz val="11"/>
        <color rgb="FFFF0000"/>
        <rFont val="나눔고딕"/>
        <family val="3"/>
        <charset val="129"/>
      </rPr>
      <t>파일</t>
    </r>
    <r>
      <rPr>
        <sz val="11"/>
        <color rgb="FFFF0000"/>
        <rFont val="Times New Roman"/>
        <family val="1"/>
      </rPr>
      <t>)</t>
    </r>
  </si>
  <si>
    <r>
      <rPr>
        <sz val="10"/>
        <color theme="1"/>
        <rFont val="나눔고딕"/>
        <family val="3"/>
        <charset val="129"/>
      </rPr>
      <t>나눔고딕</t>
    </r>
  </si>
  <si>
    <t>Times New Roman</t>
  </si>
  <si>
    <t>fullPath</t>
  </si>
  <si>
    <r>
      <t>(</t>
    </r>
    <r>
      <rPr>
        <sz val="10"/>
        <color theme="1"/>
        <rFont val="나눔고딕"/>
        <family val="3"/>
        <charset val="129"/>
      </rPr>
      <t>미적용</t>
    </r>
    <r>
      <rPr>
        <sz val="10"/>
        <color theme="1"/>
        <rFont val="Times New Roman"/>
        <family val="1"/>
      </rPr>
      <t>)</t>
    </r>
  </si>
  <si>
    <r>
      <rPr>
        <sz val="10"/>
        <color theme="1"/>
        <rFont val="나눔고딕"/>
        <family val="3"/>
        <charset val="129"/>
      </rPr>
      <t>번호</t>
    </r>
  </si>
  <si>
    <r>
      <rPr>
        <sz val="10"/>
        <color theme="1"/>
        <rFont val="나눔고딕"/>
        <family val="3"/>
        <charset val="129"/>
      </rPr>
      <t>워크시트</t>
    </r>
  </si>
  <si>
    <r>
      <rPr>
        <sz val="10"/>
        <color theme="1"/>
        <rFont val="나눔고딕"/>
        <family val="3"/>
        <charset val="129"/>
      </rPr>
      <t>설명</t>
    </r>
  </si>
  <si>
    <r>
      <rPr>
        <sz val="10"/>
        <color theme="1"/>
        <rFont val="나눔고딕"/>
        <family val="3"/>
        <charset val="129"/>
      </rPr>
      <t>비고</t>
    </r>
  </si>
  <si>
    <t>wsList</t>
  </si>
  <si>
    <r>
      <rPr>
        <sz val="10"/>
        <color theme="1"/>
        <rFont val="나눔고딕"/>
        <family val="3"/>
        <charset val="129"/>
      </rPr>
      <t>내비게이션</t>
    </r>
    <r>
      <rPr>
        <sz val="10"/>
        <color theme="1"/>
        <rFont val="Times New Roman"/>
        <family val="1"/>
      </rPr>
      <t xml:space="preserve"> </t>
    </r>
    <r>
      <rPr>
        <sz val="10"/>
        <color theme="1"/>
        <rFont val="나눔고딕"/>
        <family val="3"/>
        <charset val="129"/>
      </rPr>
      <t>시트</t>
    </r>
  </si>
  <si>
    <t>Encrypt</t>
  </si>
  <si>
    <r>
      <rPr>
        <sz val="10"/>
        <color theme="1"/>
        <rFont val="나눔고딕"/>
        <family val="3"/>
        <charset val="129"/>
      </rPr>
      <t>워크시트</t>
    </r>
    <r>
      <rPr>
        <sz val="10"/>
        <color theme="1"/>
        <rFont val="Times New Roman"/>
        <family val="1"/>
      </rPr>
      <t xml:space="preserve"> </t>
    </r>
    <r>
      <rPr>
        <sz val="10"/>
        <color theme="1"/>
        <rFont val="나눔고딕"/>
        <family val="3"/>
        <charset val="129"/>
      </rPr>
      <t>암호</t>
    </r>
    <r>
      <rPr>
        <sz val="10"/>
        <color theme="1"/>
        <rFont val="Times New Roman"/>
        <family val="1"/>
      </rPr>
      <t xml:space="preserve"> </t>
    </r>
    <r>
      <rPr>
        <sz val="10"/>
        <color theme="1"/>
        <rFont val="나눔고딕"/>
        <family val="3"/>
        <charset val="129"/>
      </rPr>
      <t>설정</t>
    </r>
  </si>
  <si>
    <t>Variant</t>
    <phoneticPr fontId="16" type="noConversion"/>
  </si>
  <si>
    <t>Boolean</t>
    <phoneticPr fontId="16" type="noConversion"/>
  </si>
  <si>
    <t>Boolean</t>
    <phoneticPr fontId="16" type="noConversion"/>
  </si>
  <si>
    <t>No</t>
    <phoneticPr fontId="16" type="noConversion"/>
  </si>
  <si>
    <t>Sheets</t>
    <phoneticPr fontId="16" type="noConversion"/>
  </si>
  <si>
    <t>Encrypt</t>
    <phoneticPr fontId="16" type="noConversion"/>
  </si>
  <si>
    <t>InputColorRGB</t>
  </si>
  <si>
    <t>ForceFullLock_NoException</t>
  </si>
  <si>
    <t>UserInterfaceOnly</t>
  </si>
  <si>
    <r>
      <rPr>
        <b/>
        <sz val="10"/>
        <color rgb="FFFFFFFF"/>
        <rFont val="나눔고딕"/>
        <family val="3"/>
        <charset val="129"/>
      </rPr>
      <t>파라미터명</t>
    </r>
  </si>
  <si>
    <r>
      <rPr>
        <b/>
        <sz val="10"/>
        <color rgb="FFFFFFFF"/>
        <rFont val="나눔고딕"/>
        <family val="3"/>
        <charset val="129"/>
      </rPr>
      <t>타입</t>
    </r>
  </si>
  <si>
    <r>
      <rPr>
        <b/>
        <sz val="10"/>
        <color rgb="FFFFFFFF"/>
        <rFont val="나눔고딕"/>
        <family val="3"/>
        <charset val="129"/>
      </rPr>
      <t>기본값</t>
    </r>
  </si>
  <si>
    <r>
      <rPr>
        <b/>
        <sz val="10"/>
        <color rgb="FFFFFFFF"/>
        <rFont val="나눔고딕"/>
        <family val="3"/>
        <charset val="129"/>
      </rPr>
      <t>필수여부</t>
    </r>
  </si>
  <si>
    <r>
      <rPr>
        <b/>
        <sz val="10"/>
        <color rgb="FFFFFFFF"/>
        <rFont val="나눔고딕"/>
        <family val="3"/>
        <charset val="129"/>
      </rPr>
      <t>기능</t>
    </r>
    <r>
      <rPr>
        <b/>
        <sz val="10"/>
        <color rgb="FFFFFFFF"/>
        <rFont val="Times New Roman"/>
        <family val="1"/>
      </rPr>
      <t xml:space="preserve"> </t>
    </r>
    <r>
      <rPr>
        <b/>
        <sz val="10"/>
        <color rgb="FFFFFFFF"/>
        <rFont val="나눔고딕"/>
        <family val="3"/>
        <charset val="129"/>
      </rPr>
      <t>설명</t>
    </r>
  </si>
  <si>
    <r>
      <rPr>
        <b/>
        <sz val="10"/>
        <color rgb="FFFFFFFF"/>
        <rFont val="나눔고딕"/>
        <family val="3"/>
        <charset val="129"/>
      </rPr>
      <t>사용</t>
    </r>
    <r>
      <rPr>
        <b/>
        <sz val="10"/>
        <color rgb="FFFFFFFF"/>
        <rFont val="Times New Roman"/>
        <family val="1"/>
      </rPr>
      <t xml:space="preserve"> </t>
    </r>
    <r>
      <rPr>
        <b/>
        <sz val="10"/>
        <color rgb="FFFFFFFF"/>
        <rFont val="나눔고딕"/>
        <family val="3"/>
        <charset val="129"/>
      </rPr>
      <t>예시</t>
    </r>
  </si>
  <si>
    <t>ws</t>
  </si>
  <si>
    <t>Worksheet</t>
  </si>
  <si>
    <r>
      <t>(</t>
    </r>
    <r>
      <rPr>
        <sz val="10"/>
        <rFont val="나눔고딕"/>
        <family val="3"/>
        <charset val="129"/>
      </rPr>
      <t>필수</t>
    </r>
    <r>
      <rPr>
        <sz val="10"/>
        <rFont val="Times New Roman"/>
        <family val="1"/>
      </rPr>
      <t>)</t>
    </r>
  </si>
  <si>
    <r>
      <rPr>
        <sz val="10"/>
        <rFont val="나눔고딕"/>
        <family val="3"/>
        <charset val="129"/>
      </rPr>
      <t>잠금</t>
    </r>
    <r>
      <rPr>
        <sz val="10"/>
        <rFont val="Times New Roman"/>
        <family val="1"/>
      </rPr>
      <t xml:space="preserve"> </t>
    </r>
    <r>
      <rPr>
        <sz val="10"/>
        <rFont val="나눔고딕"/>
        <family val="3"/>
        <charset val="129"/>
      </rPr>
      <t>처리</t>
    </r>
    <r>
      <rPr>
        <sz val="10"/>
        <rFont val="Times New Roman"/>
        <family val="1"/>
      </rPr>
      <t xml:space="preserve"> </t>
    </r>
    <r>
      <rPr>
        <sz val="10"/>
        <rFont val="나눔고딕"/>
        <family val="3"/>
        <charset val="129"/>
      </rPr>
      <t>대상</t>
    </r>
    <r>
      <rPr>
        <sz val="10"/>
        <rFont val="Times New Roman"/>
        <family val="1"/>
      </rPr>
      <t xml:space="preserve"> </t>
    </r>
    <r>
      <rPr>
        <sz val="10"/>
        <rFont val="나눔고딕"/>
        <family val="3"/>
        <charset val="129"/>
      </rPr>
      <t>워크시트</t>
    </r>
    <r>
      <rPr>
        <sz val="10"/>
        <rFont val="Times New Roman"/>
        <family val="1"/>
      </rPr>
      <t xml:space="preserve"> </t>
    </r>
    <r>
      <rPr>
        <sz val="10"/>
        <rFont val="나눔고딕"/>
        <family val="3"/>
        <charset val="129"/>
      </rPr>
      <t>객체</t>
    </r>
  </si>
  <si>
    <t>wsProtect_template(Worksheets("TARA_Report"))</t>
  </si>
  <si>
    <t>Password</t>
  </si>
  <si>
    <t>String</t>
  </si>
  <si>
    <t>Const</t>
    <phoneticPr fontId="16" type="noConversion"/>
  </si>
  <si>
    <r>
      <rPr>
        <sz val="10"/>
        <rFont val="나눔고딕"/>
        <family val="3"/>
        <charset val="129"/>
      </rPr>
      <t>시트</t>
    </r>
    <r>
      <rPr>
        <sz val="10"/>
        <rFont val="Times New Roman"/>
        <family val="1"/>
      </rPr>
      <t xml:space="preserve"> </t>
    </r>
    <r>
      <rPr>
        <sz val="10"/>
        <rFont val="나눔고딕"/>
        <family val="3"/>
        <charset val="129"/>
      </rPr>
      <t>보호</t>
    </r>
    <r>
      <rPr>
        <sz val="10"/>
        <rFont val="Times New Roman"/>
        <family val="1"/>
      </rPr>
      <t xml:space="preserve">(Unprotect </t>
    </r>
    <r>
      <rPr>
        <sz val="10"/>
        <rFont val="나눔고딕"/>
        <family val="3"/>
        <charset val="129"/>
      </rPr>
      <t>포함</t>
    </r>
    <r>
      <rPr>
        <sz val="10"/>
        <rFont val="Times New Roman"/>
        <family val="1"/>
      </rPr>
      <t xml:space="preserve">) </t>
    </r>
    <r>
      <rPr>
        <sz val="10"/>
        <rFont val="나눔고딕"/>
        <family val="3"/>
        <charset val="129"/>
      </rPr>
      <t>시</t>
    </r>
    <r>
      <rPr>
        <sz val="10"/>
        <rFont val="Times New Roman"/>
        <family val="1"/>
      </rPr>
      <t xml:space="preserve"> </t>
    </r>
    <r>
      <rPr>
        <sz val="10"/>
        <rFont val="나눔고딕"/>
        <family val="3"/>
        <charset val="129"/>
      </rPr>
      <t>사용할</t>
    </r>
    <r>
      <rPr>
        <sz val="10"/>
        <rFont val="Times New Roman"/>
        <family val="1"/>
      </rPr>
      <t xml:space="preserve"> </t>
    </r>
    <r>
      <rPr>
        <sz val="10"/>
        <rFont val="나눔고딕"/>
        <family val="3"/>
        <charset val="129"/>
      </rPr>
      <t>암호</t>
    </r>
  </si>
  <si>
    <t>Password:="MyPwd2026"</t>
  </si>
  <si>
    <t>InputColorRGB</t>
    <phoneticPr fontId="16" type="noConversion"/>
  </si>
  <si>
    <t>Variant</t>
  </si>
  <si>
    <t>Empty</t>
  </si>
  <si>
    <r>
      <rPr>
        <sz val="10"/>
        <rFont val="나눔고딕"/>
        <family val="3"/>
        <charset val="129"/>
      </rPr>
      <t>선택</t>
    </r>
  </si>
  <si>
    <r>
      <rPr>
        <sz val="10"/>
        <rFont val="나눔고딕"/>
        <family val="3"/>
        <charset val="129"/>
      </rPr>
      <t>입력셀로</t>
    </r>
    <r>
      <rPr>
        <sz val="10"/>
        <rFont val="Times New Roman"/>
        <family val="1"/>
      </rPr>
      <t xml:space="preserve"> </t>
    </r>
    <r>
      <rPr>
        <sz val="10"/>
        <rFont val="나눔고딕"/>
        <family val="3"/>
        <charset val="129"/>
      </rPr>
      <t>인식할</t>
    </r>
    <r>
      <rPr>
        <sz val="10"/>
        <rFont val="Times New Roman"/>
        <family val="1"/>
      </rPr>
      <t xml:space="preserve"> </t>
    </r>
    <r>
      <rPr>
        <sz val="10"/>
        <rFont val="나눔고딕"/>
        <family val="3"/>
        <charset val="129"/>
      </rPr>
      <t>채우기색의</t>
    </r>
    <r>
      <rPr>
        <sz val="10"/>
        <rFont val="Times New Roman"/>
        <family val="1"/>
      </rPr>
      <t xml:space="preserve"> RGB Long</t>
    </r>
    <r>
      <rPr>
        <sz val="10"/>
        <rFont val="나눔고딕"/>
        <family val="3"/>
        <charset val="129"/>
      </rPr>
      <t>값</t>
    </r>
    <r>
      <rPr>
        <sz val="10"/>
        <rFont val="Times New Roman"/>
        <family val="1"/>
      </rPr>
      <t>. Empty</t>
    </r>
    <r>
      <rPr>
        <sz val="10"/>
        <rFont val="나눔고딕"/>
        <family val="3"/>
        <charset val="129"/>
      </rPr>
      <t>면</t>
    </r>
    <r>
      <rPr>
        <sz val="10"/>
        <rFont val="Times New Roman"/>
        <family val="1"/>
      </rPr>
      <t xml:space="preserve"> </t>
    </r>
    <r>
      <rPr>
        <sz val="10"/>
        <rFont val="나눔고딕"/>
        <family val="3"/>
        <charset val="129"/>
      </rPr>
      <t>색상</t>
    </r>
    <r>
      <rPr>
        <sz val="10"/>
        <rFont val="Times New Roman"/>
        <family val="1"/>
      </rPr>
      <t xml:space="preserve"> </t>
    </r>
    <r>
      <rPr>
        <sz val="10"/>
        <rFont val="나눔고딕"/>
        <family val="3"/>
        <charset val="129"/>
      </rPr>
      <t>스캔</t>
    </r>
    <r>
      <rPr>
        <sz val="10"/>
        <rFont val="Times New Roman"/>
        <family val="1"/>
      </rPr>
      <t xml:space="preserve"> </t>
    </r>
    <r>
      <rPr>
        <sz val="10"/>
        <rFont val="나눔고딕"/>
        <family val="3"/>
        <charset val="129"/>
      </rPr>
      <t>생략</t>
    </r>
    <r>
      <rPr>
        <sz val="10"/>
        <rFont val="Times New Roman"/>
        <family val="1"/>
      </rPr>
      <t>(</t>
    </r>
    <r>
      <rPr>
        <sz val="10"/>
        <rFont val="나눔고딕"/>
        <family val="3"/>
        <charset val="129"/>
      </rPr>
      <t>기존</t>
    </r>
    <r>
      <rPr>
        <sz val="10"/>
        <rFont val="Times New Roman"/>
        <family val="1"/>
      </rPr>
      <t xml:space="preserve"> Locked </t>
    </r>
    <r>
      <rPr>
        <sz val="10"/>
        <rFont val="나눔고딕"/>
        <family val="3"/>
        <charset val="129"/>
      </rPr>
      <t>상태</t>
    </r>
    <r>
      <rPr>
        <sz val="10"/>
        <rFont val="Times New Roman"/>
        <family val="1"/>
      </rPr>
      <t xml:space="preserve"> </t>
    </r>
    <r>
      <rPr>
        <sz val="10"/>
        <rFont val="나눔고딕"/>
        <family val="3"/>
        <charset val="129"/>
      </rPr>
      <t>유지</t>
    </r>
    <r>
      <rPr>
        <sz val="10"/>
        <rFont val="Times New Roman"/>
        <family val="1"/>
      </rPr>
      <t xml:space="preserve">). </t>
    </r>
    <r>
      <rPr>
        <sz val="10"/>
        <rFont val="나눔고딕"/>
        <family val="3"/>
        <charset val="129"/>
      </rPr>
      <t>노란색</t>
    </r>
    <r>
      <rPr>
        <sz val="10"/>
        <rFont val="Times New Roman"/>
        <family val="1"/>
      </rPr>
      <t>(255,255,0)</t>
    </r>
    <r>
      <rPr>
        <sz val="10"/>
        <rFont val="나눔고딕"/>
        <family val="3"/>
        <charset val="129"/>
      </rPr>
      <t>은</t>
    </r>
    <r>
      <rPr>
        <sz val="10"/>
        <rFont val="Times New Roman"/>
        <family val="1"/>
      </rPr>
      <t xml:space="preserve"> 65535</t>
    </r>
  </si>
  <si>
    <t>InputColorRGB:=65535</t>
  </si>
  <si>
    <t>Boolean</t>
  </si>
  <si>
    <t>False</t>
  </si>
  <si>
    <r>
      <t xml:space="preserve">True </t>
    </r>
    <r>
      <rPr>
        <sz val="10"/>
        <rFont val="나눔고딕"/>
        <family val="3"/>
        <charset val="129"/>
      </rPr>
      <t>시</t>
    </r>
    <r>
      <rPr>
        <sz val="10"/>
        <rFont val="Times New Roman"/>
        <family val="1"/>
      </rPr>
      <t xml:space="preserve"> </t>
    </r>
    <r>
      <rPr>
        <sz val="10"/>
        <rFont val="나눔고딕"/>
        <family val="3"/>
        <charset val="129"/>
      </rPr>
      <t>색상과</t>
    </r>
    <r>
      <rPr>
        <sz val="10"/>
        <rFont val="Times New Roman"/>
        <family val="1"/>
      </rPr>
      <t xml:space="preserve"> </t>
    </r>
    <r>
      <rPr>
        <sz val="10"/>
        <rFont val="나눔고딕"/>
        <family val="3"/>
        <charset val="129"/>
      </rPr>
      <t>무관하게</t>
    </r>
    <r>
      <rPr>
        <sz val="10"/>
        <rFont val="Times New Roman"/>
        <family val="1"/>
      </rPr>
      <t xml:space="preserve"> </t>
    </r>
    <r>
      <rPr>
        <sz val="10"/>
        <rFont val="나눔고딕"/>
        <family val="3"/>
        <charset val="129"/>
      </rPr>
      <t>시트</t>
    </r>
    <r>
      <rPr>
        <sz val="10"/>
        <rFont val="Times New Roman"/>
        <family val="1"/>
      </rPr>
      <t xml:space="preserve"> </t>
    </r>
    <r>
      <rPr>
        <sz val="10"/>
        <rFont val="나눔고딕"/>
        <family val="3"/>
        <charset val="129"/>
      </rPr>
      <t>전체를</t>
    </r>
    <r>
      <rPr>
        <sz val="10"/>
        <rFont val="Times New Roman"/>
        <family val="1"/>
      </rPr>
      <t xml:space="preserve"> </t>
    </r>
    <r>
      <rPr>
        <sz val="10"/>
        <rFont val="나눔고딕"/>
        <family val="3"/>
        <charset val="129"/>
      </rPr>
      <t>예외</t>
    </r>
    <r>
      <rPr>
        <sz val="10"/>
        <rFont val="Times New Roman"/>
        <family val="1"/>
      </rPr>
      <t xml:space="preserve"> </t>
    </r>
    <r>
      <rPr>
        <sz val="10"/>
        <rFont val="나눔고딕"/>
        <family val="3"/>
        <charset val="129"/>
      </rPr>
      <t>없이</t>
    </r>
    <r>
      <rPr>
        <sz val="10"/>
        <rFont val="Times New Roman"/>
        <family val="1"/>
      </rPr>
      <t xml:space="preserve"> </t>
    </r>
    <r>
      <rPr>
        <sz val="10"/>
        <rFont val="나눔고딕"/>
        <family val="3"/>
        <charset val="129"/>
      </rPr>
      <t>잠금</t>
    </r>
    <r>
      <rPr>
        <sz val="10"/>
        <rFont val="Times New Roman"/>
        <family val="1"/>
      </rPr>
      <t>/</t>
    </r>
    <r>
      <rPr>
        <sz val="10"/>
        <color rgb="FFFF0000"/>
        <rFont val="Times New Roman"/>
        <family val="1"/>
      </rPr>
      <t xml:space="preserve">False </t>
    </r>
    <r>
      <rPr>
        <sz val="10"/>
        <color rgb="FFFF0000"/>
        <rFont val="나눔고딕"/>
        <family val="3"/>
        <charset val="129"/>
      </rPr>
      <t>시</t>
    </r>
    <r>
      <rPr>
        <sz val="10"/>
        <color rgb="FFFF0000"/>
        <rFont val="Times New Roman"/>
        <family val="1"/>
      </rPr>
      <t xml:space="preserve">, InputColorRGB </t>
    </r>
    <r>
      <rPr>
        <sz val="10"/>
        <color rgb="FFFF0000"/>
        <rFont val="나눔고딕"/>
        <family val="3"/>
        <charset val="129"/>
      </rPr>
      <t>조건에</t>
    </r>
    <r>
      <rPr>
        <sz val="10"/>
        <color rgb="FFFF0000"/>
        <rFont val="Times New Roman"/>
        <family val="1"/>
      </rPr>
      <t xml:space="preserve"> </t>
    </r>
    <r>
      <rPr>
        <sz val="10"/>
        <color rgb="FFFF0000"/>
        <rFont val="나눔고딕"/>
        <family val="3"/>
        <charset val="129"/>
      </rPr>
      <t>따름</t>
    </r>
    <r>
      <rPr>
        <sz val="10"/>
        <rFont val="Times New Roman"/>
        <family val="1"/>
      </rPr>
      <t xml:space="preserve">
Ref.* </t>
    </r>
    <r>
      <rPr>
        <sz val="10"/>
        <rFont val="나눔고딕"/>
        <family val="3"/>
        <charset val="129"/>
      </rPr>
      <t>시트처럼</t>
    </r>
    <r>
      <rPr>
        <sz val="10"/>
        <rFont val="Times New Roman"/>
        <family val="1"/>
      </rPr>
      <t xml:space="preserve"> </t>
    </r>
    <r>
      <rPr>
        <sz val="10"/>
        <rFont val="나눔고딕"/>
        <family val="3"/>
        <charset val="129"/>
      </rPr>
      <t>편집모드가</t>
    </r>
    <r>
      <rPr>
        <sz val="10"/>
        <rFont val="Times New Roman"/>
        <family val="1"/>
      </rPr>
      <t xml:space="preserve"> </t>
    </r>
    <r>
      <rPr>
        <sz val="10"/>
        <rFont val="나눔고딕"/>
        <family val="3"/>
        <charset val="129"/>
      </rPr>
      <t>아니면</t>
    </r>
    <r>
      <rPr>
        <sz val="10"/>
        <rFont val="Times New Roman"/>
        <family val="1"/>
      </rPr>
      <t xml:space="preserve"> </t>
    </r>
    <r>
      <rPr>
        <sz val="10"/>
        <rFont val="나눔고딕"/>
        <family val="3"/>
        <charset val="129"/>
      </rPr>
      <t>전부</t>
    </r>
    <r>
      <rPr>
        <sz val="10"/>
        <rFont val="Times New Roman"/>
        <family val="1"/>
      </rPr>
      <t xml:space="preserve"> </t>
    </r>
    <r>
      <rPr>
        <sz val="10"/>
        <rFont val="나눔고딕"/>
        <family val="3"/>
        <charset val="129"/>
      </rPr>
      <t>잠가야</t>
    </r>
    <r>
      <rPr>
        <sz val="10"/>
        <rFont val="Times New Roman"/>
        <family val="1"/>
      </rPr>
      <t xml:space="preserve"> </t>
    </r>
    <r>
      <rPr>
        <sz val="10"/>
        <rFont val="나눔고딕"/>
        <family val="3"/>
        <charset val="129"/>
      </rPr>
      <t>하는</t>
    </r>
    <r>
      <rPr>
        <sz val="10"/>
        <rFont val="Times New Roman"/>
        <family val="1"/>
      </rPr>
      <t xml:space="preserve"> </t>
    </r>
    <r>
      <rPr>
        <sz val="10"/>
        <rFont val="나눔고딕"/>
        <family val="3"/>
        <charset val="129"/>
      </rPr>
      <t>경우</t>
    </r>
    <r>
      <rPr>
        <sz val="10"/>
        <rFont val="Times New Roman"/>
        <family val="1"/>
      </rPr>
      <t xml:space="preserve"> </t>
    </r>
    <r>
      <rPr>
        <sz val="10"/>
        <rFont val="나눔고딕"/>
        <family val="3"/>
        <charset val="129"/>
      </rPr>
      <t>사용</t>
    </r>
    <phoneticPr fontId="16" type="noConversion"/>
  </si>
  <si>
    <t>ForceFullLock_NoException:=True</t>
  </si>
  <si>
    <t>UserInterfaceOnly:=True</t>
  </si>
  <si>
    <t>AllowFormatting:=True</t>
  </si>
  <si>
    <r>
      <rPr>
        <sz val="10"/>
        <rFont val="나눔고딕"/>
        <family val="3"/>
        <charset val="129"/>
      </rPr>
      <t>행</t>
    </r>
    <r>
      <rPr>
        <sz val="10"/>
        <rFont val="Times New Roman"/>
        <family val="1"/>
      </rPr>
      <t>/</t>
    </r>
    <r>
      <rPr>
        <sz val="10"/>
        <rFont val="나눔고딕"/>
        <family val="3"/>
        <charset val="129"/>
      </rPr>
      <t>열</t>
    </r>
    <r>
      <rPr>
        <sz val="10"/>
        <rFont val="Times New Roman"/>
        <family val="1"/>
      </rPr>
      <t xml:space="preserve"> </t>
    </r>
    <r>
      <rPr>
        <sz val="10"/>
        <rFont val="나눔고딕"/>
        <family val="3"/>
        <charset val="129"/>
      </rPr>
      <t>삽입</t>
    </r>
    <r>
      <rPr>
        <sz val="10"/>
        <rFont val="Times New Roman"/>
        <family val="1"/>
      </rPr>
      <t xml:space="preserve"> </t>
    </r>
    <r>
      <rPr>
        <sz val="10"/>
        <rFont val="나눔고딕"/>
        <family val="3"/>
        <charset val="129"/>
      </rPr>
      <t>허용</t>
    </r>
    <r>
      <rPr>
        <sz val="10"/>
        <rFont val="Times New Roman"/>
        <family val="1"/>
      </rPr>
      <t xml:space="preserve"> </t>
    </r>
    <r>
      <rPr>
        <sz val="10"/>
        <rFont val="나눔고딕"/>
        <family val="3"/>
        <charset val="129"/>
      </rPr>
      <t>여부</t>
    </r>
    <r>
      <rPr>
        <sz val="10"/>
        <rFont val="Times New Roman"/>
        <family val="1"/>
      </rPr>
      <t xml:space="preserve"> (2</t>
    </r>
    <r>
      <rPr>
        <sz val="10"/>
        <rFont val="나눔고딕"/>
        <family val="3"/>
        <charset val="129"/>
      </rPr>
      <t>개</t>
    </r>
    <r>
      <rPr>
        <sz val="10"/>
        <rFont val="Times New Roman"/>
        <family val="1"/>
      </rPr>
      <t xml:space="preserve"> </t>
    </r>
    <r>
      <rPr>
        <sz val="10"/>
        <rFont val="나눔고딕"/>
        <family val="3"/>
        <charset val="129"/>
      </rPr>
      <t>옵션</t>
    </r>
    <r>
      <rPr>
        <sz val="10"/>
        <rFont val="Times New Roman"/>
        <family val="1"/>
      </rPr>
      <t xml:space="preserve"> </t>
    </r>
    <r>
      <rPr>
        <sz val="10"/>
        <rFont val="나눔고딕"/>
        <family val="3"/>
        <charset val="129"/>
      </rPr>
      <t>통합</t>
    </r>
    <r>
      <rPr>
        <sz val="10"/>
        <rFont val="Times New Roman"/>
        <family val="1"/>
      </rPr>
      <t>)</t>
    </r>
  </si>
  <si>
    <t>AllowInserting:=False</t>
  </si>
  <si>
    <r>
      <rPr>
        <sz val="10"/>
        <rFont val="나눔고딕"/>
        <family val="3"/>
        <charset val="129"/>
      </rPr>
      <t>행</t>
    </r>
    <r>
      <rPr>
        <sz val="10"/>
        <rFont val="Times New Roman"/>
        <family val="1"/>
      </rPr>
      <t>/</t>
    </r>
    <r>
      <rPr>
        <sz val="10"/>
        <rFont val="나눔고딕"/>
        <family val="3"/>
        <charset val="129"/>
      </rPr>
      <t>열</t>
    </r>
    <r>
      <rPr>
        <sz val="10"/>
        <rFont val="Times New Roman"/>
        <family val="1"/>
      </rPr>
      <t xml:space="preserve"> </t>
    </r>
    <r>
      <rPr>
        <sz val="10"/>
        <rFont val="나눔고딕"/>
        <family val="3"/>
        <charset val="129"/>
      </rPr>
      <t>삭제</t>
    </r>
    <r>
      <rPr>
        <sz val="10"/>
        <rFont val="Times New Roman"/>
        <family val="1"/>
      </rPr>
      <t xml:space="preserve"> </t>
    </r>
    <r>
      <rPr>
        <sz val="10"/>
        <rFont val="나눔고딕"/>
        <family val="3"/>
        <charset val="129"/>
      </rPr>
      <t>허용</t>
    </r>
    <r>
      <rPr>
        <sz val="10"/>
        <rFont val="Times New Roman"/>
        <family val="1"/>
      </rPr>
      <t xml:space="preserve"> </t>
    </r>
    <r>
      <rPr>
        <sz val="10"/>
        <rFont val="나눔고딕"/>
        <family val="3"/>
        <charset val="129"/>
      </rPr>
      <t>여부</t>
    </r>
    <r>
      <rPr>
        <sz val="10"/>
        <rFont val="Times New Roman"/>
        <family val="1"/>
      </rPr>
      <t xml:space="preserve"> (2</t>
    </r>
    <r>
      <rPr>
        <sz val="10"/>
        <rFont val="나눔고딕"/>
        <family val="3"/>
        <charset val="129"/>
      </rPr>
      <t>개</t>
    </r>
    <r>
      <rPr>
        <sz val="10"/>
        <rFont val="Times New Roman"/>
        <family val="1"/>
      </rPr>
      <t xml:space="preserve"> </t>
    </r>
    <r>
      <rPr>
        <sz val="10"/>
        <rFont val="나눔고딕"/>
        <family val="3"/>
        <charset val="129"/>
      </rPr>
      <t>옵션</t>
    </r>
    <r>
      <rPr>
        <sz val="10"/>
        <rFont val="Times New Roman"/>
        <family val="1"/>
      </rPr>
      <t xml:space="preserve"> </t>
    </r>
    <r>
      <rPr>
        <sz val="10"/>
        <rFont val="나눔고딕"/>
        <family val="3"/>
        <charset val="129"/>
      </rPr>
      <t>통합</t>
    </r>
    <r>
      <rPr>
        <sz val="10"/>
        <rFont val="Times New Roman"/>
        <family val="1"/>
      </rPr>
      <t>)</t>
    </r>
  </si>
  <si>
    <t>AllowDeleting:=False</t>
  </si>
  <si>
    <r>
      <rPr>
        <sz val="10"/>
        <rFont val="나눔고딕"/>
        <family val="3"/>
        <charset val="129"/>
      </rPr>
      <t>정렬</t>
    </r>
    <r>
      <rPr>
        <sz val="10"/>
        <rFont val="Times New Roman"/>
        <family val="1"/>
      </rPr>
      <t xml:space="preserve"> </t>
    </r>
    <r>
      <rPr>
        <sz val="10"/>
        <rFont val="나눔고딕"/>
        <family val="3"/>
        <charset val="129"/>
      </rPr>
      <t>기능</t>
    </r>
    <r>
      <rPr>
        <sz val="10"/>
        <rFont val="Times New Roman"/>
        <family val="1"/>
      </rPr>
      <t xml:space="preserve"> </t>
    </r>
    <r>
      <rPr>
        <sz val="10"/>
        <rFont val="나눔고딕"/>
        <family val="3"/>
        <charset val="129"/>
      </rPr>
      <t>허용</t>
    </r>
    <r>
      <rPr>
        <sz val="10"/>
        <rFont val="Times New Roman"/>
        <family val="1"/>
      </rPr>
      <t xml:space="preserve"> </t>
    </r>
    <r>
      <rPr>
        <sz val="10"/>
        <rFont val="나눔고딕"/>
        <family val="3"/>
        <charset val="129"/>
      </rPr>
      <t>여부</t>
    </r>
  </si>
  <si>
    <t>AllowSorting:=True</t>
  </si>
  <si>
    <r>
      <rPr>
        <sz val="10"/>
        <rFont val="나눔고딕"/>
        <family val="3"/>
        <charset val="129"/>
      </rPr>
      <t>자동필터</t>
    </r>
    <r>
      <rPr>
        <sz val="10"/>
        <rFont val="Times New Roman"/>
        <family val="1"/>
      </rPr>
      <t xml:space="preserve"> </t>
    </r>
    <r>
      <rPr>
        <sz val="10"/>
        <rFont val="나눔고딕"/>
        <family val="3"/>
        <charset val="129"/>
      </rPr>
      <t>사용</t>
    </r>
    <r>
      <rPr>
        <sz val="10"/>
        <rFont val="Times New Roman"/>
        <family val="1"/>
      </rPr>
      <t xml:space="preserve"> </t>
    </r>
    <r>
      <rPr>
        <sz val="10"/>
        <rFont val="나눔고딕"/>
        <family val="3"/>
        <charset val="129"/>
      </rPr>
      <t>허용</t>
    </r>
    <r>
      <rPr>
        <sz val="10"/>
        <rFont val="Times New Roman"/>
        <family val="1"/>
      </rPr>
      <t xml:space="preserve"> </t>
    </r>
    <r>
      <rPr>
        <sz val="10"/>
        <rFont val="나눔고딕"/>
        <family val="3"/>
        <charset val="129"/>
      </rPr>
      <t>여부</t>
    </r>
  </si>
  <si>
    <t>AllowFiltering:=True</t>
  </si>
  <si>
    <t>True</t>
  </si>
  <si>
    <r>
      <rPr>
        <sz val="10"/>
        <rFont val="나눔고딕"/>
        <family val="3"/>
        <charset val="129"/>
      </rPr>
      <t>일반</t>
    </r>
    <r>
      <rPr>
        <sz val="10"/>
        <rFont val="Times New Roman"/>
        <family val="1"/>
      </rPr>
      <t xml:space="preserve"> </t>
    </r>
    <r>
      <rPr>
        <sz val="10"/>
        <rFont val="나눔고딕"/>
        <family val="3"/>
        <charset val="129"/>
      </rPr>
      <t>도형</t>
    </r>
    <r>
      <rPr>
        <sz val="10"/>
        <rFont val="Times New Roman"/>
        <family val="1"/>
      </rPr>
      <t>(</t>
    </r>
    <r>
      <rPr>
        <sz val="10"/>
        <rFont val="나눔고딕"/>
        <family val="3"/>
        <charset val="129"/>
      </rPr>
      <t>텍스트박스</t>
    </r>
    <r>
      <rPr>
        <sz val="10"/>
        <rFont val="Times New Roman"/>
        <family val="1"/>
      </rPr>
      <t xml:space="preserve">, </t>
    </r>
    <r>
      <rPr>
        <sz val="10"/>
        <rFont val="나눔고딕"/>
        <family val="3"/>
        <charset val="129"/>
      </rPr>
      <t>이미지</t>
    </r>
    <r>
      <rPr>
        <sz val="10"/>
        <rFont val="Times New Roman"/>
        <family val="1"/>
      </rPr>
      <t xml:space="preserve">, AutoShape) </t>
    </r>
    <r>
      <rPr>
        <sz val="10"/>
        <rFont val="나눔고딕"/>
        <family val="3"/>
        <charset val="129"/>
      </rPr>
      <t>잠금</t>
    </r>
    <r>
      <rPr>
        <sz val="10"/>
        <rFont val="Times New Roman"/>
        <family val="1"/>
      </rPr>
      <t xml:space="preserve"> </t>
    </r>
    <r>
      <rPr>
        <sz val="10"/>
        <rFont val="나눔고딕"/>
        <family val="3"/>
        <charset val="129"/>
      </rPr>
      <t>여부</t>
    </r>
    <r>
      <rPr>
        <sz val="10"/>
        <rFont val="Times New Roman"/>
        <family val="1"/>
      </rPr>
      <t xml:space="preserve">. </t>
    </r>
    <r>
      <rPr>
        <sz val="10"/>
        <rFont val="나눔고딕"/>
        <family val="3"/>
        <charset val="129"/>
      </rPr>
      <t>폼컨트롤</t>
    </r>
    <r>
      <rPr>
        <sz val="10"/>
        <rFont val="Times New Roman"/>
        <family val="1"/>
      </rPr>
      <t>(</t>
    </r>
    <r>
      <rPr>
        <sz val="10"/>
        <rFont val="나눔고딕"/>
        <family val="3"/>
        <charset val="129"/>
      </rPr>
      <t>매크로</t>
    </r>
    <r>
      <rPr>
        <sz val="10"/>
        <rFont val="Times New Roman"/>
        <family val="1"/>
      </rPr>
      <t xml:space="preserve"> </t>
    </r>
    <r>
      <rPr>
        <sz val="10"/>
        <rFont val="나눔고딕"/>
        <family val="3"/>
        <charset val="129"/>
      </rPr>
      <t>버튼</t>
    </r>
    <r>
      <rPr>
        <sz val="10"/>
        <rFont val="Times New Roman"/>
        <family val="1"/>
      </rPr>
      <t>)</t>
    </r>
    <r>
      <rPr>
        <sz val="10"/>
        <rFont val="나눔고딕"/>
        <family val="3"/>
        <charset val="129"/>
      </rPr>
      <t>은</t>
    </r>
    <r>
      <rPr>
        <sz val="10"/>
        <rFont val="Times New Roman"/>
        <family val="1"/>
      </rPr>
      <t xml:space="preserve"> </t>
    </r>
    <r>
      <rPr>
        <sz val="10"/>
        <rFont val="나눔고딕"/>
        <family val="3"/>
        <charset val="129"/>
      </rPr>
      <t>이</t>
    </r>
    <r>
      <rPr>
        <sz val="10"/>
        <rFont val="Times New Roman"/>
        <family val="1"/>
      </rPr>
      <t xml:space="preserve"> </t>
    </r>
    <r>
      <rPr>
        <sz val="10"/>
        <rFont val="나눔고딕"/>
        <family val="3"/>
        <charset val="129"/>
      </rPr>
      <t>값과</t>
    </r>
    <r>
      <rPr>
        <sz val="10"/>
        <rFont val="Times New Roman"/>
        <family val="1"/>
      </rPr>
      <t xml:space="preserve"> </t>
    </r>
    <r>
      <rPr>
        <sz val="10"/>
        <rFont val="나눔고딕"/>
        <family val="3"/>
        <charset val="129"/>
      </rPr>
      <t>무관하게</t>
    </r>
    <r>
      <rPr>
        <sz val="10"/>
        <rFont val="Times New Roman"/>
        <family val="1"/>
      </rPr>
      <t xml:space="preserve"> </t>
    </r>
    <r>
      <rPr>
        <sz val="10"/>
        <rFont val="나눔고딕"/>
        <family val="3"/>
        <charset val="129"/>
      </rPr>
      <t>항상</t>
    </r>
    <r>
      <rPr>
        <sz val="10"/>
        <rFont val="Times New Roman"/>
        <family val="1"/>
      </rPr>
      <t xml:space="preserve"> </t>
    </r>
    <r>
      <rPr>
        <sz val="10"/>
        <rFont val="나눔고딕"/>
        <family val="3"/>
        <charset val="129"/>
      </rPr>
      <t>예외</t>
    </r>
    <r>
      <rPr>
        <sz val="10"/>
        <rFont val="Times New Roman"/>
        <family val="1"/>
      </rPr>
      <t xml:space="preserve"> </t>
    </r>
    <r>
      <rPr>
        <sz val="10"/>
        <rFont val="나눔고딕"/>
        <family val="3"/>
        <charset val="129"/>
      </rPr>
      <t>처리</t>
    </r>
    <r>
      <rPr>
        <sz val="10"/>
        <rFont val="Times New Roman"/>
        <family val="1"/>
      </rPr>
      <t>(</t>
    </r>
    <r>
      <rPr>
        <sz val="10"/>
        <rFont val="나눔고딕"/>
        <family val="3"/>
        <charset val="129"/>
      </rPr>
      <t>고정</t>
    </r>
    <r>
      <rPr>
        <sz val="10"/>
        <rFont val="Times New Roman"/>
        <family val="1"/>
      </rPr>
      <t>)</t>
    </r>
    <r>
      <rPr>
        <sz val="10"/>
        <rFont val="나눔고딕"/>
        <family val="3"/>
        <charset val="129"/>
      </rPr>
      <t>되어</t>
    </r>
    <r>
      <rPr>
        <sz val="10"/>
        <rFont val="Times New Roman"/>
        <family val="1"/>
      </rPr>
      <t xml:space="preserve"> </t>
    </r>
    <r>
      <rPr>
        <sz val="10"/>
        <rFont val="나눔고딕"/>
        <family val="3"/>
        <charset val="129"/>
      </rPr>
      <t>클릭</t>
    </r>
    <r>
      <rPr>
        <sz val="10"/>
        <rFont val="Times New Roman"/>
        <family val="1"/>
      </rPr>
      <t xml:space="preserve"> </t>
    </r>
    <r>
      <rPr>
        <sz val="10"/>
        <rFont val="나눔고딕"/>
        <family val="3"/>
        <charset val="129"/>
      </rPr>
      <t>가능</t>
    </r>
  </si>
  <si>
    <t>LockShapes:=False</t>
  </si>
  <si>
    <r>
      <rPr>
        <sz val="10"/>
        <rFont val="나눔고딕"/>
        <family val="3"/>
        <charset val="129"/>
      </rPr>
      <t>임베디드</t>
    </r>
    <r>
      <rPr>
        <sz val="10"/>
        <rFont val="Times New Roman"/>
        <family val="1"/>
      </rPr>
      <t xml:space="preserve"> OLE </t>
    </r>
    <r>
      <rPr>
        <sz val="10"/>
        <rFont val="나눔고딕"/>
        <family val="3"/>
        <charset val="129"/>
      </rPr>
      <t>개체</t>
    </r>
    <r>
      <rPr>
        <sz val="10"/>
        <rFont val="Times New Roman"/>
        <family val="1"/>
      </rPr>
      <t>(</t>
    </r>
    <r>
      <rPr>
        <sz val="10"/>
        <rFont val="나눔고딕"/>
        <family val="3"/>
        <charset val="129"/>
      </rPr>
      <t>삽입된</t>
    </r>
    <r>
      <rPr>
        <sz val="10"/>
        <rFont val="Times New Roman"/>
        <family val="1"/>
      </rPr>
      <t xml:space="preserve"> </t>
    </r>
    <r>
      <rPr>
        <sz val="10"/>
        <rFont val="나눔고딕"/>
        <family val="3"/>
        <charset val="129"/>
      </rPr>
      <t>파일</t>
    </r>
    <r>
      <rPr>
        <sz val="10"/>
        <rFont val="Times New Roman"/>
        <family val="1"/>
      </rPr>
      <t xml:space="preserve"> </t>
    </r>
    <r>
      <rPr>
        <sz val="10"/>
        <rFont val="나눔고딕"/>
        <family val="3"/>
        <charset val="129"/>
      </rPr>
      <t>등</t>
    </r>
    <r>
      <rPr>
        <sz val="10"/>
        <rFont val="Times New Roman"/>
        <family val="1"/>
      </rPr>
      <t xml:space="preserve">) </t>
    </r>
    <r>
      <rPr>
        <sz val="10"/>
        <rFont val="나눔고딕"/>
        <family val="3"/>
        <charset val="129"/>
      </rPr>
      <t>잠금</t>
    </r>
    <r>
      <rPr>
        <sz val="10"/>
        <rFont val="Times New Roman"/>
        <family val="1"/>
      </rPr>
      <t xml:space="preserve"> </t>
    </r>
    <r>
      <rPr>
        <sz val="10"/>
        <rFont val="나눔고딕"/>
        <family val="3"/>
        <charset val="129"/>
      </rPr>
      <t>여부</t>
    </r>
  </si>
  <si>
    <t>LockOLEObjects:=True</t>
  </si>
  <si>
    <t>info_Vulnerability</t>
  </si>
  <si>
    <t>Reference_Lists</t>
  </si>
  <si>
    <t>Config</t>
  </si>
  <si>
    <t>AV (Attack Vector)</t>
  </si>
  <si>
    <t>AC (Attack Complexity)</t>
  </si>
  <si>
    <t>PR (Scope:Unchanged)</t>
  </si>
  <si>
    <t>PR (Scope:Changed)</t>
  </si>
  <si>
    <t>UI (User Interaction)</t>
  </si>
  <si>
    <t>C/I/A (Impact)</t>
  </si>
  <si>
    <t>L</t>
  </si>
  <si>
    <t>H</t>
  </si>
  <si>
    <t>A</t>
  </si>
  <si>
    <t>R</t>
  </si>
  <si>
    <t>P</t>
  </si>
  <si>
    <t>ISCbase = 1-(1-C)*(1-I)*(1-A)</t>
  </si>
  <si>
    <t>Impact = 6.42 * ISCbase</t>
  </si>
  <si>
    <t>Exploitability = 8.22 * AV * AC * PR * UI</t>
  </si>
  <si>
    <t>Base = ROUNDUP(MIN(Impact+Exploitability,10), 1)</t>
  </si>
  <si>
    <t>Impact = 7.52*(ISCbase-0.029) - 3.25*(ISCbase-0.02)^15</t>
  </si>
  <si>
    <t>Base = ROUNDUP(MIN(1.08*(Impact+Exploitability),10), 1)</t>
  </si>
  <si>
    <t>MacroVector</t>
  </si>
  <si>
    <t>Score</t>
  </si>
  <si>
    <t>000000</t>
  </si>
  <si>
    <t>000001</t>
  </si>
  <si>
    <t>000010</t>
  </si>
  <si>
    <t>000011</t>
  </si>
  <si>
    <t>000020</t>
  </si>
  <si>
    <t>000021</t>
  </si>
  <si>
    <t>000100</t>
  </si>
  <si>
    <t>000101</t>
  </si>
  <si>
    <t>000110</t>
  </si>
  <si>
    <t>000111</t>
  </si>
  <si>
    <t>000120</t>
  </si>
  <si>
    <t>000121</t>
  </si>
  <si>
    <t>000200</t>
  </si>
  <si>
    <t>000201</t>
  </si>
  <si>
    <t>000210</t>
  </si>
  <si>
    <t>000211</t>
  </si>
  <si>
    <t>000220</t>
  </si>
  <si>
    <t>000221</t>
  </si>
  <si>
    <t>001000</t>
  </si>
  <si>
    <t>001001</t>
  </si>
  <si>
    <t>001010</t>
  </si>
  <si>
    <t>001011</t>
  </si>
  <si>
    <t>001020</t>
  </si>
  <si>
    <t>001021</t>
  </si>
  <si>
    <t>001100</t>
  </si>
  <si>
    <t>001101</t>
  </si>
  <si>
    <t>001110</t>
  </si>
  <si>
    <t>001111</t>
  </si>
  <si>
    <t>001120</t>
  </si>
  <si>
    <t>001121</t>
  </si>
  <si>
    <t>001200</t>
  </si>
  <si>
    <t>001201</t>
  </si>
  <si>
    <t>001210</t>
  </si>
  <si>
    <t>001211</t>
  </si>
  <si>
    <t>001220</t>
  </si>
  <si>
    <t>001221</t>
  </si>
  <si>
    <t>002001</t>
  </si>
  <si>
    <t>002011</t>
  </si>
  <si>
    <t>002021</t>
  </si>
  <si>
    <t>002101</t>
  </si>
  <si>
    <t>002111</t>
  </si>
  <si>
    <t>002121</t>
  </si>
  <si>
    <t>002201</t>
  </si>
  <si>
    <t>002211</t>
  </si>
  <si>
    <t>002221</t>
  </si>
  <si>
    <t>010000</t>
  </si>
  <si>
    <t>010001</t>
  </si>
  <si>
    <t>010010</t>
  </si>
  <si>
    <t>010011</t>
  </si>
  <si>
    <t>010020</t>
  </si>
  <si>
    <t>010021</t>
  </si>
  <si>
    <t>010100</t>
  </si>
  <si>
    <t>010101</t>
  </si>
  <si>
    <t>010110</t>
  </si>
  <si>
    <t>010111</t>
  </si>
  <si>
    <t>010120</t>
  </si>
  <si>
    <t>010121</t>
  </si>
  <si>
    <t>010200</t>
  </si>
  <si>
    <t>010201</t>
  </si>
  <si>
    <t>010210</t>
  </si>
  <si>
    <t>010211</t>
  </si>
  <si>
    <t>010220</t>
  </si>
  <si>
    <t>010221</t>
  </si>
  <si>
    <t>011000</t>
  </si>
  <si>
    <t>011001</t>
  </si>
  <si>
    <t>011010</t>
  </si>
  <si>
    <t>011011</t>
  </si>
  <si>
    <t>011020</t>
  </si>
  <si>
    <t>011021</t>
  </si>
  <si>
    <t>011100</t>
  </si>
  <si>
    <t>011101</t>
  </si>
  <si>
    <t>011110</t>
  </si>
  <si>
    <t>011111</t>
  </si>
  <si>
    <t>011120</t>
  </si>
  <si>
    <t>011121</t>
  </si>
  <si>
    <t>011200</t>
  </si>
  <si>
    <t>011201</t>
  </si>
  <si>
    <t>011210</t>
  </si>
  <si>
    <t>011211</t>
  </si>
  <si>
    <t>011220</t>
  </si>
  <si>
    <t>011221</t>
  </si>
  <si>
    <t>012001</t>
  </si>
  <si>
    <t>012011</t>
  </si>
  <si>
    <t>012021</t>
  </si>
  <si>
    <t>012101</t>
  </si>
  <si>
    <t>012111</t>
  </si>
  <si>
    <t>012121</t>
  </si>
  <si>
    <t>012201</t>
  </si>
  <si>
    <t>012211</t>
  </si>
  <si>
    <t>012221</t>
  </si>
  <si>
    <t>100000</t>
  </si>
  <si>
    <t>100001</t>
  </si>
  <si>
    <t>100010</t>
  </si>
  <si>
    <t>100011</t>
  </si>
  <si>
    <t>100020</t>
  </si>
  <si>
    <t>100021</t>
  </si>
  <si>
    <t>100100</t>
  </si>
  <si>
    <t>100101</t>
  </si>
  <si>
    <t>100110</t>
  </si>
  <si>
    <t>100111</t>
  </si>
  <si>
    <t>100120</t>
  </si>
  <si>
    <t>100121</t>
  </si>
  <si>
    <t>100200</t>
  </si>
  <si>
    <t>100201</t>
  </si>
  <si>
    <t>100210</t>
  </si>
  <si>
    <t>100211</t>
  </si>
  <si>
    <t>100220</t>
  </si>
  <si>
    <t>100221</t>
  </si>
  <si>
    <t>101000</t>
  </si>
  <si>
    <t>101001</t>
  </si>
  <si>
    <t>101010</t>
  </si>
  <si>
    <t>101011</t>
  </si>
  <si>
    <t>101020</t>
  </si>
  <si>
    <t>101021</t>
  </si>
  <si>
    <t>101100</t>
  </si>
  <si>
    <t>101101</t>
  </si>
  <si>
    <t>101110</t>
  </si>
  <si>
    <t>101111</t>
  </si>
  <si>
    <t>101120</t>
  </si>
  <si>
    <t>101121</t>
  </si>
  <si>
    <t>101200</t>
  </si>
  <si>
    <t>101201</t>
  </si>
  <si>
    <t>101210</t>
  </si>
  <si>
    <t>101211</t>
  </si>
  <si>
    <t>101220</t>
  </si>
  <si>
    <t>101221</t>
  </si>
  <si>
    <t>102001</t>
  </si>
  <si>
    <t>102011</t>
  </si>
  <si>
    <t>102021</t>
  </si>
  <si>
    <t>102101</t>
  </si>
  <si>
    <t>102111</t>
  </si>
  <si>
    <t>102121</t>
  </si>
  <si>
    <t>102201</t>
  </si>
  <si>
    <t>102211</t>
  </si>
  <si>
    <t>102221</t>
  </si>
  <si>
    <t>110000</t>
  </si>
  <si>
    <t>110001</t>
  </si>
  <si>
    <t>110010</t>
  </si>
  <si>
    <t>110011</t>
  </si>
  <si>
    <t>110020</t>
  </si>
  <si>
    <t>110021</t>
  </si>
  <si>
    <t>110100</t>
  </si>
  <si>
    <t>110101</t>
  </si>
  <si>
    <t>110110</t>
  </si>
  <si>
    <t>110111</t>
  </si>
  <si>
    <t>110120</t>
  </si>
  <si>
    <t>110121</t>
  </si>
  <si>
    <t>110200</t>
  </si>
  <si>
    <t>110201</t>
  </si>
  <si>
    <t>110210</t>
  </si>
  <si>
    <t>110211</t>
  </si>
  <si>
    <t>110220</t>
  </si>
  <si>
    <t>110221</t>
  </si>
  <si>
    <t>111000</t>
  </si>
  <si>
    <t>111001</t>
  </si>
  <si>
    <t>111010</t>
  </si>
  <si>
    <t>111011</t>
  </si>
  <si>
    <t>111020</t>
  </si>
  <si>
    <t>111021</t>
  </si>
  <si>
    <t>111100</t>
  </si>
  <si>
    <t>111101</t>
  </si>
  <si>
    <t>111110</t>
  </si>
  <si>
    <t>111111</t>
  </si>
  <si>
    <t>111120</t>
  </si>
  <si>
    <t>111121</t>
  </si>
  <si>
    <t>111200</t>
  </si>
  <si>
    <t>111201</t>
  </si>
  <si>
    <t>111210</t>
  </si>
  <si>
    <t>111211</t>
  </si>
  <si>
    <t>111220</t>
  </si>
  <si>
    <t>111221</t>
  </si>
  <si>
    <t>112001</t>
  </si>
  <si>
    <t>112011</t>
  </si>
  <si>
    <t>112021</t>
  </si>
  <si>
    <t>112101</t>
  </si>
  <si>
    <t>112111</t>
  </si>
  <si>
    <t>112121</t>
  </si>
  <si>
    <t>112201</t>
  </si>
  <si>
    <t>112211</t>
  </si>
  <si>
    <t>112221</t>
  </si>
  <si>
    <t>200000</t>
  </si>
  <si>
    <t>200001</t>
  </si>
  <si>
    <t>200010</t>
  </si>
  <si>
    <t>200011</t>
  </si>
  <si>
    <t>200020</t>
  </si>
  <si>
    <t>200021</t>
  </si>
  <si>
    <t>200100</t>
  </si>
  <si>
    <t>200101</t>
  </si>
  <si>
    <t>200110</t>
  </si>
  <si>
    <t>200111</t>
  </si>
  <si>
    <t>200120</t>
  </si>
  <si>
    <t>200121</t>
  </si>
  <si>
    <t>200200</t>
  </si>
  <si>
    <t>200201</t>
  </si>
  <si>
    <t>200210</t>
  </si>
  <si>
    <t>200211</t>
  </si>
  <si>
    <t>200220</t>
  </si>
  <si>
    <t>200221</t>
  </si>
  <si>
    <t>201000</t>
  </si>
  <si>
    <t>201001</t>
  </si>
  <si>
    <t>201010</t>
  </si>
  <si>
    <t>201011</t>
  </si>
  <si>
    <t>201020</t>
  </si>
  <si>
    <t>201021</t>
  </si>
  <si>
    <t>201100</t>
  </si>
  <si>
    <t>201101</t>
  </si>
  <si>
    <t>201110</t>
  </si>
  <si>
    <t>201111</t>
  </si>
  <si>
    <t>201120</t>
  </si>
  <si>
    <t>201121</t>
  </si>
  <si>
    <t>201200</t>
  </si>
  <si>
    <t>201201</t>
  </si>
  <si>
    <t>201210</t>
  </si>
  <si>
    <t>201211</t>
  </si>
  <si>
    <t>201220</t>
  </si>
  <si>
    <t>201221</t>
  </si>
  <si>
    <t>202001</t>
  </si>
  <si>
    <t>202011</t>
  </si>
  <si>
    <t>202021</t>
  </si>
  <si>
    <t>202101</t>
  </si>
  <si>
    <t>202111</t>
  </si>
  <si>
    <t>202121</t>
  </si>
  <si>
    <t>202201</t>
  </si>
  <si>
    <t>202211</t>
  </si>
  <si>
    <t>202221</t>
  </si>
  <si>
    <t>210000</t>
  </si>
  <si>
    <t>210001</t>
  </si>
  <si>
    <t>210010</t>
  </si>
  <si>
    <t>210011</t>
  </si>
  <si>
    <t>210020</t>
  </si>
  <si>
    <t>210021</t>
  </si>
  <si>
    <t>210100</t>
  </si>
  <si>
    <t>210101</t>
  </si>
  <si>
    <t>210110</t>
  </si>
  <si>
    <t>210111</t>
  </si>
  <si>
    <t>210120</t>
  </si>
  <si>
    <t>210121</t>
  </si>
  <si>
    <t>210200</t>
  </si>
  <si>
    <t>210201</t>
  </si>
  <si>
    <t>210210</t>
  </si>
  <si>
    <t>210211</t>
  </si>
  <si>
    <t>210220</t>
  </si>
  <si>
    <t>210221</t>
  </si>
  <si>
    <t>211000</t>
  </si>
  <si>
    <t>211001</t>
  </si>
  <si>
    <t>211010</t>
  </si>
  <si>
    <t>211011</t>
  </si>
  <si>
    <t>211020</t>
  </si>
  <si>
    <t>211021</t>
  </si>
  <si>
    <t>211100</t>
  </si>
  <si>
    <t>211101</t>
  </si>
  <si>
    <t>211110</t>
  </si>
  <si>
    <t>211111</t>
  </si>
  <si>
    <t>211120</t>
  </si>
  <si>
    <t>211121</t>
  </si>
  <si>
    <t>211200</t>
  </si>
  <si>
    <t>211201</t>
  </si>
  <si>
    <t>211210</t>
  </si>
  <si>
    <t>211211</t>
  </si>
  <si>
    <t>211220</t>
  </si>
  <si>
    <t>211221</t>
  </si>
  <si>
    <t>212001</t>
  </si>
  <si>
    <t>212011</t>
  </si>
  <si>
    <t>212021</t>
  </si>
  <si>
    <t>212101</t>
  </si>
  <si>
    <t>212111</t>
  </si>
  <si>
    <t>212121</t>
  </si>
  <si>
    <t>212201</t>
  </si>
  <si>
    <t>212211</t>
  </si>
  <si>
    <t>212221</t>
  </si>
  <si>
    <t>8.4 (CVSS:4.0/AV:L/AC:L/AT:N/PR:N/UI:A/VC:H/VI:H/VA:H/SC:N/SI:N/SA:N)</t>
    <phoneticPr fontId="6" type="noConversion"/>
  </si>
  <si>
    <t>8.4 (CVSS:4.0/AV:L/AC:L/AT:N/PR:N/UI:A/VC:H/VI:H/VA:H/SC:N/SI:N/SA:N)</t>
    <phoneticPr fontId="6" type="noConversion"/>
  </si>
  <si>
    <t>8.4 (CVSS:4.0/AV:L/AC:L/AT:N/PR:N/UI:A/VC:H/VI:H/VA:H/SC:N/SI:N/SA:N)</t>
    <phoneticPr fontId="6" type="noConversion"/>
  </si>
  <si>
    <t>8.4 (CVSS:4.0/AV:L/AC:L/AT:N/PR:N/UI:A/VC:H/VI:H/VA:H/SC:N/SI:N/SA:N)</t>
    <phoneticPr fontId="6" type="noConversion"/>
  </si>
  <si>
    <t>8.4 (CVSS:4.0/AV:L/AC:L/AT:N/PR:N/UI:A/VC:H/VI:H/VA:H/SC:N/SI:N/SA:N)</t>
    <phoneticPr fontId="6" type="noConversion"/>
  </si>
  <si>
    <t>8.4 (CVSS:4.0/AV:L/AC:L/AT:N/PR:N/UI:A/VC:H/VI:H/VA:H/SC:N/SI:N/SA:N)</t>
    <phoneticPr fontId="6" type="noConversion"/>
  </si>
  <si>
    <t>8.4 (CVSS:4.0/AV:L/AC:L/AT:N/PR:N/UI:A/VC:H/VI:H/VA:H/SC:N/SI:N/SA:N)</t>
    <phoneticPr fontId="6" type="noConversion"/>
  </si>
  <si>
    <t>AV</t>
  </si>
  <si>
    <t>U</t>
  </si>
  <si>
    <t>AC</t>
  </si>
  <si>
    <t>C</t>
  </si>
  <si>
    <t>PR</t>
  </si>
  <si>
    <t>UI</t>
  </si>
  <si>
    <t>S</t>
  </si>
  <si>
    <t>I</t>
  </si>
  <si>
    <t>AT</t>
  </si>
  <si>
    <t>VC</t>
  </si>
  <si>
    <t>VI</t>
  </si>
  <si>
    <t>VA</t>
  </si>
  <si>
    <t>SC</t>
  </si>
  <si>
    <t>SI</t>
  </si>
  <si>
    <t>SA</t>
  </si>
  <si>
    <r>
      <rPr>
        <sz val="10"/>
        <color rgb="FFFF0000"/>
        <rFont val="Times New Roman"/>
        <family val="1"/>
      </rPr>
      <t>Allow</t>
    </r>
    <r>
      <rPr>
        <sz val="10"/>
        <rFont val="Times New Roman"/>
        <family val="1"/>
      </rPr>
      <t>Inserting</t>
    </r>
    <phoneticPr fontId="16" type="noConversion"/>
  </si>
  <si>
    <r>
      <rPr>
        <b/>
        <sz val="11"/>
        <color rgb="FF1F4E78"/>
        <rFont val="나눔고딕"/>
        <family val="3"/>
        <charset val="129"/>
      </rPr>
      <t>약점</t>
    </r>
    <r>
      <rPr>
        <b/>
        <sz val="11"/>
        <color rgb="FF1F4E78"/>
        <rFont val="Times New Roman"/>
        <family val="1"/>
      </rPr>
      <t xml:space="preserve">(Weakness) / </t>
    </r>
    <r>
      <rPr>
        <b/>
        <sz val="11"/>
        <color rgb="FF1F4E78"/>
        <rFont val="나눔고딕"/>
        <family val="3"/>
        <charset val="129"/>
      </rPr>
      <t>취약점</t>
    </r>
    <r>
      <rPr>
        <b/>
        <sz val="11"/>
        <color rgb="FF1F4E78"/>
        <rFont val="Times New Roman"/>
        <family val="1"/>
      </rPr>
      <t xml:space="preserve">(Vulnerability) </t>
    </r>
    <r>
      <rPr>
        <b/>
        <sz val="11"/>
        <color rgb="FF1F4E78"/>
        <rFont val="나눔고딕"/>
        <family val="3"/>
        <charset val="129"/>
      </rPr>
      <t>분석</t>
    </r>
    <r>
      <rPr>
        <b/>
        <sz val="11"/>
        <color rgb="FF1F4E78"/>
        <rFont val="Times New Roman"/>
        <family val="1"/>
      </rPr>
      <t xml:space="preserve"> </t>
    </r>
    <r>
      <rPr>
        <b/>
        <sz val="11"/>
        <color rgb="FF1F4E78"/>
        <rFont val="나눔고딕"/>
        <family val="3"/>
        <charset val="129"/>
      </rPr>
      <t>대장</t>
    </r>
    <r>
      <rPr>
        <b/>
        <sz val="11"/>
        <color rgb="FF1F4E78"/>
        <rFont val="Times New Roman"/>
        <family val="1"/>
      </rPr>
      <t xml:space="preserve"> — </t>
    </r>
    <r>
      <rPr>
        <b/>
        <sz val="11"/>
        <color rgb="FF1F4E78"/>
        <rFont val="나눔고딕"/>
        <family val="3"/>
        <charset val="129"/>
      </rPr>
      <t>초안</t>
    </r>
    <r>
      <rPr>
        <b/>
        <sz val="11"/>
        <color rgb="FF1F4E78"/>
        <rFont val="Times New Roman"/>
        <family val="1"/>
      </rPr>
      <t xml:space="preserve"> </t>
    </r>
    <r>
      <rPr>
        <b/>
        <sz val="11"/>
        <color rgb="FF1F4E78"/>
        <rFont val="나눔고딕"/>
        <family val="3"/>
        <charset val="129"/>
      </rPr>
      <t>템플릿</t>
    </r>
  </si>
  <si>
    <r>
      <rPr>
        <i/>
        <sz val="9"/>
        <color rgb="FF666666"/>
        <rFont val="나눔고딕"/>
        <family val="3"/>
        <charset val="129"/>
      </rPr>
      <t>노랑</t>
    </r>
    <r>
      <rPr>
        <i/>
        <sz val="9"/>
        <color rgb="FF666666"/>
        <rFont val="Times New Roman"/>
        <family val="1"/>
      </rPr>
      <t>=</t>
    </r>
    <r>
      <rPr>
        <i/>
        <sz val="9"/>
        <color rgb="FF666666"/>
        <rFont val="나눔고딕"/>
        <family val="3"/>
        <charset val="129"/>
      </rPr>
      <t>수동</t>
    </r>
    <r>
      <rPr>
        <i/>
        <sz val="9"/>
        <color rgb="FF666666"/>
        <rFont val="Times New Roman"/>
        <family val="1"/>
      </rPr>
      <t xml:space="preserve"> </t>
    </r>
    <r>
      <rPr>
        <i/>
        <sz val="9"/>
        <color rgb="FF666666"/>
        <rFont val="나눔고딕"/>
        <family val="3"/>
        <charset val="129"/>
      </rPr>
      <t>입력</t>
    </r>
    <r>
      <rPr>
        <i/>
        <sz val="9"/>
        <color rgb="FF666666"/>
        <rFont val="Times New Roman"/>
        <family val="1"/>
      </rPr>
      <t xml:space="preserve"> · </t>
    </r>
    <r>
      <rPr>
        <i/>
        <sz val="9"/>
        <color rgb="FF666666"/>
        <rFont val="나눔고딕"/>
        <family val="3"/>
        <charset val="129"/>
      </rPr>
      <t>연두</t>
    </r>
    <r>
      <rPr>
        <i/>
        <sz val="9"/>
        <color rgb="FF666666"/>
        <rFont val="Times New Roman"/>
        <family val="1"/>
      </rPr>
      <t>=</t>
    </r>
    <r>
      <rPr>
        <i/>
        <sz val="9"/>
        <color rgb="FF666666"/>
        <rFont val="나눔고딕"/>
        <family val="3"/>
        <charset val="129"/>
      </rPr>
      <t>시트</t>
    </r>
    <r>
      <rPr>
        <i/>
        <sz val="9"/>
        <color rgb="FF666666"/>
        <rFont val="Times New Roman"/>
        <family val="1"/>
      </rPr>
      <t xml:space="preserve"> </t>
    </r>
    <r>
      <rPr>
        <i/>
        <sz val="9"/>
        <color rgb="FF666666"/>
        <rFont val="나눔고딕"/>
        <family val="3"/>
        <charset val="129"/>
      </rPr>
      <t>내</t>
    </r>
    <r>
      <rPr>
        <i/>
        <sz val="9"/>
        <color rgb="FF666666"/>
        <rFont val="Times New Roman"/>
        <family val="1"/>
      </rPr>
      <t xml:space="preserve"> </t>
    </r>
    <r>
      <rPr>
        <i/>
        <sz val="9"/>
        <color rgb="FF666666"/>
        <rFont val="나눔고딕"/>
        <family val="3"/>
        <charset val="129"/>
      </rPr>
      <t>수식</t>
    </r>
    <r>
      <rPr>
        <i/>
        <sz val="9"/>
        <color rgb="FF666666"/>
        <rFont val="Times New Roman"/>
        <family val="1"/>
      </rPr>
      <t xml:space="preserve"> </t>
    </r>
    <r>
      <rPr>
        <i/>
        <sz val="9"/>
        <color rgb="FF666666"/>
        <rFont val="나눔고딕"/>
        <family val="3"/>
        <charset val="129"/>
      </rPr>
      <t>자동계산</t>
    </r>
    <r>
      <rPr>
        <i/>
        <sz val="9"/>
        <color rgb="FF666666"/>
        <rFont val="Times New Roman"/>
        <family val="1"/>
      </rPr>
      <t xml:space="preserve"> · </t>
    </r>
    <r>
      <rPr>
        <i/>
        <sz val="9"/>
        <color rgb="FF666666"/>
        <rFont val="나눔고딕"/>
        <family val="3"/>
        <charset val="129"/>
      </rPr>
      <t>하늘</t>
    </r>
    <r>
      <rPr>
        <i/>
        <sz val="9"/>
        <color rgb="FF666666"/>
        <rFont val="Times New Roman"/>
        <family val="1"/>
      </rPr>
      <t>=</t>
    </r>
    <r>
      <rPr>
        <i/>
        <sz val="9"/>
        <color rgb="FF666666"/>
        <rFont val="나눔고딕"/>
        <family val="3"/>
        <charset val="129"/>
      </rPr>
      <t>드롭다운</t>
    </r>
    <r>
      <rPr>
        <i/>
        <sz val="9"/>
        <color rgb="FF666666"/>
        <rFont val="Times New Roman"/>
        <family val="1"/>
      </rPr>
      <t xml:space="preserve">(Reference_Lists </t>
    </r>
    <r>
      <rPr>
        <i/>
        <sz val="9"/>
        <color rgb="FF666666"/>
        <rFont val="나눔고딕"/>
        <family val="3"/>
        <charset val="129"/>
      </rPr>
      <t>참조</t>
    </r>
    <r>
      <rPr>
        <i/>
        <sz val="9"/>
        <color rgb="FF666666"/>
        <rFont val="Times New Roman"/>
        <family val="1"/>
      </rPr>
      <t xml:space="preserve">) · </t>
    </r>
    <r>
      <rPr>
        <i/>
        <sz val="9"/>
        <color rgb="FF666666"/>
        <rFont val="나눔고딕"/>
        <family val="3"/>
        <charset val="129"/>
      </rPr>
      <t>회색</t>
    </r>
    <r>
      <rPr>
        <i/>
        <sz val="9"/>
        <color rgb="FF666666"/>
        <rFont val="Times New Roman"/>
        <family val="1"/>
      </rPr>
      <t xml:space="preserve">=VBA-Python </t>
    </r>
    <r>
      <rPr>
        <i/>
        <sz val="9"/>
        <color rgb="FF666666"/>
        <rFont val="나눔고딕"/>
        <family val="3"/>
        <charset val="129"/>
      </rPr>
      <t>연동</t>
    </r>
    <r>
      <rPr>
        <i/>
        <sz val="9"/>
        <color rgb="FF666666"/>
        <rFont val="Times New Roman"/>
        <family val="1"/>
      </rPr>
      <t>(</t>
    </r>
    <r>
      <rPr>
        <i/>
        <sz val="9"/>
        <color rgb="FF666666"/>
        <rFont val="나눔고딕"/>
        <family val="3"/>
        <charset val="129"/>
      </rPr>
      <t>임베딩</t>
    </r>
    <r>
      <rPr>
        <i/>
        <sz val="9"/>
        <color rgb="FF666666"/>
        <rFont val="Times New Roman"/>
        <family val="1"/>
      </rPr>
      <t xml:space="preserve"> </t>
    </r>
    <r>
      <rPr>
        <i/>
        <sz val="9"/>
        <color rgb="FF666666"/>
        <rFont val="나눔고딕"/>
        <family val="3"/>
        <charset val="129"/>
      </rPr>
      <t>매칭</t>
    </r>
    <r>
      <rPr>
        <i/>
        <sz val="9"/>
        <color rgb="FF666666"/>
        <rFont val="Times New Roman"/>
        <family val="1"/>
      </rPr>
      <t xml:space="preserve">/AFR/EPSS·KEV) </t>
    </r>
    <r>
      <rPr>
        <i/>
        <sz val="9"/>
        <color rgb="FF666666"/>
        <rFont val="나눔고딕"/>
        <family val="3"/>
        <charset val="129"/>
      </rPr>
      <t>결과</t>
    </r>
    <r>
      <rPr>
        <i/>
        <sz val="9"/>
        <color rgb="FF666666"/>
        <rFont val="Times New Roman"/>
        <family val="1"/>
      </rPr>
      <t xml:space="preserve"> </t>
    </r>
    <r>
      <rPr>
        <i/>
        <sz val="9"/>
        <color rgb="FF666666"/>
        <rFont val="나눔고딕"/>
        <family val="3"/>
        <charset val="129"/>
      </rPr>
      <t>기입</t>
    </r>
    <r>
      <rPr>
        <i/>
        <sz val="9"/>
        <color rgb="FF666666"/>
        <rFont val="Times New Roman"/>
        <family val="1"/>
      </rPr>
      <t xml:space="preserve"> </t>
    </r>
    <r>
      <rPr>
        <i/>
        <sz val="9"/>
        <color rgb="FF666666"/>
        <rFont val="나눔고딕"/>
        <family val="3"/>
        <charset val="129"/>
      </rPr>
      <t>영역</t>
    </r>
  </si>
  <si>
    <r>
      <t>5</t>
    </r>
    <r>
      <rPr>
        <i/>
        <sz val="9"/>
        <color rgb="FF666666"/>
        <rFont val="나눔고딕"/>
        <family val="3"/>
        <charset val="129"/>
      </rPr>
      <t>행은</t>
    </r>
    <r>
      <rPr>
        <i/>
        <sz val="9"/>
        <color rgb="FF666666"/>
        <rFont val="Times New Roman"/>
        <family val="1"/>
      </rPr>
      <t xml:space="preserve"> </t>
    </r>
    <r>
      <rPr>
        <i/>
        <sz val="9"/>
        <color rgb="FF666666"/>
        <rFont val="나눔고딕"/>
        <family val="3"/>
        <charset val="129"/>
      </rPr>
      <t>작성</t>
    </r>
    <r>
      <rPr>
        <i/>
        <sz val="9"/>
        <color rgb="FF666666"/>
        <rFont val="Times New Roman"/>
        <family val="1"/>
      </rPr>
      <t xml:space="preserve"> </t>
    </r>
    <r>
      <rPr>
        <i/>
        <sz val="9"/>
        <color rgb="FF666666"/>
        <rFont val="나눔고딕"/>
        <family val="3"/>
        <charset val="129"/>
      </rPr>
      <t>예시입니다</t>
    </r>
    <r>
      <rPr>
        <i/>
        <sz val="9"/>
        <color rgb="FF666666"/>
        <rFont val="Times New Roman"/>
        <family val="1"/>
      </rPr>
      <t xml:space="preserve">. </t>
    </r>
    <r>
      <rPr>
        <i/>
        <sz val="9"/>
        <color rgb="FF666666"/>
        <rFont val="나눔고딕"/>
        <family val="3"/>
        <charset val="129"/>
      </rPr>
      <t>실제</t>
    </r>
    <r>
      <rPr>
        <i/>
        <sz val="9"/>
        <color rgb="FF666666"/>
        <rFont val="Times New Roman"/>
        <family val="1"/>
      </rPr>
      <t xml:space="preserve"> </t>
    </r>
    <r>
      <rPr>
        <i/>
        <sz val="9"/>
        <color rgb="FF666666"/>
        <rFont val="나눔고딕"/>
        <family val="3"/>
        <charset val="129"/>
      </rPr>
      <t>데이터</t>
    </r>
    <r>
      <rPr>
        <i/>
        <sz val="9"/>
        <color rgb="FF666666"/>
        <rFont val="Times New Roman"/>
        <family val="1"/>
      </rPr>
      <t xml:space="preserve"> </t>
    </r>
    <r>
      <rPr>
        <i/>
        <sz val="9"/>
        <color rgb="FF666666"/>
        <rFont val="나눔고딕"/>
        <family val="3"/>
        <charset val="129"/>
      </rPr>
      <t>입력</t>
    </r>
    <r>
      <rPr>
        <i/>
        <sz val="9"/>
        <color rgb="FF666666"/>
        <rFont val="Times New Roman"/>
        <family val="1"/>
      </rPr>
      <t xml:space="preserve"> </t>
    </r>
    <r>
      <rPr>
        <i/>
        <sz val="9"/>
        <color rgb="FF666666"/>
        <rFont val="나눔고딕"/>
        <family val="3"/>
        <charset val="129"/>
      </rPr>
      <t>시</t>
    </r>
    <r>
      <rPr>
        <i/>
        <sz val="9"/>
        <color rgb="FF666666"/>
        <rFont val="Times New Roman"/>
        <family val="1"/>
      </rPr>
      <t xml:space="preserve"> Notes </t>
    </r>
    <r>
      <rPr>
        <i/>
        <sz val="9"/>
        <color rgb="FF666666"/>
        <rFont val="나눔고딕"/>
        <family val="3"/>
        <charset val="129"/>
      </rPr>
      <t>칸의</t>
    </r>
    <r>
      <rPr>
        <i/>
        <sz val="9"/>
        <color rgb="FF666666"/>
        <rFont val="Times New Roman"/>
        <family val="1"/>
      </rPr>
      <t xml:space="preserve"> </t>
    </r>
    <r>
      <rPr>
        <i/>
        <sz val="9"/>
        <color rgb="FF666666"/>
        <rFont val="나눔고딕"/>
        <family val="3"/>
        <charset val="129"/>
      </rPr>
      <t>안내문과</t>
    </r>
    <r>
      <rPr>
        <i/>
        <sz val="9"/>
        <color rgb="FF666666"/>
        <rFont val="Times New Roman"/>
        <family val="1"/>
      </rPr>
      <t xml:space="preserve"> </t>
    </r>
    <r>
      <rPr>
        <i/>
        <sz val="9"/>
        <color rgb="FF666666"/>
        <rFont val="나눔고딕"/>
        <family val="3"/>
        <charset val="129"/>
      </rPr>
      <t>함께</t>
    </r>
    <r>
      <rPr>
        <i/>
        <sz val="9"/>
        <color rgb="FF666666"/>
        <rFont val="Times New Roman"/>
        <family val="1"/>
      </rPr>
      <t xml:space="preserve"> </t>
    </r>
    <r>
      <rPr>
        <i/>
        <sz val="9"/>
        <color rgb="FF666666"/>
        <rFont val="나눔고딕"/>
        <family val="3"/>
        <charset val="129"/>
      </rPr>
      <t>삭제</t>
    </r>
    <r>
      <rPr>
        <i/>
        <sz val="9"/>
        <color rgb="FF666666"/>
        <rFont val="Times New Roman"/>
        <family val="1"/>
      </rPr>
      <t>/</t>
    </r>
    <r>
      <rPr>
        <i/>
        <sz val="9"/>
        <color rgb="FF666666"/>
        <rFont val="나눔고딕"/>
        <family val="3"/>
        <charset val="129"/>
      </rPr>
      <t>수정하세요</t>
    </r>
    <r>
      <rPr>
        <i/>
        <sz val="9"/>
        <color rgb="FF666666"/>
        <rFont val="Times New Roman"/>
        <family val="1"/>
      </rPr>
      <t>.</t>
    </r>
  </si>
  <si>
    <r>
      <t xml:space="preserve">Trigger_ID
(Repository_ID </t>
    </r>
    <r>
      <rPr>
        <b/>
        <sz val="10"/>
        <color rgb="FFFFFFFF"/>
        <rFont val="나눔고딕"/>
        <family val="3"/>
        <charset val="129"/>
      </rPr>
      <t>연계</t>
    </r>
    <r>
      <rPr>
        <b/>
        <sz val="10"/>
        <color rgb="FFFFFFFF"/>
        <rFont val="Times New Roman"/>
        <family val="1"/>
      </rPr>
      <t>)</t>
    </r>
  </si>
  <si>
    <r>
      <t>EMB3D_Threat
(</t>
    </r>
    <r>
      <rPr>
        <b/>
        <sz val="10"/>
        <color rgb="FFFFFFFF"/>
        <rFont val="나눔고딕"/>
        <family val="3"/>
        <charset val="129"/>
      </rPr>
      <t>선택</t>
    </r>
    <r>
      <rPr>
        <b/>
        <sz val="10"/>
        <color rgb="FFFFFFFF"/>
        <rFont val="Times New Roman"/>
        <family val="1"/>
      </rPr>
      <t>)</t>
    </r>
  </si>
  <si>
    <r>
      <t>Asset_ID
(</t>
    </r>
    <r>
      <rPr>
        <b/>
        <sz val="10"/>
        <color rgb="FFFFFFFF"/>
        <rFont val="나눔고딕"/>
        <family val="3"/>
        <charset val="129"/>
      </rPr>
      <t>자사</t>
    </r>
    <r>
      <rPr>
        <b/>
        <sz val="10"/>
        <color rgb="FFFFFFFF"/>
        <rFont val="Times New Roman"/>
        <family val="1"/>
      </rPr>
      <t xml:space="preserve"> SBOM </t>
    </r>
    <r>
      <rPr>
        <b/>
        <sz val="10"/>
        <color rgb="FFFFFFFF"/>
        <rFont val="나눔고딕"/>
        <family val="3"/>
        <charset val="129"/>
      </rPr>
      <t>연계</t>
    </r>
    <r>
      <rPr>
        <b/>
        <sz val="10"/>
        <color rgb="FFFFFFFF"/>
        <rFont val="Times New Roman"/>
        <family val="1"/>
      </rPr>
      <t>)</t>
    </r>
  </si>
  <si>
    <r>
      <t>Match_Score
(</t>
    </r>
    <r>
      <rPr>
        <b/>
        <sz val="10"/>
        <color rgb="FFFFFFFF"/>
        <rFont val="나눔고딕"/>
        <family val="3"/>
        <charset val="129"/>
      </rPr>
      <t>임베딩</t>
    </r>
    <r>
      <rPr>
        <b/>
        <sz val="10"/>
        <color rgb="FFFFFFFF"/>
        <rFont val="Times New Roman"/>
        <family val="1"/>
      </rPr>
      <t xml:space="preserve"> </t>
    </r>
    <r>
      <rPr>
        <b/>
        <sz val="10"/>
        <color rgb="FFFFFFFF"/>
        <rFont val="나눔고딕"/>
        <family val="3"/>
        <charset val="129"/>
      </rPr>
      <t>유사도</t>
    </r>
    <r>
      <rPr>
        <b/>
        <sz val="10"/>
        <color rgb="FFFFFFFF"/>
        <rFont val="Times New Roman"/>
        <family val="1"/>
      </rPr>
      <t>)</t>
    </r>
  </si>
  <si>
    <r>
      <t xml:space="preserve">Justification
(not_affected </t>
    </r>
    <r>
      <rPr>
        <b/>
        <sz val="10"/>
        <color rgb="FFFFFFFF"/>
        <rFont val="나눔고딕"/>
        <family val="3"/>
        <charset val="129"/>
      </rPr>
      <t>시</t>
    </r>
    <r>
      <rPr>
        <b/>
        <sz val="10"/>
        <color rgb="FFFFFFFF"/>
        <rFont val="Times New Roman"/>
        <family val="1"/>
      </rPr>
      <t>)</t>
    </r>
  </si>
  <si>
    <r>
      <t>AFR_Screening
(CVSS 1</t>
    </r>
    <r>
      <rPr>
        <b/>
        <sz val="10"/>
        <color rgb="FFFFFFFF"/>
        <rFont val="나눔고딕"/>
        <family val="3"/>
        <charset val="129"/>
      </rPr>
      <t>차</t>
    </r>
    <r>
      <rPr>
        <b/>
        <sz val="10"/>
        <color rgb="FFFFFFFF"/>
        <rFont val="Times New Roman"/>
        <family val="1"/>
      </rPr>
      <t>)</t>
    </r>
  </si>
  <si>
    <r>
      <t xml:space="preserve">AFR_Method
(TAGS </t>
    </r>
    <r>
      <rPr>
        <b/>
        <sz val="10"/>
        <color rgb="FFFFFFFF"/>
        <rFont val="나눔고딕"/>
        <family val="3"/>
        <charset val="129"/>
      </rPr>
      <t>연동</t>
    </r>
    <r>
      <rPr>
        <b/>
        <sz val="10"/>
        <color rgb="FFFFFFFF"/>
        <rFont val="Times New Roman"/>
        <family val="1"/>
      </rPr>
      <t>)</t>
    </r>
  </si>
  <si>
    <r>
      <t xml:space="preserve">AFR_Level
(TAGS </t>
    </r>
    <r>
      <rPr>
        <b/>
        <sz val="10"/>
        <color rgb="FFFFFFFF"/>
        <rFont val="나눔고딕"/>
        <family val="3"/>
        <charset val="129"/>
      </rPr>
      <t>연동</t>
    </r>
    <r>
      <rPr>
        <b/>
        <sz val="10"/>
        <color rgb="FFFFFFFF"/>
        <rFont val="Times New Roman"/>
        <family val="1"/>
      </rPr>
      <t>)</t>
    </r>
  </si>
  <si>
    <r>
      <t>Similar_Case_Ref
(</t>
    </r>
    <r>
      <rPr>
        <b/>
        <sz val="10"/>
        <color rgb="FFFFFFFF"/>
        <rFont val="나눔고딕"/>
        <family val="3"/>
        <charset val="129"/>
      </rPr>
      <t>임베딩</t>
    </r>
    <r>
      <rPr>
        <b/>
        <sz val="10"/>
        <color rgb="FFFFFFFF"/>
        <rFont val="Times New Roman"/>
        <family val="1"/>
      </rPr>
      <t xml:space="preserve"> </t>
    </r>
    <r>
      <rPr>
        <b/>
        <sz val="10"/>
        <color rgb="FFFFFFFF"/>
        <rFont val="나눔고딕"/>
        <family val="3"/>
        <charset val="129"/>
      </rPr>
      <t>참고</t>
    </r>
    <r>
      <rPr>
        <b/>
        <sz val="10"/>
        <color rgb="FFFFFFFF"/>
        <rFont val="Times New Roman"/>
        <family val="1"/>
      </rPr>
      <t>)</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</si>
  <si>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Exact</t>
    </r>
  </si>
  <si>
    <r>
      <rPr>
        <sz val="10"/>
        <rFont val="나눔고딕"/>
        <family val="3"/>
        <charset val="129"/>
      </rPr>
      <t>취약점</t>
    </r>
    <r>
      <rPr>
        <sz val="10"/>
        <rFont val="Times New Roman"/>
        <family val="1"/>
      </rPr>
      <t xml:space="preserve"> </t>
    </r>
    <r>
      <rPr>
        <sz val="10"/>
        <rFont val="나눔고딕"/>
        <family val="3"/>
        <charset val="129"/>
      </rPr>
      <t>확정</t>
    </r>
  </si>
  <si>
    <r>
      <rPr>
        <sz val="10"/>
        <rFont val="나눔고딕"/>
        <family val="3"/>
        <charset val="129"/>
      </rPr>
      <t>담당자</t>
    </r>
    <r>
      <rPr>
        <sz val="10"/>
        <rFont val="Times New Roman"/>
        <family val="1"/>
      </rPr>
      <t>A</t>
    </r>
  </si>
  <si>
    <r>
      <t>[</t>
    </r>
    <r>
      <rPr>
        <sz val="10"/>
        <rFont val="나눔고딕"/>
        <family val="3"/>
        <charset val="129"/>
      </rPr>
      <t>테스트</t>
    </r>
    <r>
      <rPr>
        <sz val="10"/>
        <rFont val="Times New Roman"/>
        <family val="1"/>
      </rPr>
      <t>] Exact</t>
    </r>
  </si>
  <si>
    <r>
      <rPr>
        <sz val="10"/>
        <rFont val="나눔고딕"/>
        <family val="3"/>
        <charset val="129"/>
      </rPr>
      <t>담당자</t>
    </r>
    <r>
      <rPr>
        <sz val="10"/>
        <rFont val="Times New Roman"/>
        <family val="1"/>
      </rPr>
      <t>B</t>
    </r>
  </si>
  <si>
    <r>
      <rPr>
        <sz val="10"/>
        <rFont val="나눔고딕"/>
        <family val="3"/>
        <charset val="129"/>
      </rPr>
      <t>약점</t>
    </r>
    <r>
      <rPr>
        <sz val="10"/>
        <rFont val="Times New Roman"/>
        <family val="1"/>
      </rPr>
      <t xml:space="preserve"> </t>
    </r>
    <r>
      <rPr>
        <sz val="10"/>
        <rFont val="나눔고딕"/>
        <family val="3"/>
        <charset val="129"/>
      </rPr>
      <t>종결</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</si>
  <si>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Exact(</t>
    </r>
    <r>
      <rPr>
        <sz val="10"/>
        <rFont val="나눔고딕"/>
        <family val="3"/>
        <charset val="129"/>
      </rPr>
      <t>경계</t>
    </r>
    <r>
      <rPr>
        <sz val="10"/>
        <rFont val="Times New Roman"/>
        <family val="1"/>
      </rPr>
      <t xml:space="preserve"> 4.0)</t>
    </r>
  </si>
  <si>
    <r>
      <t>[</t>
    </r>
    <r>
      <rPr>
        <sz val="10"/>
        <rFont val="나눔고딕"/>
        <family val="3"/>
        <charset val="129"/>
      </rPr>
      <t>테스트</t>
    </r>
    <r>
      <rPr>
        <sz val="10"/>
        <rFont val="Times New Roman"/>
        <family val="1"/>
      </rPr>
      <t>] Exact(</t>
    </r>
    <r>
      <rPr>
        <sz val="10"/>
        <rFont val="나눔고딕"/>
        <family val="3"/>
        <charset val="129"/>
      </rPr>
      <t>경계</t>
    </r>
    <r>
      <rPr>
        <sz val="10"/>
        <rFont val="Times New Roman"/>
        <family val="1"/>
      </rPr>
      <t xml:space="preserve"> 4.0)</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</si>
  <si>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Exact(</t>
    </r>
    <r>
      <rPr>
        <sz val="10"/>
        <rFont val="나눔고딕"/>
        <family val="3"/>
        <charset val="129"/>
      </rPr>
      <t>경계</t>
    </r>
    <r>
      <rPr>
        <sz val="10"/>
        <rFont val="Times New Roman"/>
        <family val="1"/>
      </rPr>
      <t xml:space="preserve"> 7.0)</t>
    </r>
  </si>
  <si>
    <r>
      <t>[</t>
    </r>
    <r>
      <rPr>
        <sz val="10"/>
        <rFont val="나눔고딕"/>
        <family val="3"/>
        <charset val="129"/>
      </rPr>
      <t>테스트</t>
    </r>
    <r>
      <rPr>
        <sz val="10"/>
        <rFont val="Times New Roman"/>
        <family val="1"/>
      </rPr>
      <t>] Exact(</t>
    </r>
    <r>
      <rPr>
        <sz val="10"/>
        <rFont val="나눔고딕"/>
        <family val="3"/>
        <charset val="129"/>
      </rPr>
      <t>경계</t>
    </r>
    <r>
      <rPr>
        <sz val="10"/>
        <rFont val="Times New Roman"/>
        <family val="1"/>
      </rPr>
      <t xml:space="preserve"> 7.0)</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</si>
  <si>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Exact(</t>
    </r>
    <r>
      <rPr>
        <sz val="10"/>
        <rFont val="나눔고딕"/>
        <family val="3"/>
        <charset val="129"/>
      </rPr>
      <t>경계</t>
    </r>
    <r>
      <rPr>
        <sz val="10"/>
        <rFont val="Times New Roman"/>
        <family val="1"/>
      </rPr>
      <t xml:space="preserve"> 9.0)</t>
    </r>
  </si>
  <si>
    <r>
      <t>[</t>
    </r>
    <r>
      <rPr>
        <sz val="10"/>
        <rFont val="나눔고딕"/>
        <family val="3"/>
        <charset val="129"/>
      </rPr>
      <t>테스트</t>
    </r>
    <r>
      <rPr>
        <sz val="10"/>
        <rFont val="Times New Roman"/>
        <family val="1"/>
      </rPr>
      <t>] Exact(</t>
    </r>
    <r>
      <rPr>
        <sz val="10"/>
        <rFont val="나눔고딕"/>
        <family val="3"/>
        <charset val="129"/>
      </rPr>
      <t>경계</t>
    </r>
    <r>
      <rPr>
        <sz val="10"/>
        <rFont val="Times New Roman"/>
        <family val="1"/>
      </rPr>
      <t xml:space="preserve"> 9.0)</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</si>
  <si>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Exact(Very Low)</t>
    </r>
  </si>
  <si>
    <r>
      <t>[</t>
    </r>
    <r>
      <rPr>
        <sz val="10"/>
        <rFont val="나눔고딕"/>
        <family val="3"/>
        <charset val="129"/>
      </rPr>
      <t>테스트</t>
    </r>
    <r>
      <rPr>
        <sz val="10"/>
        <rFont val="Times New Roman"/>
        <family val="1"/>
      </rPr>
      <t>] Exact(Very Low)</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</si>
  <si>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Exact(</t>
    </r>
    <r>
      <rPr>
        <sz val="10"/>
        <rFont val="나눔고딕"/>
        <family val="3"/>
        <charset val="129"/>
      </rPr>
      <t>경계</t>
    </r>
    <r>
      <rPr>
        <sz val="10"/>
        <rFont val="Times New Roman"/>
        <family val="1"/>
      </rPr>
      <t xml:space="preserve"> 3.9)</t>
    </r>
  </si>
  <si>
    <r>
      <t>[</t>
    </r>
    <r>
      <rPr>
        <sz val="10"/>
        <rFont val="나눔고딕"/>
        <family val="3"/>
        <charset val="129"/>
      </rPr>
      <t>테스트</t>
    </r>
    <r>
      <rPr>
        <sz val="10"/>
        <rFont val="Times New Roman"/>
        <family val="1"/>
      </rPr>
      <t>] Exact(</t>
    </r>
    <r>
      <rPr>
        <sz val="10"/>
        <rFont val="나눔고딕"/>
        <family val="3"/>
        <charset val="129"/>
      </rPr>
      <t>경계</t>
    </r>
    <r>
      <rPr>
        <sz val="10"/>
        <rFont val="Times New Roman"/>
        <family val="1"/>
      </rPr>
      <t xml:space="preserve"> 3.9)</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</si>
  <si>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Semantic-&gt;ECU-RKE-001</t>
    </r>
  </si>
  <si>
    <r>
      <t>[</t>
    </r>
    <r>
      <rPr>
        <sz val="10"/>
        <rFont val="나눔고딕"/>
        <family val="3"/>
        <charset val="129"/>
      </rPr>
      <t>테스트</t>
    </r>
    <r>
      <rPr>
        <sz val="10"/>
        <rFont val="Times New Roman"/>
        <family val="1"/>
      </rPr>
      <t>] Semantic-&gt;ECU-RKE-001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</si>
  <si>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Semantic-&gt;ECU-TEL-001</t>
    </r>
  </si>
  <si>
    <r>
      <t>WK-20260802-002 (</t>
    </r>
    <r>
      <rPr>
        <sz val="10"/>
        <rFont val="나눔고딕"/>
        <family val="3"/>
        <charset val="129"/>
      </rPr>
      <t>유사도</t>
    </r>
    <r>
      <rPr>
        <sz val="10"/>
        <rFont val="Times New Roman"/>
        <family val="1"/>
      </rPr>
      <t xml:space="preserve"> 0.75)</t>
    </r>
  </si>
  <si>
    <r>
      <t>[</t>
    </r>
    <r>
      <rPr>
        <sz val="10"/>
        <rFont val="나눔고딕"/>
        <family val="3"/>
        <charset val="129"/>
      </rPr>
      <t>테스트</t>
    </r>
    <r>
      <rPr>
        <sz val="10"/>
        <rFont val="Times New Roman"/>
        <family val="1"/>
      </rPr>
      <t>] Semantic-&gt;ECU-TEL-001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</si>
  <si>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Semantic-&gt;ECU-IVI-001</t>
    </r>
  </si>
  <si>
    <r>
      <t>WK-20260803-003 (</t>
    </r>
    <r>
      <rPr>
        <sz val="10"/>
        <rFont val="나눔고딕"/>
        <family val="3"/>
        <charset val="129"/>
      </rPr>
      <t>유사도</t>
    </r>
    <r>
      <rPr>
        <sz val="10"/>
        <rFont val="Times New Roman"/>
        <family val="1"/>
      </rPr>
      <t xml:space="preserve"> 0.77)</t>
    </r>
  </si>
  <si>
    <r>
      <t>[</t>
    </r>
    <r>
      <rPr>
        <sz val="10"/>
        <rFont val="나눔고딕"/>
        <family val="3"/>
        <charset val="129"/>
      </rPr>
      <t>테스트</t>
    </r>
    <r>
      <rPr>
        <sz val="10"/>
        <rFont val="Times New Roman"/>
        <family val="1"/>
      </rPr>
      <t>] Semantic-&gt;ECU-IVI-001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</si>
  <si>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Semantic-&gt;ECU-BRK-001</t>
    </r>
  </si>
  <si>
    <r>
      <t>WK-20260804-004 (</t>
    </r>
    <r>
      <rPr>
        <sz val="10"/>
        <rFont val="나눔고딕"/>
        <family val="3"/>
        <charset val="129"/>
      </rPr>
      <t>유사도</t>
    </r>
    <r>
      <rPr>
        <sz val="10"/>
        <rFont val="Times New Roman"/>
        <family val="1"/>
      </rPr>
      <t xml:space="preserve"> 0.79)</t>
    </r>
  </si>
  <si>
    <r>
      <t>[</t>
    </r>
    <r>
      <rPr>
        <sz val="10"/>
        <rFont val="나눔고딕"/>
        <family val="3"/>
        <charset val="129"/>
      </rPr>
      <t>테스트</t>
    </r>
    <r>
      <rPr>
        <sz val="10"/>
        <rFont val="Times New Roman"/>
        <family val="1"/>
      </rPr>
      <t>] Semantic-&gt;ECU-BRK-001</t>
    </r>
  </si>
  <si>
    <r>
      <rPr>
        <sz val="10"/>
        <rFont val="나눔고딕"/>
        <family val="3"/>
        <charset val="129"/>
      </rPr>
      <t>현대모비스</t>
    </r>
  </si>
  <si>
    <r>
      <t xml:space="preserve">CGW-3 </t>
    </r>
    <r>
      <rPr>
        <sz val="10"/>
        <rFont val="나눔고딕"/>
        <family val="3"/>
        <charset val="129"/>
      </rPr>
      <t>게이트웨이</t>
    </r>
    <r>
      <rPr>
        <sz val="10"/>
        <rFont val="Times New Roman"/>
        <family val="1"/>
      </rPr>
      <t xml:space="preserve"> </t>
    </r>
    <r>
      <rPr>
        <sz val="10"/>
        <rFont val="나눔고딕"/>
        <family val="3"/>
        <charset val="129"/>
      </rPr>
      <t>모듈</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</si>
  <si>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Semantic-&gt;ECU-GTW-001(</t>
    </r>
    <r>
      <rPr>
        <sz val="10"/>
        <rFont val="나눔고딕"/>
        <family val="3"/>
        <charset val="129"/>
      </rPr>
      <t>한글</t>
    </r>
    <r>
      <rPr>
        <sz val="10"/>
        <rFont val="Times New Roman"/>
        <family val="1"/>
      </rPr>
      <t>)</t>
    </r>
  </si>
  <si>
    <r>
      <t>WK-20260805-005 (</t>
    </r>
    <r>
      <rPr>
        <sz val="10"/>
        <rFont val="나눔고딕"/>
        <family val="3"/>
        <charset val="129"/>
      </rPr>
      <t>유사도</t>
    </r>
    <r>
      <rPr>
        <sz val="10"/>
        <rFont val="Times New Roman"/>
        <family val="1"/>
      </rPr>
      <t xml:space="preserve"> 0.88)</t>
    </r>
  </si>
  <si>
    <r>
      <t>[</t>
    </r>
    <r>
      <rPr>
        <sz val="10"/>
        <rFont val="나눔고딕"/>
        <family val="3"/>
        <charset val="129"/>
      </rPr>
      <t>테스트</t>
    </r>
    <r>
      <rPr>
        <sz val="10"/>
        <rFont val="Times New Roman"/>
        <family val="1"/>
      </rPr>
      <t>] Semantic-&gt;ECU-GTW-001(</t>
    </r>
    <r>
      <rPr>
        <sz val="10"/>
        <rFont val="나눔고딕"/>
        <family val="3"/>
        <charset val="129"/>
      </rPr>
      <t>한글</t>
    </r>
    <r>
      <rPr>
        <sz val="10"/>
        <rFont val="Times New Roman"/>
        <family val="1"/>
      </rPr>
      <t>)</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</si>
  <si>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Semantic-&gt;ECU-BCM-001</t>
    </r>
  </si>
  <si>
    <r>
      <t>WK-20260806-006 (</t>
    </r>
    <r>
      <rPr>
        <sz val="10"/>
        <rFont val="나눔고딕"/>
        <family val="3"/>
        <charset val="129"/>
      </rPr>
      <t>유사도</t>
    </r>
    <r>
      <rPr>
        <sz val="10"/>
        <rFont val="Times New Roman"/>
        <family val="1"/>
      </rPr>
      <t xml:space="preserve"> 0.77)</t>
    </r>
  </si>
  <si>
    <r>
      <t>[</t>
    </r>
    <r>
      <rPr>
        <sz val="10"/>
        <rFont val="나눔고딕"/>
        <family val="3"/>
        <charset val="129"/>
      </rPr>
      <t>테스트</t>
    </r>
    <r>
      <rPr>
        <sz val="10"/>
        <rFont val="Times New Roman"/>
        <family val="1"/>
      </rPr>
      <t>] Semantic-&gt;ECU-BCM-001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</si>
  <si>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Semantic-&gt;ECU-ADAS-001</t>
    </r>
  </si>
  <si>
    <r>
      <t>WK-20260810-010 (</t>
    </r>
    <r>
      <rPr>
        <sz val="10"/>
        <rFont val="나눔고딕"/>
        <family val="3"/>
        <charset val="129"/>
      </rPr>
      <t>유사도</t>
    </r>
    <r>
      <rPr>
        <sz val="10"/>
        <rFont val="Times New Roman"/>
        <family val="1"/>
      </rPr>
      <t xml:space="preserve"> 0.65)</t>
    </r>
  </si>
  <si>
    <r>
      <t>[</t>
    </r>
    <r>
      <rPr>
        <sz val="10"/>
        <rFont val="나눔고딕"/>
        <family val="3"/>
        <charset val="129"/>
      </rPr>
      <t>테스트</t>
    </r>
    <r>
      <rPr>
        <sz val="10"/>
        <rFont val="Times New Roman"/>
        <family val="1"/>
      </rPr>
      <t>] Semantic-&gt;ECU-ADAS-001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</si>
  <si>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Semantic-&gt;ECU-OTA-001</t>
    </r>
  </si>
  <si>
    <r>
      <t>WK-20260808-008 (</t>
    </r>
    <r>
      <rPr>
        <sz val="10"/>
        <rFont val="나눔고딕"/>
        <family val="3"/>
        <charset val="129"/>
      </rPr>
      <t>유사도</t>
    </r>
    <r>
      <rPr>
        <sz val="10"/>
        <rFont val="Times New Roman"/>
        <family val="1"/>
      </rPr>
      <t xml:space="preserve"> 0.78)</t>
    </r>
  </si>
  <si>
    <r>
      <t>[</t>
    </r>
    <r>
      <rPr>
        <sz val="10"/>
        <rFont val="나눔고딕"/>
        <family val="3"/>
        <charset val="129"/>
      </rPr>
      <t>테스트</t>
    </r>
    <r>
      <rPr>
        <sz val="10"/>
        <rFont val="Times New Roman"/>
        <family val="1"/>
      </rPr>
      <t>] Semantic-&gt;ECU-OTA-001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</si>
  <si>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Semantic-&gt;ECU-DIAG-001</t>
    </r>
  </si>
  <si>
    <r>
      <t>WK-20260809-009 (</t>
    </r>
    <r>
      <rPr>
        <sz val="10"/>
        <rFont val="나눔고딕"/>
        <family val="3"/>
        <charset val="129"/>
      </rPr>
      <t>유사도</t>
    </r>
    <r>
      <rPr>
        <sz val="10"/>
        <rFont val="Times New Roman"/>
        <family val="1"/>
      </rPr>
      <t xml:space="preserve"> 0.79)</t>
    </r>
  </si>
  <si>
    <r>
      <t>[</t>
    </r>
    <r>
      <rPr>
        <sz val="10"/>
        <rFont val="나눔고딕"/>
        <family val="3"/>
        <charset val="129"/>
      </rPr>
      <t>테스트</t>
    </r>
    <r>
      <rPr>
        <sz val="10"/>
        <rFont val="Times New Roman"/>
        <family val="1"/>
      </rPr>
      <t>] Semantic-&gt;ECU-DIAG-001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</si>
  <si>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Semantic-&gt;ECU-SEAT-001</t>
    </r>
  </si>
  <si>
    <r>
      <t>WK-20260810-010 (</t>
    </r>
    <r>
      <rPr>
        <sz val="10"/>
        <rFont val="나눔고딕"/>
        <family val="3"/>
        <charset val="129"/>
      </rPr>
      <t>유사도</t>
    </r>
    <r>
      <rPr>
        <sz val="10"/>
        <rFont val="Times New Roman"/>
        <family val="1"/>
      </rPr>
      <t xml:space="preserve"> 0.76)</t>
    </r>
  </si>
  <si>
    <r>
      <t>[</t>
    </r>
    <r>
      <rPr>
        <sz val="10"/>
        <rFont val="나눔고딕"/>
        <family val="3"/>
        <charset val="129"/>
      </rPr>
      <t>테스트</t>
    </r>
    <r>
      <rPr>
        <sz val="10"/>
        <rFont val="Times New Roman"/>
        <family val="1"/>
      </rPr>
      <t>] Semantic-&gt;ECU-SEAT-001</t>
    </r>
  </si>
  <si>
    <r>
      <rPr>
        <sz val="10"/>
        <rFont val="나눔고딕"/>
        <family val="3"/>
        <charset val="129"/>
      </rPr>
      <t>테스트</t>
    </r>
    <r>
      <rPr>
        <sz val="10"/>
        <rFont val="Times New Roman"/>
        <family val="1"/>
      </rPr>
      <t xml:space="preserve"> </t>
    </r>
    <r>
      <rPr>
        <sz val="10"/>
        <rFont val="나눔고딕"/>
        <family val="3"/>
        <charset val="129"/>
      </rPr>
      <t>데이터</t>
    </r>
    <r>
      <rPr>
        <sz val="10"/>
        <rFont val="Times New Roman"/>
        <family val="1"/>
      </rPr>
      <t xml:space="preserve"> — </t>
    </r>
    <r>
      <rPr>
        <sz val="10"/>
        <rFont val="나눔고딕"/>
        <family val="3"/>
        <charset val="129"/>
      </rPr>
      <t>기대</t>
    </r>
    <r>
      <rPr>
        <sz val="10"/>
        <rFont val="Times New Roman"/>
        <family val="1"/>
      </rPr>
      <t xml:space="preserve"> </t>
    </r>
    <r>
      <rPr>
        <sz val="10"/>
        <rFont val="나눔고딕"/>
        <family val="3"/>
        <charset val="129"/>
      </rPr>
      <t>매칭</t>
    </r>
    <r>
      <rPr>
        <sz val="10"/>
        <rFont val="Times New Roman"/>
        <family val="1"/>
      </rPr>
      <t xml:space="preserve"> </t>
    </r>
    <r>
      <rPr>
        <sz val="10"/>
        <rFont val="나눔고딕"/>
        <family val="3"/>
        <charset val="129"/>
      </rPr>
      <t>결과</t>
    </r>
    <r>
      <rPr>
        <sz val="10"/>
        <rFont val="Times New Roman"/>
        <family val="1"/>
      </rPr>
      <t xml:space="preserve">: </t>
    </r>
    <r>
      <rPr>
        <sz val="10"/>
        <rFont val="나눔고딕"/>
        <family val="3"/>
        <charset val="129"/>
      </rPr>
      <t>매칭없음</t>
    </r>
    <r>
      <rPr>
        <sz val="10"/>
        <rFont val="Times New Roman"/>
        <family val="1"/>
      </rPr>
      <t>(</t>
    </r>
    <r>
      <rPr>
        <sz val="10"/>
        <rFont val="나눔고딕"/>
        <family val="3"/>
        <charset val="129"/>
      </rPr>
      <t>신규자산</t>
    </r>
    <r>
      <rPr>
        <sz val="10"/>
        <rFont val="Times New Roman"/>
        <family val="1"/>
      </rPr>
      <t>)</t>
    </r>
  </si>
  <si>
    <r>
      <t>[</t>
    </r>
    <r>
      <rPr>
        <sz val="10"/>
        <rFont val="나눔고딕"/>
        <family val="3"/>
        <charset val="129"/>
      </rPr>
      <t>테스트</t>
    </r>
    <r>
      <rPr>
        <sz val="10"/>
        <rFont val="Times New Roman"/>
        <family val="1"/>
      </rPr>
      <t xml:space="preserve">] </t>
    </r>
    <r>
      <rPr>
        <sz val="10"/>
        <rFont val="나눔고딕"/>
        <family val="3"/>
        <charset val="129"/>
      </rPr>
      <t>매칭없음</t>
    </r>
    <r>
      <rPr>
        <sz val="10"/>
        <rFont val="Times New Roman"/>
        <family val="1"/>
      </rPr>
      <t>(</t>
    </r>
    <r>
      <rPr>
        <sz val="10"/>
        <rFont val="나눔고딕"/>
        <family val="3"/>
        <charset val="129"/>
      </rPr>
      <t>신규자산</t>
    </r>
    <r>
      <rPr>
        <sz val="10"/>
        <rFont val="Times New Roman"/>
        <family val="1"/>
      </rPr>
      <t>)</t>
    </r>
  </si>
  <si>
    <r>
      <t xml:space="preserve">CVSS v3.1 </t>
    </r>
    <r>
      <rPr>
        <b/>
        <sz val="12"/>
        <color rgb="FF1F4E78"/>
        <rFont val="나눔고딕"/>
        <family val="3"/>
        <charset val="129"/>
      </rPr>
      <t>벡터</t>
    </r>
    <r>
      <rPr>
        <b/>
        <sz val="12"/>
        <color rgb="FF1F4E78"/>
        <rFont val="Times New Roman"/>
        <family val="1"/>
      </rPr>
      <t xml:space="preserve"> </t>
    </r>
    <r>
      <rPr>
        <b/>
        <sz val="12"/>
        <color rgb="FF1F4E78"/>
        <rFont val="나눔고딕"/>
        <family val="3"/>
        <charset val="129"/>
      </rPr>
      <t>생성기</t>
    </r>
    <r>
      <rPr>
        <b/>
        <sz val="12"/>
        <color rgb="FF1F4E78"/>
        <rFont val="Times New Roman"/>
        <family val="1"/>
      </rPr>
      <t xml:space="preserve"> (</t>
    </r>
    <r>
      <rPr>
        <b/>
        <sz val="12"/>
        <color rgb="FF1F4E78"/>
        <rFont val="나눔고딕"/>
        <family val="3"/>
        <charset val="129"/>
      </rPr>
      <t>코드</t>
    </r>
    <r>
      <rPr>
        <b/>
        <sz val="12"/>
        <color rgb="FF1F4E78"/>
        <rFont val="Times New Roman"/>
        <family val="1"/>
      </rPr>
      <t xml:space="preserve"> </t>
    </r>
    <r>
      <rPr>
        <b/>
        <sz val="12"/>
        <color rgb="FF1F4E78"/>
        <rFont val="나눔고딕"/>
        <family val="3"/>
        <charset val="129"/>
      </rPr>
      <t>암기</t>
    </r>
    <r>
      <rPr>
        <b/>
        <sz val="12"/>
        <color rgb="FF1F4E78"/>
        <rFont val="Times New Roman"/>
        <family val="1"/>
      </rPr>
      <t xml:space="preserve"> </t>
    </r>
    <r>
      <rPr>
        <b/>
        <sz val="12"/>
        <color rgb="FF1F4E78"/>
        <rFont val="나눔고딕"/>
        <family val="3"/>
        <charset val="129"/>
      </rPr>
      <t>불필요</t>
    </r>
    <r>
      <rPr>
        <b/>
        <sz val="12"/>
        <color rgb="FF1F4E78"/>
        <rFont val="Times New Roman"/>
        <family val="1"/>
      </rPr>
      <t>)</t>
    </r>
  </si>
  <si>
    <r>
      <rPr>
        <i/>
        <sz val="9"/>
        <color rgb="FF666666"/>
        <rFont val="나눔고딕"/>
        <family val="3"/>
        <charset val="129"/>
      </rPr>
      <t>각</t>
    </r>
    <r>
      <rPr>
        <i/>
        <sz val="9"/>
        <color rgb="FF666666"/>
        <rFont val="Times New Roman"/>
        <family val="1"/>
      </rPr>
      <t xml:space="preserve"> </t>
    </r>
    <r>
      <rPr>
        <i/>
        <sz val="9"/>
        <color rgb="FF666666"/>
        <rFont val="나눔고딕"/>
        <family val="3"/>
        <charset val="129"/>
      </rPr>
      <t>항목의</t>
    </r>
    <r>
      <rPr>
        <i/>
        <sz val="9"/>
        <color rgb="FF666666"/>
        <rFont val="Times New Roman"/>
        <family val="1"/>
      </rPr>
      <t xml:space="preserve"> </t>
    </r>
    <r>
      <rPr>
        <i/>
        <sz val="9"/>
        <color rgb="FF666666"/>
        <rFont val="나눔고딕"/>
        <family val="3"/>
        <charset val="129"/>
      </rPr>
      <t>드롭다운</t>
    </r>
    <r>
      <rPr>
        <i/>
        <sz val="9"/>
        <color rgb="FF666666"/>
        <rFont val="Times New Roman"/>
        <family val="1"/>
      </rPr>
      <t>(D</t>
    </r>
    <r>
      <rPr>
        <i/>
        <sz val="9"/>
        <color rgb="FF666666"/>
        <rFont val="나눔고딕"/>
        <family val="3"/>
        <charset val="129"/>
      </rPr>
      <t>열</t>
    </r>
    <r>
      <rPr>
        <i/>
        <sz val="9"/>
        <color rgb="FF666666"/>
        <rFont val="Times New Roman"/>
        <family val="1"/>
      </rPr>
      <t>)</t>
    </r>
    <r>
      <rPr>
        <i/>
        <sz val="9"/>
        <color rgb="FF666666"/>
        <rFont val="나눔고딕"/>
        <family val="3"/>
        <charset val="129"/>
      </rPr>
      <t>에서</t>
    </r>
    <r>
      <rPr>
        <i/>
        <sz val="9"/>
        <color rgb="FF666666"/>
        <rFont val="Times New Roman"/>
        <family val="1"/>
      </rPr>
      <t xml:space="preserve"> </t>
    </r>
    <r>
      <rPr>
        <i/>
        <sz val="9"/>
        <color rgb="FF666666"/>
        <rFont val="나눔고딕"/>
        <family val="3"/>
        <charset val="129"/>
      </rPr>
      <t>취약점</t>
    </r>
    <r>
      <rPr>
        <i/>
        <sz val="9"/>
        <color rgb="FF666666"/>
        <rFont val="Times New Roman"/>
        <family val="1"/>
      </rPr>
      <t xml:space="preserve"> </t>
    </r>
    <r>
      <rPr>
        <i/>
        <sz val="9"/>
        <color rgb="FF666666"/>
        <rFont val="나눔고딕"/>
        <family val="3"/>
        <charset val="129"/>
      </rPr>
      <t>상황에</t>
    </r>
    <r>
      <rPr>
        <i/>
        <sz val="9"/>
        <color rgb="FF666666"/>
        <rFont val="Times New Roman"/>
        <family val="1"/>
      </rPr>
      <t xml:space="preserve"> </t>
    </r>
    <r>
      <rPr>
        <i/>
        <sz val="9"/>
        <color rgb="FF666666"/>
        <rFont val="나눔고딕"/>
        <family val="3"/>
        <charset val="129"/>
      </rPr>
      <t>맞는</t>
    </r>
    <r>
      <rPr>
        <i/>
        <sz val="9"/>
        <color rgb="FF666666"/>
        <rFont val="Times New Roman"/>
        <family val="1"/>
      </rPr>
      <t xml:space="preserve"> </t>
    </r>
    <r>
      <rPr>
        <i/>
        <sz val="9"/>
        <color rgb="FF666666"/>
        <rFont val="나눔고딕"/>
        <family val="3"/>
        <charset val="129"/>
      </rPr>
      <t>설명을</t>
    </r>
    <r>
      <rPr>
        <i/>
        <sz val="9"/>
        <color rgb="FF666666"/>
        <rFont val="Times New Roman"/>
        <family val="1"/>
      </rPr>
      <t xml:space="preserve"> </t>
    </r>
    <r>
      <rPr>
        <i/>
        <sz val="9"/>
        <color rgb="FF666666"/>
        <rFont val="나눔고딕"/>
        <family val="3"/>
        <charset val="129"/>
      </rPr>
      <t>고르세요</t>
    </r>
    <r>
      <rPr>
        <i/>
        <sz val="9"/>
        <color rgb="FF666666"/>
        <rFont val="Times New Roman"/>
        <family val="1"/>
      </rPr>
      <t xml:space="preserve">. </t>
    </r>
    <r>
      <rPr>
        <i/>
        <sz val="9"/>
        <color rgb="FF666666"/>
        <rFont val="나눔고딕"/>
        <family val="3"/>
        <charset val="129"/>
      </rPr>
      <t>코드는</t>
    </r>
    <r>
      <rPr>
        <i/>
        <sz val="9"/>
        <color rgb="FF666666"/>
        <rFont val="Times New Roman"/>
        <family val="1"/>
      </rPr>
      <t xml:space="preserve"> </t>
    </r>
    <r>
      <rPr>
        <i/>
        <sz val="9"/>
        <color rgb="FF666666"/>
        <rFont val="나눔고딕"/>
        <family val="3"/>
        <charset val="129"/>
      </rPr>
      <t>자동으로</t>
    </r>
    <r>
      <rPr>
        <i/>
        <sz val="9"/>
        <color rgb="FF666666"/>
        <rFont val="Times New Roman"/>
        <family val="1"/>
      </rPr>
      <t xml:space="preserve"> </t>
    </r>
    <r>
      <rPr>
        <i/>
        <sz val="9"/>
        <color rgb="FF666666"/>
        <rFont val="나눔고딕"/>
        <family val="3"/>
        <charset val="129"/>
      </rPr>
      <t>채워집니다</t>
    </r>
    <r>
      <rPr>
        <i/>
        <sz val="9"/>
        <color rgb="FF666666"/>
        <rFont val="Times New Roman"/>
        <family val="1"/>
      </rPr>
      <t>.</t>
    </r>
  </si>
  <si>
    <r>
      <rPr>
        <b/>
        <sz val="10"/>
        <color rgb="FFFFFFFF"/>
        <rFont val="나눔고딕"/>
        <family val="3"/>
        <charset val="129"/>
      </rPr>
      <t>메트릭</t>
    </r>
  </si>
  <si>
    <r>
      <rPr>
        <b/>
        <sz val="10"/>
        <color rgb="FFFFFFFF"/>
        <rFont val="나눔고딕"/>
        <family val="3"/>
        <charset val="129"/>
      </rPr>
      <t>질문</t>
    </r>
  </si>
  <si>
    <r>
      <rPr>
        <b/>
        <sz val="10"/>
        <color rgb="FFFFFFFF"/>
        <rFont val="나눔고딕"/>
        <family val="3"/>
        <charset val="129"/>
      </rPr>
      <t>선택</t>
    </r>
    <r>
      <rPr>
        <b/>
        <sz val="10"/>
        <color rgb="FFFFFFFF"/>
        <rFont val="Times New Roman"/>
        <family val="1"/>
      </rPr>
      <t xml:space="preserve"> (</t>
    </r>
    <r>
      <rPr>
        <b/>
        <sz val="10"/>
        <color rgb="FFFFFFFF"/>
        <rFont val="나눔고딕"/>
        <family val="3"/>
        <charset val="129"/>
      </rPr>
      <t>여기서</t>
    </r>
    <r>
      <rPr>
        <b/>
        <sz val="10"/>
        <color rgb="FFFFFFFF"/>
        <rFont val="Times New Roman"/>
        <family val="1"/>
      </rPr>
      <t xml:space="preserve"> </t>
    </r>
    <r>
      <rPr>
        <b/>
        <sz val="10"/>
        <color rgb="FFFFFFFF"/>
        <rFont val="나눔고딕"/>
        <family val="3"/>
        <charset val="129"/>
      </rPr>
      <t>고르세요</t>
    </r>
    <r>
      <rPr>
        <b/>
        <sz val="10"/>
        <color rgb="FFFFFFFF"/>
        <rFont val="Times New Roman"/>
        <family val="1"/>
      </rPr>
      <t>)</t>
    </r>
  </si>
  <si>
    <r>
      <rPr>
        <b/>
        <sz val="10"/>
        <color rgb="FFFFFFFF"/>
        <rFont val="나눔고딕"/>
        <family val="3"/>
        <charset val="129"/>
      </rPr>
      <t>코드</t>
    </r>
    <r>
      <rPr>
        <b/>
        <sz val="10"/>
        <color rgb="FFFFFFFF"/>
        <rFont val="Times New Roman"/>
        <family val="1"/>
      </rPr>
      <t>(</t>
    </r>
    <r>
      <rPr>
        <b/>
        <sz val="10"/>
        <color rgb="FFFFFFFF"/>
        <rFont val="나눔고딕"/>
        <family val="3"/>
        <charset val="129"/>
      </rPr>
      <t>자동</t>
    </r>
    <r>
      <rPr>
        <b/>
        <sz val="10"/>
        <color rgb="FFFFFFFF"/>
        <rFont val="Times New Roman"/>
        <family val="1"/>
      </rPr>
      <t>)</t>
    </r>
  </si>
  <si>
    <r>
      <rPr>
        <sz val="10"/>
        <rFont val="나눔고딕"/>
        <family val="3"/>
        <charset val="129"/>
      </rPr>
      <t>공격</t>
    </r>
    <r>
      <rPr>
        <sz val="10"/>
        <rFont val="Times New Roman"/>
        <family val="1"/>
      </rPr>
      <t xml:space="preserve"> </t>
    </r>
    <r>
      <rPr>
        <sz val="10"/>
        <rFont val="나눔고딕"/>
        <family val="3"/>
        <charset val="129"/>
      </rPr>
      <t>벡터</t>
    </r>
    <r>
      <rPr>
        <sz val="10"/>
        <rFont val="Times New Roman"/>
        <family val="1"/>
      </rPr>
      <t xml:space="preserve"> - </t>
    </r>
    <r>
      <rPr>
        <sz val="10"/>
        <rFont val="나눔고딕"/>
        <family val="3"/>
        <charset val="129"/>
      </rPr>
      <t>어디서</t>
    </r>
    <r>
      <rPr>
        <sz val="10"/>
        <rFont val="Times New Roman"/>
        <family val="1"/>
      </rPr>
      <t xml:space="preserve"> </t>
    </r>
    <r>
      <rPr>
        <sz val="10"/>
        <rFont val="나눔고딕"/>
        <family val="3"/>
        <charset val="129"/>
      </rPr>
      <t>접근해야</t>
    </r>
    <r>
      <rPr>
        <sz val="10"/>
        <rFont val="Times New Roman"/>
        <family val="1"/>
      </rPr>
      <t xml:space="preserve"> </t>
    </r>
    <r>
      <rPr>
        <sz val="10"/>
        <rFont val="나눔고딕"/>
        <family val="3"/>
        <charset val="129"/>
      </rPr>
      <t>하나</t>
    </r>
    <r>
      <rPr>
        <sz val="10"/>
        <rFont val="Times New Roman"/>
        <family val="1"/>
      </rPr>
      <t>?</t>
    </r>
  </si>
  <si>
    <r>
      <rPr>
        <sz val="10"/>
        <rFont val="나눔고딕"/>
        <family val="3"/>
        <charset val="129"/>
      </rPr>
      <t>인터넷</t>
    </r>
    <r>
      <rPr>
        <sz val="10"/>
        <rFont val="Times New Roman"/>
        <family val="1"/>
      </rPr>
      <t>/</t>
    </r>
    <r>
      <rPr>
        <sz val="10"/>
        <rFont val="나눔고딕"/>
        <family val="3"/>
        <charset val="129"/>
      </rPr>
      <t>원격에서</t>
    </r>
    <r>
      <rPr>
        <sz val="10"/>
        <rFont val="Times New Roman"/>
        <family val="1"/>
      </rPr>
      <t xml:space="preserve"> </t>
    </r>
    <r>
      <rPr>
        <sz val="10"/>
        <rFont val="나눔고딕"/>
        <family val="3"/>
        <charset val="129"/>
      </rPr>
      <t>접근</t>
    </r>
    <r>
      <rPr>
        <sz val="10"/>
        <rFont val="Times New Roman"/>
        <family val="1"/>
      </rPr>
      <t xml:space="preserve"> </t>
    </r>
    <r>
      <rPr>
        <sz val="10"/>
        <rFont val="나눔고딕"/>
        <family val="3"/>
        <charset val="129"/>
      </rPr>
      <t>가능</t>
    </r>
    <r>
      <rPr>
        <sz val="10"/>
        <rFont val="Times New Roman"/>
        <family val="1"/>
      </rPr>
      <t xml:space="preserve"> (Network)</t>
    </r>
  </si>
  <si>
    <r>
      <rPr>
        <sz val="11"/>
        <color theme="1"/>
        <rFont val="나눔고딕"/>
        <family val="3"/>
        <charset val="129"/>
      </rPr>
      <t>인터넷</t>
    </r>
    <r>
      <rPr>
        <sz val="11"/>
        <color theme="1"/>
        <rFont val="Times New Roman"/>
        <family val="1"/>
      </rPr>
      <t>/</t>
    </r>
    <r>
      <rPr>
        <sz val="11"/>
        <color theme="1"/>
        <rFont val="나눔고딕"/>
        <family val="3"/>
        <charset val="129"/>
      </rPr>
      <t>원격에서</t>
    </r>
    <r>
      <rPr>
        <sz val="11"/>
        <color theme="1"/>
        <rFont val="Times New Roman"/>
        <family val="1"/>
      </rPr>
      <t xml:space="preserve"> </t>
    </r>
    <r>
      <rPr>
        <sz val="11"/>
        <color theme="1"/>
        <rFont val="나눔고딕"/>
        <family val="3"/>
        <charset val="129"/>
      </rPr>
      <t>접근</t>
    </r>
    <r>
      <rPr>
        <sz val="11"/>
        <color theme="1"/>
        <rFont val="Times New Roman"/>
        <family val="1"/>
      </rPr>
      <t xml:space="preserve"> </t>
    </r>
    <r>
      <rPr>
        <sz val="11"/>
        <color theme="1"/>
        <rFont val="나눔고딕"/>
        <family val="3"/>
        <charset val="129"/>
      </rPr>
      <t>가능</t>
    </r>
    <r>
      <rPr>
        <sz val="11"/>
        <color theme="1"/>
        <rFont val="Times New Roman"/>
        <family val="1"/>
      </rPr>
      <t xml:space="preserve"> (Network)</t>
    </r>
  </si>
  <si>
    <r>
      <rPr>
        <sz val="11"/>
        <color theme="1"/>
        <rFont val="나눔고딕"/>
        <family val="3"/>
        <charset val="129"/>
      </rPr>
      <t>특별한</t>
    </r>
    <r>
      <rPr>
        <sz val="11"/>
        <color theme="1"/>
        <rFont val="Times New Roman"/>
        <family val="1"/>
      </rPr>
      <t xml:space="preserve"> </t>
    </r>
    <r>
      <rPr>
        <sz val="11"/>
        <color theme="1"/>
        <rFont val="나눔고딕"/>
        <family val="3"/>
        <charset val="129"/>
      </rPr>
      <t>조건</t>
    </r>
    <r>
      <rPr>
        <sz val="11"/>
        <color theme="1"/>
        <rFont val="Times New Roman"/>
        <family val="1"/>
      </rPr>
      <t xml:space="preserve"> </t>
    </r>
    <r>
      <rPr>
        <sz val="11"/>
        <color theme="1"/>
        <rFont val="나눔고딕"/>
        <family val="3"/>
        <charset val="129"/>
      </rPr>
      <t>없이</t>
    </r>
    <r>
      <rPr>
        <sz val="11"/>
        <color theme="1"/>
        <rFont val="Times New Roman"/>
        <family val="1"/>
      </rPr>
      <t xml:space="preserve"> </t>
    </r>
    <r>
      <rPr>
        <sz val="11"/>
        <color theme="1"/>
        <rFont val="나눔고딕"/>
        <family val="3"/>
        <charset val="129"/>
      </rPr>
      <t>바로</t>
    </r>
    <r>
      <rPr>
        <sz val="11"/>
        <color theme="1"/>
        <rFont val="Times New Roman"/>
        <family val="1"/>
      </rPr>
      <t xml:space="preserve"> </t>
    </r>
    <r>
      <rPr>
        <sz val="11"/>
        <color theme="1"/>
        <rFont val="나눔고딕"/>
        <family val="3"/>
        <charset val="129"/>
      </rPr>
      <t>가능</t>
    </r>
    <r>
      <rPr>
        <sz val="11"/>
        <color theme="1"/>
        <rFont val="Times New Roman"/>
        <family val="1"/>
      </rPr>
      <t xml:space="preserve"> (Low)</t>
    </r>
  </si>
  <si>
    <r>
      <rPr>
        <sz val="11"/>
        <color theme="1"/>
        <rFont val="나눔고딕"/>
        <family val="3"/>
        <charset val="129"/>
      </rPr>
      <t>권한</t>
    </r>
    <r>
      <rPr>
        <sz val="11"/>
        <color theme="1"/>
        <rFont val="Times New Roman"/>
        <family val="1"/>
      </rPr>
      <t xml:space="preserve"> </t>
    </r>
    <r>
      <rPr>
        <sz val="11"/>
        <color theme="1"/>
        <rFont val="나눔고딕"/>
        <family val="3"/>
        <charset val="129"/>
      </rPr>
      <t>필요</t>
    </r>
    <r>
      <rPr>
        <sz val="11"/>
        <color theme="1"/>
        <rFont val="Times New Roman"/>
        <family val="1"/>
      </rPr>
      <t xml:space="preserve"> </t>
    </r>
    <r>
      <rPr>
        <sz val="11"/>
        <color theme="1"/>
        <rFont val="나눔고딕"/>
        <family val="3"/>
        <charset val="129"/>
      </rPr>
      <t>없음</t>
    </r>
    <r>
      <rPr>
        <sz val="11"/>
        <color theme="1"/>
        <rFont val="Times New Roman"/>
        <family val="1"/>
      </rPr>
      <t xml:space="preserve"> (None)</t>
    </r>
  </si>
  <si>
    <r>
      <rPr>
        <sz val="11"/>
        <color theme="1"/>
        <rFont val="나눔고딕"/>
        <family val="3"/>
        <charset val="129"/>
      </rPr>
      <t>사용자</t>
    </r>
    <r>
      <rPr>
        <sz val="11"/>
        <color theme="1"/>
        <rFont val="Times New Roman"/>
        <family val="1"/>
      </rPr>
      <t xml:space="preserve"> </t>
    </r>
    <r>
      <rPr>
        <sz val="11"/>
        <color theme="1"/>
        <rFont val="나눔고딕"/>
        <family val="3"/>
        <charset val="129"/>
      </rPr>
      <t>개입</t>
    </r>
    <r>
      <rPr>
        <sz val="11"/>
        <color theme="1"/>
        <rFont val="Times New Roman"/>
        <family val="1"/>
      </rPr>
      <t xml:space="preserve"> </t>
    </r>
    <r>
      <rPr>
        <sz val="11"/>
        <color theme="1"/>
        <rFont val="나눔고딕"/>
        <family val="3"/>
        <charset val="129"/>
      </rPr>
      <t>불필요</t>
    </r>
    <r>
      <rPr>
        <sz val="11"/>
        <color theme="1"/>
        <rFont val="Times New Roman"/>
        <family val="1"/>
      </rPr>
      <t xml:space="preserve"> (None)</t>
    </r>
  </si>
  <si>
    <r>
      <rPr>
        <sz val="11"/>
        <color theme="1"/>
        <rFont val="나눔고딕"/>
        <family val="3"/>
        <charset val="129"/>
      </rPr>
      <t>이</t>
    </r>
    <r>
      <rPr>
        <sz val="11"/>
        <color theme="1"/>
        <rFont val="Times New Roman"/>
        <family val="1"/>
      </rPr>
      <t xml:space="preserve"> </t>
    </r>
    <r>
      <rPr>
        <sz val="11"/>
        <color theme="1"/>
        <rFont val="나눔고딕"/>
        <family val="3"/>
        <charset val="129"/>
      </rPr>
      <t>컴포넌트</t>
    </r>
    <r>
      <rPr>
        <sz val="11"/>
        <color theme="1"/>
        <rFont val="Times New Roman"/>
        <family val="1"/>
      </rPr>
      <t xml:space="preserve"> </t>
    </r>
    <r>
      <rPr>
        <sz val="11"/>
        <color theme="1"/>
        <rFont val="나눔고딕"/>
        <family val="3"/>
        <charset val="129"/>
      </rPr>
      <t>안에서</t>
    </r>
    <r>
      <rPr>
        <sz val="11"/>
        <color theme="1"/>
        <rFont val="Times New Roman"/>
        <family val="1"/>
      </rPr>
      <t xml:space="preserve"> </t>
    </r>
    <r>
      <rPr>
        <sz val="11"/>
        <color theme="1"/>
        <rFont val="나눔고딕"/>
        <family val="3"/>
        <charset val="129"/>
      </rPr>
      <t>끝남</t>
    </r>
    <r>
      <rPr>
        <sz val="11"/>
        <color theme="1"/>
        <rFont val="Times New Roman"/>
        <family val="1"/>
      </rPr>
      <t xml:space="preserve"> (Unchanged)</t>
    </r>
  </si>
  <si>
    <r>
      <rPr>
        <sz val="11"/>
        <color theme="1"/>
        <rFont val="나눔고딕"/>
        <family val="3"/>
        <charset val="129"/>
      </rPr>
      <t>영향</t>
    </r>
    <r>
      <rPr>
        <sz val="11"/>
        <color theme="1"/>
        <rFont val="Times New Roman"/>
        <family val="1"/>
      </rPr>
      <t xml:space="preserve"> </t>
    </r>
    <r>
      <rPr>
        <sz val="11"/>
        <color theme="1"/>
        <rFont val="나눔고딕"/>
        <family val="3"/>
        <charset val="129"/>
      </rPr>
      <t>없음</t>
    </r>
    <r>
      <rPr>
        <sz val="11"/>
        <color theme="1"/>
        <rFont val="Times New Roman"/>
        <family val="1"/>
      </rPr>
      <t xml:space="preserve"> (None)</t>
    </r>
  </si>
  <si>
    <r>
      <rPr>
        <sz val="10"/>
        <rFont val="나눔고딕"/>
        <family val="3"/>
        <charset val="129"/>
      </rPr>
      <t>공격</t>
    </r>
    <r>
      <rPr>
        <sz val="10"/>
        <rFont val="Times New Roman"/>
        <family val="1"/>
      </rPr>
      <t xml:space="preserve"> </t>
    </r>
    <r>
      <rPr>
        <sz val="10"/>
        <rFont val="나눔고딕"/>
        <family val="3"/>
        <charset val="129"/>
      </rPr>
      <t>복잡도</t>
    </r>
    <r>
      <rPr>
        <sz val="10"/>
        <rFont val="Times New Roman"/>
        <family val="1"/>
      </rPr>
      <t xml:space="preserve"> - </t>
    </r>
    <r>
      <rPr>
        <sz val="10"/>
        <rFont val="나눔고딕"/>
        <family val="3"/>
        <charset val="129"/>
      </rPr>
      <t>조건이</t>
    </r>
    <r>
      <rPr>
        <sz val="10"/>
        <rFont val="Times New Roman"/>
        <family val="1"/>
      </rPr>
      <t xml:space="preserve"> </t>
    </r>
    <r>
      <rPr>
        <sz val="10"/>
        <rFont val="나눔고딕"/>
        <family val="3"/>
        <charset val="129"/>
      </rPr>
      <t>까다로운가</t>
    </r>
    <r>
      <rPr>
        <sz val="10"/>
        <rFont val="Times New Roman"/>
        <family val="1"/>
      </rPr>
      <t>?</t>
    </r>
  </si>
  <si>
    <r>
      <rPr>
        <sz val="10"/>
        <rFont val="나눔고딕"/>
        <family val="3"/>
        <charset val="129"/>
      </rPr>
      <t>특별한</t>
    </r>
    <r>
      <rPr>
        <sz val="10"/>
        <rFont val="Times New Roman"/>
        <family val="1"/>
      </rPr>
      <t xml:space="preserve"> </t>
    </r>
    <r>
      <rPr>
        <sz val="10"/>
        <rFont val="나눔고딕"/>
        <family val="3"/>
        <charset val="129"/>
      </rPr>
      <t>조건</t>
    </r>
    <r>
      <rPr>
        <sz val="10"/>
        <rFont val="Times New Roman"/>
        <family val="1"/>
      </rPr>
      <t xml:space="preserve"> </t>
    </r>
    <r>
      <rPr>
        <sz val="10"/>
        <rFont val="나눔고딕"/>
        <family val="3"/>
        <charset val="129"/>
      </rPr>
      <t>없이</t>
    </r>
    <r>
      <rPr>
        <sz val="10"/>
        <rFont val="Times New Roman"/>
        <family val="1"/>
      </rPr>
      <t xml:space="preserve"> </t>
    </r>
    <r>
      <rPr>
        <sz val="10"/>
        <rFont val="나눔고딕"/>
        <family val="3"/>
        <charset val="129"/>
      </rPr>
      <t>바로</t>
    </r>
    <r>
      <rPr>
        <sz val="10"/>
        <rFont val="Times New Roman"/>
        <family val="1"/>
      </rPr>
      <t xml:space="preserve"> </t>
    </r>
    <r>
      <rPr>
        <sz val="10"/>
        <rFont val="나눔고딕"/>
        <family val="3"/>
        <charset val="129"/>
      </rPr>
      <t>가능</t>
    </r>
    <r>
      <rPr>
        <sz val="10"/>
        <rFont val="Times New Roman"/>
        <family val="1"/>
      </rPr>
      <t xml:space="preserve"> (Low)</t>
    </r>
  </si>
  <si>
    <r>
      <rPr>
        <sz val="11"/>
        <color theme="1"/>
        <rFont val="나눔고딕"/>
        <family val="3"/>
        <charset val="129"/>
      </rPr>
      <t>같은</t>
    </r>
    <r>
      <rPr>
        <sz val="11"/>
        <color theme="1"/>
        <rFont val="Times New Roman"/>
        <family val="1"/>
      </rPr>
      <t xml:space="preserve"> </t>
    </r>
    <r>
      <rPr>
        <sz val="11"/>
        <color theme="1"/>
        <rFont val="나눔고딕"/>
        <family val="3"/>
        <charset val="129"/>
      </rPr>
      <t>근거리망</t>
    </r>
    <r>
      <rPr>
        <sz val="11"/>
        <color theme="1"/>
        <rFont val="Times New Roman"/>
        <family val="1"/>
      </rPr>
      <t xml:space="preserve">(CAN, Wi-Fi </t>
    </r>
    <r>
      <rPr>
        <sz val="11"/>
        <color theme="1"/>
        <rFont val="나눔고딕"/>
        <family val="3"/>
        <charset val="129"/>
      </rPr>
      <t>등</t>
    </r>
    <r>
      <rPr>
        <sz val="11"/>
        <color theme="1"/>
        <rFont val="Times New Roman"/>
        <family val="1"/>
      </rPr>
      <t xml:space="preserve">) </t>
    </r>
    <r>
      <rPr>
        <sz val="11"/>
        <color theme="1"/>
        <rFont val="나눔고딕"/>
        <family val="3"/>
        <charset val="129"/>
      </rPr>
      <t>안에서만</t>
    </r>
    <r>
      <rPr>
        <sz val="11"/>
        <color theme="1"/>
        <rFont val="Times New Roman"/>
        <family val="1"/>
      </rPr>
      <t xml:space="preserve"> (Adjacent)</t>
    </r>
  </si>
  <si>
    <r>
      <rPr>
        <sz val="11"/>
        <color theme="1"/>
        <rFont val="나눔고딕"/>
        <family val="3"/>
        <charset val="129"/>
      </rPr>
      <t>특정</t>
    </r>
    <r>
      <rPr>
        <sz val="11"/>
        <color theme="1"/>
        <rFont val="Times New Roman"/>
        <family val="1"/>
      </rPr>
      <t xml:space="preserve"> </t>
    </r>
    <r>
      <rPr>
        <sz val="11"/>
        <color theme="1"/>
        <rFont val="나눔고딕"/>
        <family val="3"/>
        <charset val="129"/>
      </rPr>
      <t>타이밍</t>
    </r>
    <r>
      <rPr>
        <sz val="11"/>
        <color theme="1"/>
        <rFont val="Times New Roman"/>
        <family val="1"/>
      </rPr>
      <t>/</t>
    </r>
    <r>
      <rPr>
        <sz val="11"/>
        <color theme="1"/>
        <rFont val="나눔고딕"/>
        <family val="3"/>
        <charset val="129"/>
      </rPr>
      <t>조건이</t>
    </r>
    <r>
      <rPr>
        <sz val="11"/>
        <color theme="1"/>
        <rFont val="Times New Roman"/>
        <family val="1"/>
      </rPr>
      <t xml:space="preserve"> </t>
    </r>
    <r>
      <rPr>
        <sz val="11"/>
        <color theme="1"/>
        <rFont val="나눔고딕"/>
        <family val="3"/>
        <charset val="129"/>
      </rPr>
      <t>맞아야</t>
    </r>
    <r>
      <rPr>
        <sz val="11"/>
        <color theme="1"/>
        <rFont val="Times New Roman"/>
        <family val="1"/>
      </rPr>
      <t xml:space="preserve"> </t>
    </r>
    <r>
      <rPr>
        <sz val="11"/>
        <color theme="1"/>
        <rFont val="나눔고딕"/>
        <family val="3"/>
        <charset val="129"/>
      </rPr>
      <t>함</t>
    </r>
    <r>
      <rPr>
        <sz val="11"/>
        <color theme="1"/>
        <rFont val="Times New Roman"/>
        <family val="1"/>
      </rPr>
      <t xml:space="preserve"> (High)</t>
    </r>
  </si>
  <si>
    <r>
      <rPr>
        <sz val="11"/>
        <color theme="1"/>
        <rFont val="나눔고딕"/>
        <family val="3"/>
        <charset val="129"/>
      </rPr>
      <t>일반</t>
    </r>
    <r>
      <rPr>
        <sz val="11"/>
        <color theme="1"/>
        <rFont val="Times New Roman"/>
        <family val="1"/>
      </rPr>
      <t xml:space="preserve"> </t>
    </r>
    <r>
      <rPr>
        <sz val="11"/>
        <color theme="1"/>
        <rFont val="나눔고딕"/>
        <family val="3"/>
        <charset val="129"/>
      </rPr>
      <t>사용자</t>
    </r>
    <r>
      <rPr>
        <sz val="11"/>
        <color theme="1"/>
        <rFont val="Times New Roman"/>
        <family val="1"/>
      </rPr>
      <t xml:space="preserve"> </t>
    </r>
    <r>
      <rPr>
        <sz val="11"/>
        <color theme="1"/>
        <rFont val="나눔고딕"/>
        <family val="3"/>
        <charset val="129"/>
      </rPr>
      <t>권한</t>
    </r>
    <r>
      <rPr>
        <sz val="11"/>
        <color theme="1"/>
        <rFont val="Times New Roman"/>
        <family val="1"/>
      </rPr>
      <t xml:space="preserve"> </t>
    </r>
    <r>
      <rPr>
        <sz val="11"/>
        <color theme="1"/>
        <rFont val="나눔고딕"/>
        <family val="3"/>
        <charset val="129"/>
      </rPr>
      <t>필요</t>
    </r>
    <r>
      <rPr>
        <sz val="11"/>
        <color theme="1"/>
        <rFont val="Times New Roman"/>
        <family val="1"/>
      </rPr>
      <t xml:space="preserve"> (Low)</t>
    </r>
  </si>
  <si>
    <r>
      <rPr>
        <sz val="11"/>
        <color theme="1"/>
        <rFont val="나눔고딕"/>
        <family val="3"/>
        <charset val="129"/>
      </rPr>
      <t>사용자가</t>
    </r>
    <r>
      <rPr>
        <sz val="11"/>
        <color theme="1"/>
        <rFont val="Times New Roman"/>
        <family val="1"/>
      </rPr>
      <t xml:space="preserve"> </t>
    </r>
    <r>
      <rPr>
        <sz val="11"/>
        <color theme="1"/>
        <rFont val="나눔고딕"/>
        <family val="3"/>
        <charset val="129"/>
      </rPr>
      <t>뭔가</t>
    </r>
    <r>
      <rPr>
        <sz val="11"/>
        <color theme="1"/>
        <rFont val="Times New Roman"/>
        <family val="1"/>
      </rPr>
      <t xml:space="preserve"> </t>
    </r>
    <r>
      <rPr>
        <sz val="11"/>
        <color theme="1"/>
        <rFont val="나눔고딕"/>
        <family val="3"/>
        <charset val="129"/>
      </rPr>
      <t>해줘야</t>
    </r>
    <r>
      <rPr>
        <sz val="11"/>
        <color theme="1"/>
        <rFont val="Times New Roman"/>
        <family val="1"/>
      </rPr>
      <t xml:space="preserve"> </t>
    </r>
    <r>
      <rPr>
        <sz val="11"/>
        <color theme="1"/>
        <rFont val="나눔고딕"/>
        <family val="3"/>
        <charset val="129"/>
      </rPr>
      <t>함</t>
    </r>
    <r>
      <rPr>
        <sz val="11"/>
        <color theme="1"/>
        <rFont val="Times New Roman"/>
        <family val="1"/>
      </rPr>
      <t xml:space="preserve"> - </t>
    </r>
    <r>
      <rPr>
        <sz val="11"/>
        <color theme="1"/>
        <rFont val="나눔고딕"/>
        <family val="3"/>
        <charset val="129"/>
      </rPr>
      <t>클릭</t>
    </r>
    <r>
      <rPr>
        <sz val="11"/>
        <color theme="1"/>
        <rFont val="Times New Roman"/>
        <family val="1"/>
      </rPr>
      <t>, USB</t>
    </r>
    <r>
      <rPr>
        <sz val="11"/>
        <color theme="1"/>
        <rFont val="나눔고딕"/>
        <family val="3"/>
        <charset val="129"/>
      </rPr>
      <t>꽂기</t>
    </r>
    <r>
      <rPr>
        <sz val="11"/>
        <color theme="1"/>
        <rFont val="Times New Roman"/>
        <family val="1"/>
      </rPr>
      <t xml:space="preserve"> </t>
    </r>
    <r>
      <rPr>
        <sz val="11"/>
        <color theme="1"/>
        <rFont val="나눔고딕"/>
        <family val="3"/>
        <charset val="129"/>
      </rPr>
      <t>등</t>
    </r>
    <r>
      <rPr>
        <sz val="11"/>
        <color theme="1"/>
        <rFont val="Times New Roman"/>
        <family val="1"/>
      </rPr>
      <t xml:space="preserve"> (Required)</t>
    </r>
  </si>
  <si>
    <r>
      <rPr>
        <sz val="11"/>
        <color theme="1"/>
        <rFont val="나눔고딕"/>
        <family val="3"/>
        <charset val="129"/>
      </rPr>
      <t>다른</t>
    </r>
    <r>
      <rPr>
        <sz val="11"/>
        <color theme="1"/>
        <rFont val="Times New Roman"/>
        <family val="1"/>
      </rPr>
      <t xml:space="preserve"> </t>
    </r>
    <r>
      <rPr>
        <sz val="11"/>
        <color theme="1"/>
        <rFont val="나눔고딕"/>
        <family val="3"/>
        <charset val="129"/>
      </rPr>
      <t>보안</t>
    </r>
    <r>
      <rPr>
        <sz val="11"/>
        <color theme="1"/>
        <rFont val="Times New Roman"/>
        <family val="1"/>
      </rPr>
      <t xml:space="preserve"> </t>
    </r>
    <r>
      <rPr>
        <sz val="11"/>
        <color theme="1"/>
        <rFont val="나눔고딕"/>
        <family val="3"/>
        <charset val="129"/>
      </rPr>
      <t>영역까지</t>
    </r>
    <r>
      <rPr>
        <sz val="11"/>
        <color theme="1"/>
        <rFont val="Times New Roman"/>
        <family val="1"/>
      </rPr>
      <t xml:space="preserve"> </t>
    </r>
    <r>
      <rPr>
        <sz val="11"/>
        <color theme="1"/>
        <rFont val="나눔고딕"/>
        <family val="3"/>
        <charset val="129"/>
      </rPr>
      <t>영향이</t>
    </r>
    <r>
      <rPr>
        <sz val="11"/>
        <color theme="1"/>
        <rFont val="Times New Roman"/>
        <family val="1"/>
      </rPr>
      <t xml:space="preserve"> </t>
    </r>
    <r>
      <rPr>
        <sz val="11"/>
        <color theme="1"/>
        <rFont val="나눔고딕"/>
        <family val="3"/>
        <charset val="129"/>
      </rPr>
      <t>번짐</t>
    </r>
    <r>
      <rPr>
        <sz val="11"/>
        <color theme="1"/>
        <rFont val="Times New Roman"/>
        <family val="1"/>
      </rPr>
      <t xml:space="preserve"> (Changed)</t>
    </r>
  </si>
  <si>
    <r>
      <rPr>
        <sz val="11"/>
        <color theme="1"/>
        <rFont val="나눔고딕"/>
        <family val="3"/>
        <charset val="129"/>
      </rPr>
      <t>일부</t>
    </r>
    <r>
      <rPr>
        <sz val="11"/>
        <color theme="1"/>
        <rFont val="Times New Roman"/>
        <family val="1"/>
      </rPr>
      <t xml:space="preserve"> </t>
    </r>
    <r>
      <rPr>
        <sz val="11"/>
        <color theme="1"/>
        <rFont val="나눔고딕"/>
        <family val="3"/>
        <charset val="129"/>
      </rPr>
      <t>정보</t>
    </r>
    <r>
      <rPr>
        <sz val="11"/>
        <color theme="1"/>
        <rFont val="Times New Roman"/>
        <family val="1"/>
      </rPr>
      <t xml:space="preserve"> </t>
    </r>
    <r>
      <rPr>
        <sz val="11"/>
        <color theme="1"/>
        <rFont val="나눔고딕"/>
        <family val="3"/>
        <charset val="129"/>
      </rPr>
      <t>유출</t>
    </r>
    <r>
      <rPr>
        <sz val="11"/>
        <color theme="1"/>
        <rFont val="Times New Roman"/>
        <family val="1"/>
      </rPr>
      <t xml:space="preserve"> (Low)</t>
    </r>
  </si>
  <si>
    <r>
      <rPr>
        <sz val="11"/>
        <color theme="1"/>
        <rFont val="나눔고딕"/>
        <family val="3"/>
        <charset val="129"/>
      </rPr>
      <t>일부</t>
    </r>
    <r>
      <rPr>
        <sz val="11"/>
        <color theme="1"/>
        <rFont val="Times New Roman"/>
        <family val="1"/>
      </rPr>
      <t xml:space="preserve"> </t>
    </r>
    <r>
      <rPr>
        <sz val="11"/>
        <color theme="1"/>
        <rFont val="나눔고딕"/>
        <family val="3"/>
        <charset val="129"/>
      </rPr>
      <t>데이터</t>
    </r>
    <r>
      <rPr>
        <sz val="11"/>
        <color theme="1"/>
        <rFont val="Times New Roman"/>
        <family val="1"/>
      </rPr>
      <t xml:space="preserve"> </t>
    </r>
    <r>
      <rPr>
        <sz val="11"/>
        <color theme="1"/>
        <rFont val="나눔고딕"/>
        <family val="3"/>
        <charset val="129"/>
      </rPr>
      <t>변조</t>
    </r>
    <r>
      <rPr>
        <sz val="11"/>
        <color theme="1"/>
        <rFont val="Times New Roman"/>
        <family val="1"/>
      </rPr>
      <t xml:space="preserve"> </t>
    </r>
    <r>
      <rPr>
        <sz val="11"/>
        <color theme="1"/>
        <rFont val="나눔고딕"/>
        <family val="3"/>
        <charset val="129"/>
      </rPr>
      <t>가능</t>
    </r>
    <r>
      <rPr>
        <sz val="11"/>
        <color theme="1"/>
        <rFont val="Times New Roman"/>
        <family val="1"/>
      </rPr>
      <t xml:space="preserve"> (Low)</t>
    </r>
  </si>
  <si>
    <r>
      <rPr>
        <sz val="11"/>
        <color theme="1"/>
        <rFont val="나눔고딕"/>
        <family val="3"/>
        <charset val="129"/>
      </rPr>
      <t>일부</t>
    </r>
    <r>
      <rPr>
        <sz val="11"/>
        <color theme="1"/>
        <rFont val="Times New Roman"/>
        <family val="1"/>
      </rPr>
      <t xml:space="preserve"> </t>
    </r>
    <r>
      <rPr>
        <sz val="11"/>
        <color theme="1"/>
        <rFont val="나눔고딕"/>
        <family val="3"/>
        <charset val="129"/>
      </rPr>
      <t>성능</t>
    </r>
    <r>
      <rPr>
        <sz val="11"/>
        <color theme="1"/>
        <rFont val="Times New Roman"/>
        <family val="1"/>
      </rPr>
      <t>/</t>
    </r>
    <r>
      <rPr>
        <sz val="11"/>
        <color theme="1"/>
        <rFont val="나눔고딕"/>
        <family val="3"/>
        <charset val="129"/>
      </rPr>
      <t>기능</t>
    </r>
    <r>
      <rPr>
        <sz val="11"/>
        <color theme="1"/>
        <rFont val="Times New Roman"/>
        <family val="1"/>
      </rPr>
      <t xml:space="preserve"> </t>
    </r>
    <r>
      <rPr>
        <sz val="11"/>
        <color theme="1"/>
        <rFont val="나눔고딕"/>
        <family val="3"/>
        <charset val="129"/>
      </rPr>
      <t>저하</t>
    </r>
    <r>
      <rPr>
        <sz val="11"/>
        <color theme="1"/>
        <rFont val="Times New Roman"/>
        <family val="1"/>
      </rPr>
      <t xml:space="preserve"> (Low)</t>
    </r>
  </si>
  <si>
    <r>
      <rPr>
        <sz val="10"/>
        <rFont val="나눔고딕"/>
        <family val="3"/>
        <charset val="129"/>
      </rPr>
      <t>필요</t>
    </r>
    <r>
      <rPr>
        <sz val="10"/>
        <rFont val="Times New Roman"/>
        <family val="1"/>
      </rPr>
      <t xml:space="preserve"> </t>
    </r>
    <r>
      <rPr>
        <sz val="10"/>
        <rFont val="나눔고딕"/>
        <family val="3"/>
        <charset val="129"/>
      </rPr>
      <t>권한</t>
    </r>
    <r>
      <rPr>
        <sz val="10"/>
        <rFont val="Times New Roman"/>
        <family val="1"/>
      </rPr>
      <t xml:space="preserve"> - </t>
    </r>
    <r>
      <rPr>
        <sz val="10"/>
        <rFont val="나눔고딕"/>
        <family val="3"/>
        <charset val="129"/>
      </rPr>
      <t>사전</t>
    </r>
    <r>
      <rPr>
        <sz val="10"/>
        <rFont val="Times New Roman"/>
        <family val="1"/>
      </rPr>
      <t xml:space="preserve"> </t>
    </r>
    <r>
      <rPr>
        <sz val="10"/>
        <rFont val="나눔고딕"/>
        <family val="3"/>
        <charset val="129"/>
      </rPr>
      <t>권한이</t>
    </r>
    <r>
      <rPr>
        <sz val="10"/>
        <rFont val="Times New Roman"/>
        <family val="1"/>
      </rPr>
      <t xml:space="preserve"> </t>
    </r>
    <r>
      <rPr>
        <sz val="10"/>
        <rFont val="나눔고딕"/>
        <family val="3"/>
        <charset val="129"/>
      </rPr>
      <t>필요한가</t>
    </r>
    <r>
      <rPr>
        <sz val="10"/>
        <rFont val="Times New Roman"/>
        <family val="1"/>
      </rPr>
      <t>?</t>
    </r>
  </si>
  <si>
    <r>
      <rPr>
        <sz val="10"/>
        <rFont val="나눔고딕"/>
        <family val="3"/>
        <charset val="129"/>
      </rPr>
      <t>권한</t>
    </r>
    <r>
      <rPr>
        <sz val="10"/>
        <rFont val="Times New Roman"/>
        <family val="1"/>
      </rPr>
      <t xml:space="preserve"> </t>
    </r>
    <r>
      <rPr>
        <sz val="10"/>
        <rFont val="나눔고딕"/>
        <family val="3"/>
        <charset val="129"/>
      </rPr>
      <t>필요</t>
    </r>
    <r>
      <rPr>
        <sz val="10"/>
        <rFont val="Times New Roman"/>
        <family val="1"/>
      </rPr>
      <t xml:space="preserve"> </t>
    </r>
    <r>
      <rPr>
        <sz val="10"/>
        <rFont val="나눔고딕"/>
        <family val="3"/>
        <charset val="129"/>
      </rPr>
      <t>없음</t>
    </r>
    <r>
      <rPr>
        <sz val="10"/>
        <rFont val="Times New Roman"/>
        <family val="1"/>
      </rPr>
      <t xml:space="preserve"> (None)</t>
    </r>
  </si>
  <si>
    <r>
      <rPr>
        <sz val="11"/>
        <color theme="1"/>
        <rFont val="나눔고딕"/>
        <family val="3"/>
        <charset val="129"/>
      </rPr>
      <t>기기에</t>
    </r>
    <r>
      <rPr>
        <sz val="11"/>
        <color theme="1"/>
        <rFont val="Times New Roman"/>
        <family val="1"/>
      </rPr>
      <t xml:space="preserve"> </t>
    </r>
    <r>
      <rPr>
        <sz val="11"/>
        <color theme="1"/>
        <rFont val="나눔고딕"/>
        <family val="3"/>
        <charset val="129"/>
      </rPr>
      <t>로그인하거나</t>
    </r>
    <r>
      <rPr>
        <sz val="11"/>
        <color theme="1"/>
        <rFont val="Times New Roman"/>
        <family val="1"/>
      </rPr>
      <t xml:space="preserve"> </t>
    </r>
    <r>
      <rPr>
        <sz val="11"/>
        <color theme="1"/>
        <rFont val="나눔고딕"/>
        <family val="3"/>
        <charset val="129"/>
      </rPr>
      <t>케이블</t>
    </r>
    <r>
      <rPr>
        <sz val="11"/>
        <color theme="1"/>
        <rFont val="Times New Roman"/>
        <family val="1"/>
      </rPr>
      <t xml:space="preserve"> </t>
    </r>
    <r>
      <rPr>
        <sz val="11"/>
        <color theme="1"/>
        <rFont val="나눔고딕"/>
        <family val="3"/>
        <charset val="129"/>
      </rPr>
      <t>연결</t>
    </r>
    <r>
      <rPr>
        <sz val="11"/>
        <color theme="1"/>
        <rFont val="Times New Roman"/>
        <family val="1"/>
      </rPr>
      <t xml:space="preserve"> </t>
    </r>
    <r>
      <rPr>
        <sz val="11"/>
        <color theme="1"/>
        <rFont val="나눔고딕"/>
        <family val="3"/>
        <charset val="129"/>
      </rPr>
      <t>필요</t>
    </r>
    <r>
      <rPr>
        <sz val="11"/>
        <color theme="1"/>
        <rFont val="Times New Roman"/>
        <family val="1"/>
      </rPr>
      <t xml:space="preserve"> (Local)</t>
    </r>
  </si>
  <si>
    <r>
      <rPr>
        <sz val="11"/>
        <color theme="1"/>
        <rFont val="나눔고딕"/>
        <family val="3"/>
        <charset val="129"/>
      </rPr>
      <t>관리자</t>
    </r>
    <r>
      <rPr>
        <sz val="11"/>
        <color theme="1"/>
        <rFont val="Times New Roman"/>
        <family val="1"/>
      </rPr>
      <t xml:space="preserve"> </t>
    </r>
    <r>
      <rPr>
        <sz val="11"/>
        <color theme="1"/>
        <rFont val="나눔고딕"/>
        <family val="3"/>
        <charset val="129"/>
      </rPr>
      <t>권한</t>
    </r>
    <r>
      <rPr>
        <sz val="11"/>
        <color theme="1"/>
        <rFont val="Times New Roman"/>
        <family val="1"/>
      </rPr>
      <t xml:space="preserve"> </t>
    </r>
    <r>
      <rPr>
        <sz val="11"/>
        <color theme="1"/>
        <rFont val="나눔고딕"/>
        <family val="3"/>
        <charset val="129"/>
      </rPr>
      <t>필요</t>
    </r>
    <r>
      <rPr>
        <sz val="11"/>
        <color theme="1"/>
        <rFont val="Times New Roman"/>
        <family val="1"/>
      </rPr>
      <t xml:space="preserve"> (High)</t>
    </r>
  </si>
  <si>
    <r>
      <rPr>
        <sz val="11"/>
        <color theme="1"/>
        <rFont val="나눔고딕"/>
        <family val="3"/>
        <charset val="129"/>
      </rPr>
      <t>전체</t>
    </r>
    <r>
      <rPr>
        <sz val="11"/>
        <color theme="1"/>
        <rFont val="Times New Roman"/>
        <family val="1"/>
      </rPr>
      <t xml:space="preserve"> </t>
    </r>
    <r>
      <rPr>
        <sz val="11"/>
        <color theme="1"/>
        <rFont val="나눔고딕"/>
        <family val="3"/>
        <charset val="129"/>
      </rPr>
      <t>정보</t>
    </r>
    <r>
      <rPr>
        <sz val="11"/>
        <color theme="1"/>
        <rFont val="Times New Roman"/>
        <family val="1"/>
      </rPr>
      <t xml:space="preserve"> </t>
    </r>
    <r>
      <rPr>
        <sz val="11"/>
        <color theme="1"/>
        <rFont val="나눔고딕"/>
        <family val="3"/>
        <charset val="129"/>
      </rPr>
      <t>유출</t>
    </r>
    <r>
      <rPr>
        <sz val="11"/>
        <color theme="1"/>
        <rFont val="Times New Roman"/>
        <family val="1"/>
      </rPr>
      <t xml:space="preserve"> (High)</t>
    </r>
  </si>
  <si>
    <r>
      <rPr>
        <sz val="11"/>
        <color theme="1"/>
        <rFont val="나눔고딕"/>
        <family val="3"/>
        <charset val="129"/>
      </rPr>
      <t>전체</t>
    </r>
    <r>
      <rPr>
        <sz val="11"/>
        <color theme="1"/>
        <rFont val="Times New Roman"/>
        <family val="1"/>
      </rPr>
      <t xml:space="preserve"> </t>
    </r>
    <r>
      <rPr>
        <sz val="11"/>
        <color theme="1"/>
        <rFont val="나눔고딕"/>
        <family val="3"/>
        <charset val="129"/>
      </rPr>
      <t>데이터</t>
    </r>
    <r>
      <rPr>
        <sz val="11"/>
        <color theme="1"/>
        <rFont val="Times New Roman"/>
        <family val="1"/>
      </rPr>
      <t>/</t>
    </r>
    <r>
      <rPr>
        <sz val="11"/>
        <color theme="1"/>
        <rFont val="나눔고딕"/>
        <family val="3"/>
        <charset val="129"/>
      </rPr>
      <t>펌웨어</t>
    </r>
    <r>
      <rPr>
        <sz val="11"/>
        <color theme="1"/>
        <rFont val="Times New Roman"/>
        <family val="1"/>
      </rPr>
      <t xml:space="preserve"> </t>
    </r>
    <r>
      <rPr>
        <sz val="11"/>
        <color theme="1"/>
        <rFont val="나눔고딕"/>
        <family val="3"/>
        <charset val="129"/>
      </rPr>
      <t>임의</t>
    </r>
    <r>
      <rPr>
        <sz val="11"/>
        <color theme="1"/>
        <rFont val="Times New Roman"/>
        <family val="1"/>
      </rPr>
      <t xml:space="preserve"> </t>
    </r>
    <r>
      <rPr>
        <sz val="11"/>
        <color theme="1"/>
        <rFont val="나눔고딕"/>
        <family val="3"/>
        <charset val="129"/>
      </rPr>
      <t>변조</t>
    </r>
    <r>
      <rPr>
        <sz val="11"/>
        <color theme="1"/>
        <rFont val="Times New Roman"/>
        <family val="1"/>
      </rPr>
      <t xml:space="preserve"> </t>
    </r>
    <r>
      <rPr>
        <sz val="11"/>
        <color theme="1"/>
        <rFont val="나눔고딕"/>
        <family val="3"/>
        <charset val="129"/>
      </rPr>
      <t>가능</t>
    </r>
    <r>
      <rPr>
        <sz val="11"/>
        <color theme="1"/>
        <rFont val="Times New Roman"/>
        <family val="1"/>
      </rPr>
      <t xml:space="preserve"> (High)</t>
    </r>
  </si>
  <si>
    <r>
      <rPr>
        <sz val="11"/>
        <color theme="1"/>
        <rFont val="나눔고딕"/>
        <family val="3"/>
        <charset val="129"/>
      </rPr>
      <t>완전히</t>
    </r>
    <r>
      <rPr>
        <sz val="11"/>
        <color theme="1"/>
        <rFont val="Times New Roman"/>
        <family val="1"/>
      </rPr>
      <t xml:space="preserve"> </t>
    </r>
    <r>
      <rPr>
        <sz val="11"/>
        <color theme="1"/>
        <rFont val="나눔고딕"/>
        <family val="3"/>
        <charset val="129"/>
      </rPr>
      <t>정지</t>
    </r>
    <r>
      <rPr>
        <sz val="11"/>
        <color theme="1"/>
        <rFont val="Times New Roman"/>
        <family val="1"/>
      </rPr>
      <t>/</t>
    </r>
    <r>
      <rPr>
        <sz val="11"/>
        <color theme="1"/>
        <rFont val="나눔고딕"/>
        <family val="3"/>
        <charset val="129"/>
      </rPr>
      <t>사용불가</t>
    </r>
    <r>
      <rPr>
        <sz val="11"/>
        <color theme="1"/>
        <rFont val="Times New Roman"/>
        <family val="1"/>
      </rPr>
      <t xml:space="preserve"> (High)</t>
    </r>
  </si>
  <si>
    <r>
      <rPr>
        <sz val="10"/>
        <rFont val="나눔고딕"/>
        <family val="3"/>
        <charset val="129"/>
      </rPr>
      <t>사용자</t>
    </r>
    <r>
      <rPr>
        <sz val="10"/>
        <rFont val="Times New Roman"/>
        <family val="1"/>
      </rPr>
      <t xml:space="preserve"> </t>
    </r>
    <r>
      <rPr>
        <sz val="10"/>
        <rFont val="나눔고딕"/>
        <family val="3"/>
        <charset val="129"/>
      </rPr>
      <t>상호작용</t>
    </r>
    <r>
      <rPr>
        <sz val="10"/>
        <rFont val="Times New Roman"/>
        <family val="1"/>
      </rPr>
      <t xml:space="preserve"> - </t>
    </r>
    <r>
      <rPr>
        <sz val="10"/>
        <rFont val="나눔고딕"/>
        <family val="3"/>
        <charset val="129"/>
      </rPr>
      <t>사용자가</t>
    </r>
    <r>
      <rPr>
        <sz val="10"/>
        <rFont val="Times New Roman"/>
        <family val="1"/>
      </rPr>
      <t xml:space="preserve"> </t>
    </r>
    <r>
      <rPr>
        <sz val="10"/>
        <rFont val="나눔고딕"/>
        <family val="3"/>
        <charset val="129"/>
      </rPr>
      <t>뭔가</t>
    </r>
    <r>
      <rPr>
        <sz val="10"/>
        <rFont val="Times New Roman"/>
        <family val="1"/>
      </rPr>
      <t xml:space="preserve"> </t>
    </r>
    <r>
      <rPr>
        <sz val="10"/>
        <rFont val="나눔고딕"/>
        <family val="3"/>
        <charset val="129"/>
      </rPr>
      <t>해야</t>
    </r>
    <r>
      <rPr>
        <sz val="10"/>
        <rFont val="Times New Roman"/>
        <family val="1"/>
      </rPr>
      <t xml:space="preserve"> </t>
    </r>
    <r>
      <rPr>
        <sz val="10"/>
        <rFont val="나눔고딕"/>
        <family val="3"/>
        <charset val="129"/>
      </rPr>
      <t>하나</t>
    </r>
    <r>
      <rPr>
        <sz val="10"/>
        <rFont val="Times New Roman"/>
        <family val="1"/>
      </rPr>
      <t>?</t>
    </r>
  </si>
  <si>
    <r>
      <rPr>
        <sz val="10"/>
        <rFont val="나눔고딕"/>
        <family val="3"/>
        <charset val="129"/>
      </rPr>
      <t>사용자</t>
    </r>
    <r>
      <rPr>
        <sz val="10"/>
        <rFont val="Times New Roman"/>
        <family val="1"/>
      </rPr>
      <t xml:space="preserve"> </t>
    </r>
    <r>
      <rPr>
        <sz val="10"/>
        <rFont val="나눔고딕"/>
        <family val="3"/>
        <charset val="129"/>
      </rPr>
      <t>개입</t>
    </r>
    <r>
      <rPr>
        <sz val="10"/>
        <rFont val="Times New Roman"/>
        <family val="1"/>
      </rPr>
      <t xml:space="preserve"> </t>
    </r>
    <r>
      <rPr>
        <sz val="10"/>
        <rFont val="나눔고딕"/>
        <family val="3"/>
        <charset val="129"/>
      </rPr>
      <t>불필요</t>
    </r>
    <r>
      <rPr>
        <sz val="10"/>
        <rFont val="Times New Roman"/>
        <family val="1"/>
      </rPr>
      <t xml:space="preserve"> (None)</t>
    </r>
  </si>
  <si>
    <r>
      <rPr>
        <sz val="11"/>
        <color theme="1"/>
        <rFont val="나눔고딕"/>
        <family val="3"/>
        <charset val="129"/>
      </rPr>
      <t>장비를</t>
    </r>
    <r>
      <rPr>
        <sz val="11"/>
        <color theme="1"/>
        <rFont val="Times New Roman"/>
        <family val="1"/>
      </rPr>
      <t xml:space="preserve"> </t>
    </r>
    <r>
      <rPr>
        <sz val="11"/>
        <color theme="1"/>
        <rFont val="나눔고딕"/>
        <family val="3"/>
        <charset val="129"/>
      </rPr>
      <t>물리적으로</t>
    </r>
    <r>
      <rPr>
        <sz val="11"/>
        <color theme="1"/>
        <rFont val="Times New Roman"/>
        <family val="1"/>
      </rPr>
      <t xml:space="preserve"> </t>
    </r>
    <r>
      <rPr>
        <sz val="11"/>
        <color theme="1"/>
        <rFont val="나눔고딕"/>
        <family val="3"/>
        <charset val="129"/>
      </rPr>
      <t>뜯거나</t>
    </r>
    <r>
      <rPr>
        <sz val="11"/>
        <color theme="1"/>
        <rFont val="Times New Roman"/>
        <family val="1"/>
      </rPr>
      <t xml:space="preserve"> </t>
    </r>
    <r>
      <rPr>
        <sz val="11"/>
        <color theme="1"/>
        <rFont val="나눔고딕"/>
        <family val="3"/>
        <charset val="129"/>
      </rPr>
      <t>만져야</t>
    </r>
    <r>
      <rPr>
        <sz val="11"/>
        <color theme="1"/>
        <rFont val="Times New Roman"/>
        <family val="1"/>
      </rPr>
      <t xml:space="preserve"> </t>
    </r>
    <r>
      <rPr>
        <sz val="11"/>
        <color theme="1"/>
        <rFont val="나눔고딕"/>
        <family val="3"/>
        <charset val="129"/>
      </rPr>
      <t>함</t>
    </r>
    <r>
      <rPr>
        <sz val="11"/>
        <color theme="1"/>
        <rFont val="Times New Roman"/>
        <family val="1"/>
      </rPr>
      <t xml:space="preserve"> (Physical)</t>
    </r>
  </si>
  <si>
    <r>
      <rPr>
        <sz val="10"/>
        <rFont val="나눔고딕"/>
        <family val="3"/>
        <charset val="129"/>
      </rPr>
      <t>범위</t>
    </r>
    <r>
      <rPr>
        <sz val="10"/>
        <rFont val="Times New Roman"/>
        <family val="1"/>
      </rPr>
      <t xml:space="preserve"> - </t>
    </r>
    <r>
      <rPr>
        <sz val="10"/>
        <rFont val="나눔고딕"/>
        <family val="3"/>
        <charset val="129"/>
      </rPr>
      <t>다른</t>
    </r>
    <r>
      <rPr>
        <sz val="10"/>
        <rFont val="Times New Roman"/>
        <family val="1"/>
      </rPr>
      <t xml:space="preserve"> </t>
    </r>
    <r>
      <rPr>
        <sz val="10"/>
        <rFont val="나눔고딕"/>
        <family val="3"/>
        <charset val="129"/>
      </rPr>
      <t>영역까지</t>
    </r>
    <r>
      <rPr>
        <sz val="10"/>
        <rFont val="Times New Roman"/>
        <family val="1"/>
      </rPr>
      <t xml:space="preserve"> </t>
    </r>
    <r>
      <rPr>
        <sz val="10"/>
        <rFont val="나눔고딕"/>
        <family val="3"/>
        <charset val="129"/>
      </rPr>
      <t>번지나</t>
    </r>
    <r>
      <rPr>
        <sz val="10"/>
        <rFont val="Times New Roman"/>
        <family val="1"/>
      </rPr>
      <t>?</t>
    </r>
  </si>
  <si>
    <r>
      <rPr>
        <sz val="10"/>
        <rFont val="나눔고딕"/>
        <family val="3"/>
        <charset val="129"/>
      </rPr>
      <t>이</t>
    </r>
    <r>
      <rPr>
        <sz val="10"/>
        <rFont val="Times New Roman"/>
        <family val="1"/>
      </rPr>
      <t xml:space="preserve"> </t>
    </r>
    <r>
      <rPr>
        <sz val="10"/>
        <rFont val="나눔고딕"/>
        <family val="3"/>
        <charset val="129"/>
      </rPr>
      <t>컴포넌트</t>
    </r>
    <r>
      <rPr>
        <sz val="10"/>
        <rFont val="Times New Roman"/>
        <family val="1"/>
      </rPr>
      <t xml:space="preserve"> </t>
    </r>
    <r>
      <rPr>
        <sz val="10"/>
        <rFont val="나눔고딕"/>
        <family val="3"/>
        <charset val="129"/>
      </rPr>
      <t>안에서</t>
    </r>
    <r>
      <rPr>
        <sz val="10"/>
        <rFont val="Times New Roman"/>
        <family val="1"/>
      </rPr>
      <t xml:space="preserve"> </t>
    </r>
    <r>
      <rPr>
        <sz val="10"/>
        <rFont val="나눔고딕"/>
        <family val="3"/>
        <charset val="129"/>
      </rPr>
      <t>끝남</t>
    </r>
    <r>
      <rPr>
        <sz val="10"/>
        <rFont val="Times New Roman"/>
        <family val="1"/>
      </rPr>
      <t xml:space="preserve"> (Unchanged)</t>
    </r>
  </si>
  <si>
    <r>
      <rPr>
        <sz val="10"/>
        <rFont val="나눔고딕"/>
        <family val="3"/>
        <charset val="129"/>
      </rPr>
      <t>기밀성</t>
    </r>
    <r>
      <rPr>
        <sz val="10"/>
        <rFont val="Times New Roman"/>
        <family val="1"/>
      </rPr>
      <t xml:space="preserve"> </t>
    </r>
    <r>
      <rPr>
        <sz val="10"/>
        <rFont val="나눔고딕"/>
        <family val="3"/>
        <charset val="129"/>
      </rPr>
      <t>영향</t>
    </r>
  </si>
  <si>
    <r>
      <rPr>
        <sz val="10"/>
        <rFont val="나눔고딕"/>
        <family val="3"/>
        <charset val="129"/>
      </rPr>
      <t>전체</t>
    </r>
    <r>
      <rPr>
        <sz val="10"/>
        <rFont val="Times New Roman"/>
        <family val="1"/>
      </rPr>
      <t xml:space="preserve"> </t>
    </r>
    <r>
      <rPr>
        <sz val="10"/>
        <rFont val="나눔고딕"/>
        <family val="3"/>
        <charset val="129"/>
      </rPr>
      <t>정보</t>
    </r>
    <r>
      <rPr>
        <sz val="10"/>
        <rFont val="Times New Roman"/>
        <family val="1"/>
      </rPr>
      <t xml:space="preserve"> </t>
    </r>
    <r>
      <rPr>
        <sz val="10"/>
        <rFont val="나눔고딕"/>
        <family val="3"/>
        <charset val="129"/>
      </rPr>
      <t>유출</t>
    </r>
    <r>
      <rPr>
        <sz val="10"/>
        <rFont val="Times New Roman"/>
        <family val="1"/>
      </rPr>
      <t xml:space="preserve"> (High)</t>
    </r>
  </si>
  <si>
    <r>
      <rPr>
        <sz val="10"/>
        <rFont val="나눔고딕"/>
        <family val="3"/>
        <charset val="129"/>
      </rPr>
      <t>무결성</t>
    </r>
    <r>
      <rPr>
        <sz val="10"/>
        <rFont val="Times New Roman"/>
        <family val="1"/>
      </rPr>
      <t xml:space="preserve"> </t>
    </r>
    <r>
      <rPr>
        <sz val="10"/>
        <rFont val="나눔고딕"/>
        <family val="3"/>
        <charset val="129"/>
      </rPr>
      <t>영향</t>
    </r>
  </si>
  <si>
    <r>
      <rPr>
        <sz val="10"/>
        <rFont val="나눔고딕"/>
        <family val="3"/>
        <charset val="129"/>
      </rPr>
      <t>전체</t>
    </r>
    <r>
      <rPr>
        <sz val="10"/>
        <rFont val="Times New Roman"/>
        <family val="1"/>
      </rPr>
      <t xml:space="preserve"> </t>
    </r>
    <r>
      <rPr>
        <sz val="10"/>
        <rFont val="나눔고딕"/>
        <family val="3"/>
        <charset val="129"/>
      </rPr>
      <t>데이터</t>
    </r>
    <r>
      <rPr>
        <sz val="10"/>
        <rFont val="Times New Roman"/>
        <family val="1"/>
      </rPr>
      <t>/</t>
    </r>
    <r>
      <rPr>
        <sz val="10"/>
        <rFont val="나눔고딕"/>
        <family val="3"/>
        <charset val="129"/>
      </rPr>
      <t>펌웨어</t>
    </r>
    <r>
      <rPr>
        <sz val="10"/>
        <rFont val="Times New Roman"/>
        <family val="1"/>
      </rPr>
      <t xml:space="preserve"> </t>
    </r>
    <r>
      <rPr>
        <sz val="10"/>
        <rFont val="나눔고딕"/>
        <family val="3"/>
        <charset val="129"/>
      </rPr>
      <t>임의</t>
    </r>
    <r>
      <rPr>
        <sz val="10"/>
        <rFont val="Times New Roman"/>
        <family val="1"/>
      </rPr>
      <t xml:space="preserve"> </t>
    </r>
    <r>
      <rPr>
        <sz val="10"/>
        <rFont val="나눔고딕"/>
        <family val="3"/>
        <charset val="129"/>
      </rPr>
      <t>변조</t>
    </r>
    <r>
      <rPr>
        <sz val="10"/>
        <rFont val="Times New Roman"/>
        <family val="1"/>
      </rPr>
      <t xml:space="preserve"> </t>
    </r>
    <r>
      <rPr>
        <sz val="10"/>
        <rFont val="나눔고딕"/>
        <family val="3"/>
        <charset val="129"/>
      </rPr>
      <t>가능</t>
    </r>
    <r>
      <rPr>
        <sz val="10"/>
        <rFont val="Times New Roman"/>
        <family val="1"/>
      </rPr>
      <t xml:space="preserve"> (High)</t>
    </r>
  </si>
  <si>
    <r>
      <rPr>
        <sz val="10"/>
        <rFont val="나눔고딕"/>
        <family val="3"/>
        <charset val="129"/>
      </rPr>
      <t>가용성</t>
    </r>
    <r>
      <rPr>
        <sz val="10"/>
        <rFont val="Times New Roman"/>
        <family val="1"/>
      </rPr>
      <t xml:space="preserve"> </t>
    </r>
    <r>
      <rPr>
        <sz val="10"/>
        <rFont val="나눔고딕"/>
        <family val="3"/>
        <charset val="129"/>
      </rPr>
      <t>영향</t>
    </r>
  </si>
  <si>
    <r>
      <rPr>
        <sz val="10"/>
        <rFont val="나눔고딕"/>
        <family val="3"/>
        <charset val="129"/>
      </rPr>
      <t>완전히</t>
    </r>
    <r>
      <rPr>
        <sz val="10"/>
        <rFont val="Times New Roman"/>
        <family val="1"/>
      </rPr>
      <t xml:space="preserve"> </t>
    </r>
    <r>
      <rPr>
        <sz val="10"/>
        <rFont val="나눔고딕"/>
        <family val="3"/>
        <charset val="129"/>
      </rPr>
      <t>정지</t>
    </r>
    <r>
      <rPr>
        <sz val="10"/>
        <rFont val="Times New Roman"/>
        <family val="1"/>
      </rPr>
      <t>/</t>
    </r>
    <r>
      <rPr>
        <sz val="10"/>
        <rFont val="나눔고딕"/>
        <family val="3"/>
        <charset val="129"/>
      </rPr>
      <t>사용불가</t>
    </r>
    <r>
      <rPr>
        <sz val="10"/>
        <rFont val="Times New Roman"/>
        <family val="1"/>
      </rPr>
      <t xml:space="preserve"> (High)</t>
    </r>
  </si>
  <si>
    <r>
      <rPr>
        <b/>
        <sz val="11"/>
        <rFont val="나눔고딕"/>
        <family val="3"/>
        <charset val="129"/>
      </rPr>
      <t>완성된</t>
    </r>
    <r>
      <rPr>
        <b/>
        <sz val="11"/>
        <rFont val="Times New Roman"/>
        <family val="1"/>
      </rPr>
      <t xml:space="preserve"> </t>
    </r>
    <r>
      <rPr>
        <b/>
        <sz val="11"/>
        <rFont val="나눔고딕"/>
        <family val="3"/>
        <charset val="129"/>
      </rPr>
      <t>벡터</t>
    </r>
    <r>
      <rPr>
        <b/>
        <sz val="11"/>
        <rFont val="Times New Roman"/>
        <family val="1"/>
      </rPr>
      <t xml:space="preserve"> </t>
    </r>
    <r>
      <rPr>
        <b/>
        <sz val="11"/>
        <rFont val="나눔고딕"/>
        <family val="3"/>
        <charset val="129"/>
      </rPr>
      <t>→</t>
    </r>
  </si>
  <si>
    <r>
      <t xml:space="preserve">CVSS Score </t>
    </r>
    <r>
      <rPr>
        <b/>
        <sz val="11"/>
        <rFont val="나눔고딕"/>
        <family val="3"/>
        <charset val="129"/>
      </rPr>
      <t>→</t>
    </r>
  </si>
  <si>
    <r>
      <t>v3.1</t>
    </r>
    <r>
      <rPr>
        <i/>
        <sz val="9"/>
        <color rgb="FF666666"/>
        <rFont val="나눔고딕"/>
        <family val="3"/>
        <charset val="129"/>
      </rPr>
      <t>은</t>
    </r>
    <r>
      <rPr>
        <i/>
        <sz val="9"/>
        <color rgb="FF666666"/>
        <rFont val="Times New Roman"/>
        <family val="1"/>
      </rPr>
      <t xml:space="preserve"> </t>
    </r>
    <r>
      <rPr>
        <i/>
        <sz val="9"/>
        <color rgb="FF666666"/>
        <rFont val="나눔고딕"/>
        <family val="3"/>
        <charset val="129"/>
      </rPr>
      <t>닫힌</t>
    </r>
    <r>
      <rPr>
        <i/>
        <sz val="9"/>
        <color rgb="FF666666"/>
        <rFont val="Times New Roman"/>
        <family val="1"/>
      </rPr>
      <t xml:space="preserve"> </t>
    </r>
    <r>
      <rPr>
        <i/>
        <sz val="9"/>
        <color rgb="FF666666"/>
        <rFont val="나눔고딕"/>
        <family val="3"/>
        <charset val="129"/>
      </rPr>
      <t>수식이라</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값이</t>
    </r>
    <r>
      <rPr>
        <i/>
        <sz val="9"/>
        <color rgb="FF666666"/>
        <rFont val="Times New Roman"/>
        <family val="1"/>
      </rPr>
      <t xml:space="preserve"> </t>
    </r>
    <r>
      <rPr>
        <i/>
        <sz val="9"/>
        <color rgb="FF666666"/>
        <rFont val="나눔고딕"/>
        <family val="3"/>
        <charset val="129"/>
      </rPr>
      <t>곧</t>
    </r>
    <r>
      <rPr>
        <i/>
        <sz val="9"/>
        <color rgb="FF666666"/>
        <rFont val="Times New Roman"/>
        <family val="1"/>
      </rPr>
      <t xml:space="preserve"> </t>
    </r>
    <r>
      <rPr>
        <i/>
        <sz val="9"/>
        <color rgb="FF666666"/>
        <rFont val="나눔고딕"/>
        <family val="3"/>
        <charset val="129"/>
      </rPr>
      <t>정확한</t>
    </r>
    <r>
      <rPr>
        <i/>
        <sz val="9"/>
        <color rgb="FF666666"/>
        <rFont val="Times New Roman"/>
        <family val="1"/>
      </rPr>
      <t xml:space="preserve"> </t>
    </r>
    <r>
      <rPr>
        <i/>
        <sz val="9"/>
        <color rgb="FF666666"/>
        <rFont val="나눔고딕"/>
        <family val="3"/>
        <charset val="129"/>
      </rPr>
      <t>최종값입니다</t>
    </r>
    <r>
      <rPr>
        <i/>
        <sz val="9"/>
        <color rgb="FF666666"/>
        <rFont val="Times New Roman"/>
        <family val="1"/>
      </rPr>
      <t>.</t>
    </r>
  </si>
  <si>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벡터를</t>
    </r>
    <r>
      <rPr>
        <i/>
        <sz val="9"/>
        <color rgb="FF666666"/>
        <rFont val="Times New Roman"/>
        <family val="1"/>
      </rPr>
      <t xml:space="preserve"> Weakness_Vulnerability </t>
    </r>
    <r>
      <rPr>
        <i/>
        <sz val="9"/>
        <color rgb="FF666666"/>
        <rFont val="나눔고딕"/>
        <family val="3"/>
        <charset val="129"/>
      </rPr>
      <t>시트의</t>
    </r>
    <r>
      <rPr>
        <i/>
        <sz val="9"/>
        <color rgb="FF666666"/>
        <rFont val="Times New Roman"/>
        <family val="1"/>
      </rPr>
      <t xml:space="preserve"> Q(v4.0)/R(v3.1)</t>
    </r>
    <r>
      <rPr>
        <i/>
        <sz val="9"/>
        <color rgb="FF666666"/>
        <rFont val="나눔고딕"/>
        <family val="3"/>
        <charset val="129"/>
      </rPr>
      <t>열에</t>
    </r>
    <r>
      <rPr>
        <i/>
        <sz val="9"/>
        <color rgb="FF666666"/>
        <rFont val="Times New Roman"/>
        <family val="1"/>
      </rPr>
      <t xml:space="preserve"> </t>
    </r>
    <r>
      <rPr>
        <i/>
        <sz val="9"/>
        <color rgb="FF666666"/>
        <rFont val="나눔고딕"/>
        <family val="3"/>
        <charset val="129"/>
      </rPr>
      <t>그대로</t>
    </r>
    <r>
      <rPr>
        <i/>
        <sz val="9"/>
        <color rgb="FF666666"/>
        <rFont val="Times New Roman"/>
        <family val="1"/>
      </rPr>
      <t xml:space="preserve"> </t>
    </r>
    <r>
      <rPr>
        <i/>
        <sz val="9"/>
        <color rgb="FF666666"/>
        <rFont val="나눔고딕"/>
        <family val="3"/>
        <charset val="129"/>
      </rPr>
      <t>복사해도</t>
    </r>
    <r>
      <rPr>
        <i/>
        <sz val="9"/>
        <color rgb="FF666666"/>
        <rFont val="Times New Roman"/>
        <family val="1"/>
      </rPr>
      <t xml:space="preserve"> </t>
    </r>
    <r>
      <rPr>
        <i/>
        <sz val="9"/>
        <color rgb="FF666666"/>
        <rFont val="나눔고딕"/>
        <family val="3"/>
        <charset val="129"/>
      </rPr>
      <t>됩니다</t>
    </r>
    <r>
      <rPr>
        <i/>
        <sz val="9"/>
        <color rgb="FF666666"/>
        <rFont val="Times New Roman"/>
        <family val="1"/>
      </rPr>
      <t>.</t>
    </r>
  </si>
  <si>
    <r>
      <t xml:space="preserve">CVSS v3.1 Base </t>
    </r>
    <r>
      <rPr>
        <b/>
        <sz val="11"/>
        <color rgb="FF1F4E78"/>
        <rFont val="나눔고딕"/>
        <family val="3"/>
        <charset val="129"/>
      </rPr>
      <t>메트릭</t>
    </r>
    <r>
      <rPr>
        <b/>
        <sz val="11"/>
        <color rgb="FF1F4E78"/>
        <rFont val="Times New Roman"/>
        <family val="1"/>
      </rPr>
      <t xml:space="preserve"> </t>
    </r>
    <r>
      <rPr>
        <b/>
        <sz val="11"/>
        <color rgb="FF1F4E78"/>
        <rFont val="나눔고딕"/>
        <family val="3"/>
        <charset val="129"/>
      </rPr>
      <t>가중치표</t>
    </r>
  </si>
  <si>
    <r>
      <t xml:space="preserve">FIRST </t>
    </r>
    <r>
      <rPr>
        <i/>
        <sz val="9"/>
        <color rgb="FF666666"/>
        <rFont val="나눔고딕"/>
        <family val="3"/>
        <charset val="129"/>
      </rPr>
      <t>공식</t>
    </r>
    <r>
      <rPr>
        <i/>
        <sz val="9"/>
        <color rgb="FF666666"/>
        <rFont val="Times New Roman"/>
        <family val="1"/>
      </rPr>
      <t xml:space="preserve"> </t>
    </r>
    <r>
      <rPr>
        <i/>
        <sz val="9"/>
        <color rgb="FF666666"/>
        <rFont val="나눔고딕"/>
        <family val="3"/>
        <charset val="129"/>
      </rPr>
      <t>스펙</t>
    </r>
    <r>
      <rPr>
        <i/>
        <sz val="9"/>
        <color rgb="FF666666"/>
        <rFont val="Times New Roman"/>
        <family val="1"/>
      </rPr>
      <t xml:space="preserve"> </t>
    </r>
    <r>
      <rPr>
        <i/>
        <sz val="9"/>
        <color rgb="FF666666"/>
        <rFont val="나눔고딕"/>
        <family val="3"/>
        <charset val="129"/>
      </rPr>
      <t>값</t>
    </r>
    <r>
      <rPr>
        <i/>
        <sz val="9"/>
        <color rgb="FF666666"/>
        <rFont val="Times New Roman"/>
        <family val="1"/>
      </rPr>
      <t>. VLOOKUP/VBA</t>
    </r>
    <r>
      <rPr>
        <i/>
        <sz val="9"/>
        <color rgb="FF666666"/>
        <rFont val="나눔고딕"/>
        <family val="3"/>
        <charset val="129"/>
      </rPr>
      <t>에서</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표를</t>
    </r>
    <r>
      <rPr>
        <i/>
        <sz val="9"/>
        <color rgb="FF666666"/>
        <rFont val="Times New Roman"/>
        <family val="1"/>
      </rPr>
      <t xml:space="preserve"> </t>
    </r>
    <r>
      <rPr>
        <i/>
        <sz val="9"/>
        <color rgb="FF666666"/>
        <rFont val="나눔고딕"/>
        <family val="3"/>
        <charset val="129"/>
      </rPr>
      <t>참조해</t>
    </r>
    <r>
      <rPr>
        <i/>
        <sz val="9"/>
        <color rgb="FF666666"/>
        <rFont val="Times New Roman"/>
        <family val="1"/>
      </rPr>
      <t xml:space="preserve"> Impact/Exploitability</t>
    </r>
    <r>
      <rPr>
        <i/>
        <sz val="9"/>
        <color rgb="FF666666"/>
        <rFont val="나눔고딕"/>
        <family val="3"/>
        <charset val="129"/>
      </rPr>
      <t>를</t>
    </r>
    <r>
      <rPr>
        <i/>
        <sz val="9"/>
        <color rgb="FF666666"/>
        <rFont val="Times New Roman"/>
        <family val="1"/>
      </rPr>
      <t xml:space="preserve"> </t>
    </r>
    <r>
      <rPr>
        <i/>
        <sz val="9"/>
        <color rgb="FF666666"/>
        <rFont val="나눔고딕"/>
        <family val="3"/>
        <charset val="129"/>
      </rPr>
      <t>계산합니다</t>
    </r>
    <r>
      <rPr>
        <i/>
        <sz val="9"/>
        <color rgb="FF666666"/>
        <rFont val="Times New Roman"/>
        <family val="1"/>
      </rPr>
      <t>.</t>
    </r>
  </si>
  <si>
    <r>
      <rPr>
        <b/>
        <sz val="10"/>
        <color rgb="FFFFFFFF"/>
        <rFont val="나눔고딕"/>
        <family val="3"/>
        <charset val="129"/>
      </rPr>
      <t>값</t>
    </r>
  </si>
  <si>
    <r>
      <t xml:space="preserve">Base Score </t>
    </r>
    <r>
      <rPr>
        <sz val="10"/>
        <rFont val="나눔고딕"/>
        <family val="3"/>
        <charset val="129"/>
      </rPr>
      <t>계산식</t>
    </r>
    <r>
      <rPr>
        <sz val="10"/>
        <rFont val="Times New Roman"/>
        <family val="1"/>
      </rPr>
      <t xml:space="preserve"> (Scope Unchanged)</t>
    </r>
  </si>
  <si>
    <r>
      <t xml:space="preserve">Base Score </t>
    </r>
    <r>
      <rPr>
        <sz val="10"/>
        <rFont val="나눔고딕"/>
        <family val="3"/>
        <charset val="129"/>
      </rPr>
      <t>계산식</t>
    </r>
    <r>
      <rPr>
        <sz val="10"/>
        <rFont val="Times New Roman"/>
        <family val="1"/>
      </rPr>
      <t xml:space="preserve"> (Scope Changed)</t>
    </r>
  </si>
  <si>
    <r>
      <t xml:space="preserve">CVSS v4.0 </t>
    </r>
    <r>
      <rPr>
        <b/>
        <sz val="12"/>
        <color rgb="FF1F4E78"/>
        <rFont val="나눔고딕"/>
        <family val="3"/>
        <charset val="129"/>
      </rPr>
      <t>벡터</t>
    </r>
    <r>
      <rPr>
        <b/>
        <sz val="12"/>
        <color rgb="FF1F4E78"/>
        <rFont val="Times New Roman"/>
        <family val="1"/>
      </rPr>
      <t xml:space="preserve"> </t>
    </r>
    <r>
      <rPr>
        <b/>
        <sz val="12"/>
        <color rgb="FF1F4E78"/>
        <rFont val="나눔고딕"/>
        <family val="3"/>
        <charset val="129"/>
      </rPr>
      <t>생성기</t>
    </r>
    <r>
      <rPr>
        <b/>
        <sz val="12"/>
        <color rgb="FF1F4E78"/>
        <rFont val="Times New Roman"/>
        <family val="1"/>
      </rPr>
      <t xml:space="preserve"> (</t>
    </r>
    <r>
      <rPr>
        <b/>
        <sz val="12"/>
        <color rgb="FF1F4E78"/>
        <rFont val="나눔고딕"/>
        <family val="3"/>
        <charset val="129"/>
      </rPr>
      <t>코드</t>
    </r>
    <r>
      <rPr>
        <b/>
        <sz val="12"/>
        <color rgb="FF1F4E78"/>
        <rFont val="Times New Roman"/>
        <family val="1"/>
      </rPr>
      <t xml:space="preserve"> </t>
    </r>
    <r>
      <rPr>
        <b/>
        <sz val="12"/>
        <color rgb="FF1F4E78"/>
        <rFont val="나눔고딕"/>
        <family val="3"/>
        <charset val="129"/>
      </rPr>
      <t>암기</t>
    </r>
    <r>
      <rPr>
        <b/>
        <sz val="12"/>
        <color rgb="FF1F4E78"/>
        <rFont val="Times New Roman"/>
        <family val="1"/>
      </rPr>
      <t xml:space="preserve"> </t>
    </r>
    <r>
      <rPr>
        <b/>
        <sz val="12"/>
        <color rgb="FF1F4E78"/>
        <rFont val="나눔고딕"/>
        <family val="3"/>
        <charset val="129"/>
      </rPr>
      <t>불필요</t>
    </r>
    <r>
      <rPr>
        <b/>
        <sz val="12"/>
        <color rgb="FF1F4E78"/>
        <rFont val="Times New Roman"/>
        <family val="1"/>
      </rPr>
      <t>)</t>
    </r>
  </si>
  <si>
    <r>
      <rPr>
        <sz val="11"/>
        <color theme="1"/>
        <rFont val="나눔고딕"/>
        <family val="3"/>
        <charset val="129"/>
      </rPr>
      <t>특별한</t>
    </r>
    <r>
      <rPr>
        <sz val="11"/>
        <color theme="1"/>
        <rFont val="Times New Roman"/>
        <family val="1"/>
      </rPr>
      <t xml:space="preserve"> </t>
    </r>
    <r>
      <rPr>
        <sz val="11"/>
        <color theme="1"/>
        <rFont val="나눔고딕"/>
        <family val="3"/>
        <charset val="129"/>
      </rPr>
      <t>우회</t>
    </r>
    <r>
      <rPr>
        <sz val="11"/>
        <color theme="1"/>
        <rFont val="Times New Roman"/>
        <family val="1"/>
      </rPr>
      <t xml:space="preserve"> </t>
    </r>
    <r>
      <rPr>
        <sz val="11"/>
        <color theme="1"/>
        <rFont val="나눔고딕"/>
        <family val="3"/>
        <charset val="129"/>
      </rPr>
      <t>없이</t>
    </r>
    <r>
      <rPr>
        <sz val="11"/>
        <color theme="1"/>
        <rFont val="Times New Roman"/>
        <family val="1"/>
      </rPr>
      <t xml:space="preserve"> </t>
    </r>
    <r>
      <rPr>
        <sz val="11"/>
        <color theme="1"/>
        <rFont val="나눔고딕"/>
        <family val="3"/>
        <charset val="129"/>
      </rPr>
      <t>바로</t>
    </r>
    <r>
      <rPr>
        <sz val="11"/>
        <color theme="1"/>
        <rFont val="Times New Roman"/>
        <family val="1"/>
      </rPr>
      <t xml:space="preserve"> </t>
    </r>
    <r>
      <rPr>
        <sz val="11"/>
        <color theme="1"/>
        <rFont val="나눔고딕"/>
        <family val="3"/>
        <charset val="129"/>
      </rPr>
      <t>가능</t>
    </r>
    <r>
      <rPr>
        <sz val="11"/>
        <color theme="1"/>
        <rFont val="Times New Roman"/>
        <family val="1"/>
      </rPr>
      <t xml:space="preserve"> (Low)</t>
    </r>
  </si>
  <si>
    <r>
      <rPr>
        <sz val="11"/>
        <color theme="1"/>
        <rFont val="나눔고딕"/>
        <family val="3"/>
        <charset val="129"/>
      </rPr>
      <t>전제조건</t>
    </r>
    <r>
      <rPr>
        <sz val="11"/>
        <color theme="1"/>
        <rFont val="Times New Roman"/>
        <family val="1"/>
      </rPr>
      <t xml:space="preserve"> </t>
    </r>
    <r>
      <rPr>
        <sz val="11"/>
        <color theme="1"/>
        <rFont val="나눔고딕"/>
        <family val="3"/>
        <charset val="129"/>
      </rPr>
      <t>없음</t>
    </r>
    <r>
      <rPr>
        <sz val="11"/>
        <color theme="1"/>
        <rFont val="Times New Roman"/>
        <family val="1"/>
      </rPr>
      <t xml:space="preserve"> (None)</t>
    </r>
  </si>
  <si>
    <r>
      <rPr>
        <sz val="11"/>
        <color theme="1"/>
        <rFont val="나눔고딕"/>
        <family val="3"/>
        <charset val="129"/>
      </rPr>
      <t>영향</t>
    </r>
    <r>
      <rPr>
        <sz val="11"/>
        <color theme="1"/>
        <rFont val="Times New Roman"/>
        <family val="1"/>
      </rPr>
      <t xml:space="preserve"> </t>
    </r>
    <r>
      <rPr>
        <sz val="11"/>
        <color theme="1"/>
        <rFont val="나눔고딕"/>
        <family val="3"/>
        <charset val="129"/>
      </rPr>
      <t>없음</t>
    </r>
    <r>
      <rPr>
        <sz val="11"/>
        <color theme="1"/>
        <rFont val="Times New Roman"/>
        <family val="1"/>
      </rPr>
      <t xml:space="preserve"> - </t>
    </r>
    <r>
      <rPr>
        <sz val="11"/>
        <color theme="1"/>
        <rFont val="나눔고딕"/>
        <family val="3"/>
        <charset val="129"/>
      </rPr>
      <t>이</t>
    </r>
    <r>
      <rPr>
        <sz val="11"/>
        <color theme="1"/>
        <rFont val="Times New Roman"/>
        <family val="1"/>
      </rPr>
      <t xml:space="preserve"> </t>
    </r>
    <r>
      <rPr>
        <sz val="11"/>
        <color theme="1"/>
        <rFont val="나눔고딕"/>
        <family val="3"/>
        <charset val="129"/>
      </rPr>
      <t>컴포넌트</t>
    </r>
    <r>
      <rPr>
        <sz val="11"/>
        <color theme="1"/>
        <rFont val="Times New Roman"/>
        <family val="1"/>
      </rPr>
      <t xml:space="preserve"> </t>
    </r>
    <r>
      <rPr>
        <sz val="11"/>
        <color theme="1"/>
        <rFont val="나눔고딕"/>
        <family val="3"/>
        <charset val="129"/>
      </rPr>
      <t>안에서</t>
    </r>
    <r>
      <rPr>
        <sz val="11"/>
        <color theme="1"/>
        <rFont val="Times New Roman"/>
        <family val="1"/>
      </rPr>
      <t xml:space="preserve"> </t>
    </r>
    <r>
      <rPr>
        <sz val="11"/>
        <color theme="1"/>
        <rFont val="나눔고딕"/>
        <family val="3"/>
        <charset val="129"/>
      </rPr>
      <t>끝남</t>
    </r>
    <r>
      <rPr>
        <sz val="11"/>
        <color theme="1"/>
        <rFont val="Times New Roman"/>
        <family val="1"/>
      </rPr>
      <t xml:space="preserve"> (None)</t>
    </r>
  </si>
  <si>
    <r>
      <rPr>
        <sz val="10"/>
        <rFont val="나눔고딕"/>
        <family val="3"/>
        <charset val="129"/>
      </rPr>
      <t>공격</t>
    </r>
    <r>
      <rPr>
        <sz val="10"/>
        <rFont val="Times New Roman"/>
        <family val="1"/>
      </rPr>
      <t xml:space="preserve"> </t>
    </r>
    <r>
      <rPr>
        <sz val="10"/>
        <rFont val="나눔고딕"/>
        <family val="3"/>
        <charset val="129"/>
      </rPr>
      <t>복잡도</t>
    </r>
    <r>
      <rPr>
        <sz val="10"/>
        <rFont val="Times New Roman"/>
        <family val="1"/>
      </rPr>
      <t xml:space="preserve"> - </t>
    </r>
    <r>
      <rPr>
        <sz val="10"/>
        <rFont val="나눔고딕"/>
        <family val="3"/>
        <charset val="129"/>
      </rPr>
      <t>방어기법을</t>
    </r>
    <r>
      <rPr>
        <sz val="10"/>
        <rFont val="Times New Roman"/>
        <family val="1"/>
      </rPr>
      <t xml:space="preserve"> </t>
    </r>
    <r>
      <rPr>
        <sz val="10"/>
        <rFont val="나눔고딕"/>
        <family val="3"/>
        <charset val="129"/>
      </rPr>
      <t>우회하는</t>
    </r>
    <r>
      <rPr>
        <sz val="10"/>
        <rFont val="Times New Roman"/>
        <family val="1"/>
      </rPr>
      <t xml:space="preserve"> </t>
    </r>
    <r>
      <rPr>
        <sz val="10"/>
        <rFont val="나눔고딕"/>
        <family val="3"/>
        <charset val="129"/>
      </rPr>
      <t>노력이</t>
    </r>
    <r>
      <rPr>
        <sz val="10"/>
        <rFont val="Times New Roman"/>
        <family val="1"/>
      </rPr>
      <t xml:space="preserve"> </t>
    </r>
    <r>
      <rPr>
        <sz val="10"/>
        <rFont val="나눔고딕"/>
        <family val="3"/>
        <charset val="129"/>
      </rPr>
      <t>필요한가</t>
    </r>
    <r>
      <rPr>
        <sz val="10"/>
        <rFont val="Times New Roman"/>
        <family val="1"/>
      </rPr>
      <t>?</t>
    </r>
  </si>
  <si>
    <r>
      <rPr>
        <sz val="10"/>
        <rFont val="나눔고딕"/>
        <family val="3"/>
        <charset val="129"/>
      </rPr>
      <t>방어기법</t>
    </r>
    <r>
      <rPr>
        <sz val="10"/>
        <rFont val="Times New Roman"/>
        <family val="1"/>
      </rPr>
      <t xml:space="preserve"> </t>
    </r>
    <r>
      <rPr>
        <sz val="10"/>
        <rFont val="나눔고딕"/>
        <family val="3"/>
        <charset val="129"/>
      </rPr>
      <t>우회를</t>
    </r>
    <r>
      <rPr>
        <sz val="10"/>
        <rFont val="Times New Roman"/>
        <family val="1"/>
      </rPr>
      <t xml:space="preserve"> </t>
    </r>
    <r>
      <rPr>
        <sz val="10"/>
        <rFont val="나눔고딕"/>
        <family val="3"/>
        <charset val="129"/>
      </rPr>
      <t>위한</t>
    </r>
    <r>
      <rPr>
        <sz val="10"/>
        <rFont val="Times New Roman"/>
        <family val="1"/>
      </rPr>
      <t xml:space="preserve"> </t>
    </r>
    <r>
      <rPr>
        <sz val="10"/>
        <rFont val="나눔고딕"/>
        <family val="3"/>
        <charset val="129"/>
      </rPr>
      <t>별도</t>
    </r>
    <r>
      <rPr>
        <sz val="10"/>
        <rFont val="Times New Roman"/>
        <family val="1"/>
      </rPr>
      <t xml:space="preserve"> </t>
    </r>
    <r>
      <rPr>
        <sz val="10"/>
        <rFont val="나눔고딕"/>
        <family val="3"/>
        <charset val="129"/>
      </rPr>
      <t>노력</t>
    </r>
    <r>
      <rPr>
        <sz val="10"/>
        <rFont val="Times New Roman"/>
        <family val="1"/>
      </rPr>
      <t xml:space="preserve"> </t>
    </r>
    <r>
      <rPr>
        <sz val="10"/>
        <rFont val="나눔고딕"/>
        <family val="3"/>
        <charset val="129"/>
      </rPr>
      <t>필요</t>
    </r>
    <r>
      <rPr>
        <sz val="10"/>
        <rFont val="Times New Roman"/>
        <family val="1"/>
      </rPr>
      <t xml:space="preserve"> (High)</t>
    </r>
  </si>
  <si>
    <r>
      <rPr>
        <sz val="11"/>
        <color theme="1"/>
        <rFont val="나눔고딕"/>
        <family val="3"/>
        <charset val="129"/>
      </rPr>
      <t>방어기법</t>
    </r>
    <r>
      <rPr>
        <sz val="11"/>
        <color theme="1"/>
        <rFont val="Times New Roman"/>
        <family val="1"/>
      </rPr>
      <t xml:space="preserve"> </t>
    </r>
    <r>
      <rPr>
        <sz val="11"/>
        <color theme="1"/>
        <rFont val="나눔고딕"/>
        <family val="3"/>
        <charset val="129"/>
      </rPr>
      <t>우회를</t>
    </r>
    <r>
      <rPr>
        <sz val="11"/>
        <color theme="1"/>
        <rFont val="Times New Roman"/>
        <family val="1"/>
      </rPr>
      <t xml:space="preserve"> </t>
    </r>
    <r>
      <rPr>
        <sz val="11"/>
        <color theme="1"/>
        <rFont val="나눔고딕"/>
        <family val="3"/>
        <charset val="129"/>
      </rPr>
      <t>위한</t>
    </r>
    <r>
      <rPr>
        <sz val="11"/>
        <color theme="1"/>
        <rFont val="Times New Roman"/>
        <family val="1"/>
      </rPr>
      <t xml:space="preserve"> </t>
    </r>
    <r>
      <rPr>
        <sz val="11"/>
        <color theme="1"/>
        <rFont val="나눔고딕"/>
        <family val="3"/>
        <charset val="129"/>
      </rPr>
      <t>별도</t>
    </r>
    <r>
      <rPr>
        <sz val="11"/>
        <color theme="1"/>
        <rFont val="Times New Roman"/>
        <family val="1"/>
      </rPr>
      <t xml:space="preserve"> </t>
    </r>
    <r>
      <rPr>
        <sz val="11"/>
        <color theme="1"/>
        <rFont val="나눔고딕"/>
        <family val="3"/>
        <charset val="129"/>
      </rPr>
      <t>노력</t>
    </r>
    <r>
      <rPr>
        <sz val="11"/>
        <color theme="1"/>
        <rFont val="Times New Roman"/>
        <family val="1"/>
      </rPr>
      <t xml:space="preserve"> </t>
    </r>
    <r>
      <rPr>
        <sz val="11"/>
        <color theme="1"/>
        <rFont val="나눔고딕"/>
        <family val="3"/>
        <charset val="129"/>
      </rPr>
      <t>필요</t>
    </r>
    <r>
      <rPr>
        <sz val="11"/>
        <color theme="1"/>
        <rFont val="Times New Roman"/>
        <family val="1"/>
      </rPr>
      <t xml:space="preserve"> (High)</t>
    </r>
  </si>
  <si>
    <r>
      <rPr>
        <sz val="11"/>
        <color theme="1"/>
        <rFont val="나눔고딕"/>
        <family val="3"/>
        <charset val="129"/>
      </rPr>
      <t>특정</t>
    </r>
    <r>
      <rPr>
        <sz val="11"/>
        <color theme="1"/>
        <rFont val="Times New Roman"/>
        <family val="1"/>
      </rPr>
      <t xml:space="preserve"> </t>
    </r>
    <r>
      <rPr>
        <sz val="11"/>
        <color theme="1"/>
        <rFont val="나눔고딕"/>
        <family val="3"/>
        <charset val="129"/>
      </rPr>
      <t>사전조건</t>
    </r>
    <r>
      <rPr>
        <sz val="11"/>
        <color theme="1"/>
        <rFont val="Times New Roman"/>
        <family val="1"/>
      </rPr>
      <t>(</t>
    </r>
    <r>
      <rPr>
        <sz val="11"/>
        <color theme="1"/>
        <rFont val="나눔고딕"/>
        <family val="3"/>
        <charset val="129"/>
      </rPr>
      <t>설정</t>
    </r>
    <r>
      <rPr>
        <sz val="11"/>
        <color theme="1"/>
        <rFont val="Times New Roman"/>
        <family val="1"/>
      </rPr>
      <t xml:space="preserve">, </t>
    </r>
    <r>
      <rPr>
        <sz val="11"/>
        <color theme="1"/>
        <rFont val="나눔고딕"/>
        <family val="3"/>
        <charset val="129"/>
      </rPr>
      <t>타이밍</t>
    </r>
    <r>
      <rPr>
        <sz val="11"/>
        <color theme="1"/>
        <rFont val="Times New Roman"/>
        <family val="1"/>
      </rPr>
      <t xml:space="preserve"> </t>
    </r>
    <r>
      <rPr>
        <sz val="11"/>
        <color theme="1"/>
        <rFont val="나눔고딕"/>
        <family val="3"/>
        <charset val="129"/>
      </rPr>
      <t>등</t>
    </r>
    <r>
      <rPr>
        <sz val="11"/>
        <color theme="1"/>
        <rFont val="Times New Roman"/>
        <family val="1"/>
      </rPr>
      <t>)</t>
    </r>
    <r>
      <rPr>
        <sz val="11"/>
        <color theme="1"/>
        <rFont val="나눔고딕"/>
        <family val="3"/>
        <charset val="129"/>
      </rPr>
      <t>이</t>
    </r>
    <r>
      <rPr>
        <sz val="11"/>
        <color theme="1"/>
        <rFont val="Times New Roman"/>
        <family val="1"/>
      </rPr>
      <t xml:space="preserve"> </t>
    </r>
    <r>
      <rPr>
        <sz val="11"/>
        <color theme="1"/>
        <rFont val="나눔고딕"/>
        <family val="3"/>
        <charset val="129"/>
      </rPr>
      <t>있어야</t>
    </r>
    <r>
      <rPr>
        <sz val="11"/>
        <color theme="1"/>
        <rFont val="Times New Roman"/>
        <family val="1"/>
      </rPr>
      <t xml:space="preserve"> </t>
    </r>
    <r>
      <rPr>
        <sz val="11"/>
        <color theme="1"/>
        <rFont val="나눔고딕"/>
        <family val="3"/>
        <charset val="129"/>
      </rPr>
      <t>함</t>
    </r>
    <r>
      <rPr>
        <sz val="11"/>
        <color theme="1"/>
        <rFont val="Times New Roman"/>
        <family val="1"/>
      </rPr>
      <t xml:space="preserve"> (Present)</t>
    </r>
  </si>
  <si>
    <r>
      <rPr>
        <sz val="11"/>
        <color theme="1"/>
        <rFont val="나눔고딕"/>
        <family val="3"/>
        <charset val="129"/>
      </rPr>
      <t>단순히</t>
    </r>
    <r>
      <rPr>
        <sz val="11"/>
        <color theme="1"/>
        <rFont val="Times New Roman"/>
        <family val="1"/>
      </rPr>
      <t xml:space="preserve"> </t>
    </r>
    <r>
      <rPr>
        <sz val="11"/>
        <color theme="1"/>
        <rFont val="나눔고딕"/>
        <family val="3"/>
        <charset val="129"/>
      </rPr>
      <t>보기만</t>
    </r>
    <r>
      <rPr>
        <sz val="11"/>
        <color theme="1"/>
        <rFont val="Times New Roman"/>
        <family val="1"/>
      </rPr>
      <t xml:space="preserve"> </t>
    </r>
    <r>
      <rPr>
        <sz val="11"/>
        <color theme="1"/>
        <rFont val="나눔고딕"/>
        <family val="3"/>
        <charset val="129"/>
      </rPr>
      <t>함</t>
    </r>
    <r>
      <rPr>
        <sz val="11"/>
        <color theme="1"/>
        <rFont val="Times New Roman"/>
        <family val="1"/>
      </rPr>
      <t xml:space="preserve">, </t>
    </r>
    <r>
      <rPr>
        <sz val="11"/>
        <color theme="1"/>
        <rFont val="나눔고딕"/>
        <family val="3"/>
        <charset val="129"/>
      </rPr>
      <t>별다른</t>
    </r>
    <r>
      <rPr>
        <sz val="11"/>
        <color theme="1"/>
        <rFont val="Times New Roman"/>
        <family val="1"/>
      </rPr>
      <t xml:space="preserve"> </t>
    </r>
    <r>
      <rPr>
        <sz val="11"/>
        <color theme="1"/>
        <rFont val="나눔고딕"/>
        <family val="3"/>
        <charset val="129"/>
      </rPr>
      <t>조작</t>
    </r>
    <r>
      <rPr>
        <sz val="11"/>
        <color theme="1"/>
        <rFont val="Times New Roman"/>
        <family val="1"/>
      </rPr>
      <t xml:space="preserve"> </t>
    </r>
    <r>
      <rPr>
        <sz val="11"/>
        <color theme="1"/>
        <rFont val="나눔고딕"/>
        <family val="3"/>
        <charset val="129"/>
      </rPr>
      <t>없음</t>
    </r>
    <r>
      <rPr>
        <sz val="11"/>
        <color theme="1"/>
        <rFont val="Times New Roman"/>
        <family val="1"/>
      </rPr>
      <t xml:space="preserve"> (Passive)</t>
    </r>
  </si>
  <si>
    <r>
      <rPr>
        <sz val="11"/>
        <color theme="1"/>
        <rFont val="나눔고딕"/>
        <family val="3"/>
        <charset val="129"/>
      </rPr>
      <t>다른</t>
    </r>
    <r>
      <rPr>
        <sz val="11"/>
        <color theme="1"/>
        <rFont val="Times New Roman"/>
        <family val="1"/>
      </rPr>
      <t xml:space="preserve"> </t>
    </r>
    <r>
      <rPr>
        <sz val="11"/>
        <color theme="1"/>
        <rFont val="나눔고딕"/>
        <family val="3"/>
        <charset val="129"/>
      </rPr>
      <t>시스템</t>
    </r>
    <r>
      <rPr>
        <sz val="11"/>
        <color theme="1"/>
        <rFont val="Times New Roman"/>
        <family val="1"/>
      </rPr>
      <t xml:space="preserve"> </t>
    </r>
    <r>
      <rPr>
        <sz val="11"/>
        <color theme="1"/>
        <rFont val="나눔고딕"/>
        <family val="3"/>
        <charset val="129"/>
      </rPr>
      <t>일부</t>
    </r>
    <r>
      <rPr>
        <sz val="11"/>
        <color theme="1"/>
        <rFont val="Times New Roman"/>
        <family val="1"/>
      </rPr>
      <t xml:space="preserve"> </t>
    </r>
    <r>
      <rPr>
        <sz val="11"/>
        <color theme="1"/>
        <rFont val="나눔고딕"/>
        <family val="3"/>
        <charset val="129"/>
      </rPr>
      <t>정보</t>
    </r>
    <r>
      <rPr>
        <sz val="11"/>
        <color theme="1"/>
        <rFont val="Times New Roman"/>
        <family val="1"/>
      </rPr>
      <t xml:space="preserve"> </t>
    </r>
    <r>
      <rPr>
        <sz val="11"/>
        <color theme="1"/>
        <rFont val="나눔고딕"/>
        <family val="3"/>
        <charset val="129"/>
      </rPr>
      <t>유출</t>
    </r>
    <r>
      <rPr>
        <sz val="11"/>
        <color theme="1"/>
        <rFont val="Times New Roman"/>
        <family val="1"/>
      </rPr>
      <t xml:space="preserve"> (Low)</t>
    </r>
  </si>
  <si>
    <r>
      <rPr>
        <sz val="11"/>
        <color theme="1"/>
        <rFont val="나눔고딕"/>
        <family val="3"/>
        <charset val="129"/>
      </rPr>
      <t>다른</t>
    </r>
    <r>
      <rPr>
        <sz val="11"/>
        <color theme="1"/>
        <rFont val="Times New Roman"/>
        <family val="1"/>
      </rPr>
      <t xml:space="preserve"> </t>
    </r>
    <r>
      <rPr>
        <sz val="11"/>
        <color theme="1"/>
        <rFont val="나눔고딕"/>
        <family val="3"/>
        <charset val="129"/>
      </rPr>
      <t>시스템</t>
    </r>
    <r>
      <rPr>
        <sz val="11"/>
        <color theme="1"/>
        <rFont val="Times New Roman"/>
        <family val="1"/>
      </rPr>
      <t xml:space="preserve"> </t>
    </r>
    <r>
      <rPr>
        <sz val="11"/>
        <color theme="1"/>
        <rFont val="나눔고딕"/>
        <family val="3"/>
        <charset val="129"/>
      </rPr>
      <t>일부</t>
    </r>
    <r>
      <rPr>
        <sz val="11"/>
        <color theme="1"/>
        <rFont val="Times New Roman"/>
        <family val="1"/>
      </rPr>
      <t xml:space="preserve"> </t>
    </r>
    <r>
      <rPr>
        <sz val="11"/>
        <color theme="1"/>
        <rFont val="나눔고딕"/>
        <family val="3"/>
        <charset val="129"/>
      </rPr>
      <t>데이터</t>
    </r>
    <r>
      <rPr>
        <sz val="11"/>
        <color theme="1"/>
        <rFont val="Times New Roman"/>
        <family val="1"/>
      </rPr>
      <t xml:space="preserve"> </t>
    </r>
    <r>
      <rPr>
        <sz val="11"/>
        <color theme="1"/>
        <rFont val="나눔고딕"/>
        <family val="3"/>
        <charset val="129"/>
      </rPr>
      <t>변조</t>
    </r>
    <r>
      <rPr>
        <sz val="11"/>
        <color theme="1"/>
        <rFont val="Times New Roman"/>
        <family val="1"/>
      </rPr>
      <t xml:space="preserve"> </t>
    </r>
    <r>
      <rPr>
        <sz val="11"/>
        <color theme="1"/>
        <rFont val="나눔고딕"/>
        <family val="3"/>
        <charset val="129"/>
      </rPr>
      <t>가능</t>
    </r>
    <r>
      <rPr>
        <sz val="11"/>
        <color theme="1"/>
        <rFont val="Times New Roman"/>
        <family val="1"/>
      </rPr>
      <t xml:space="preserve"> (Low)</t>
    </r>
  </si>
  <si>
    <r>
      <rPr>
        <sz val="11"/>
        <color theme="1"/>
        <rFont val="나눔고딕"/>
        <family val="3"/>
        <charset val="129"/>
      </rPr>
      <t>다른</t>
    </r>
    <r>
      <rPr>
        <sz val="11"/>
        <color theme="1"/>
        <rFont val="Times New Roman"/>
        <family val="1"/>
      </rPr>
      <t xml:space="preserve"> </t>
    </r>
    <r>
      <rPr>
        <sz val="11"/>
        <color theme="1"/>
        <rFont val="나눔고딕"/>
        <family val="3"/>
        <charset val="129"/>
      </rPr>
      <t>시스템</t>
    </r>
    <r>
      <rPr>
        <sz val="11"/>
        <color theme="1"/>
        <rFont val="Times New Roman"/>
        <family val="1"/>
      </rPr>
      <t xml:space="preserve"> </t>
    </r>
    <r>
      <rPr>
        <sz val="11"/>
        <color theme="1"/>
        <rFont val="나눔고딕"/>
        <family val="3"/>
        <charset val="129"/>
      </rPr>
      <t>일부</t>
    </r>
    <r>
      <rPr>
        <sz val="11"/>
        <color theme="1"/>
        <rFont val="Times New Roman"/>
        <family val="1"/>
      </rPr>
      <t xml:space="preserve"> </t>
    </r>
    <r>
      <rPr>
        <sz val="11"/>
        <color theme="1"/>
        <rFont val="나눔고딕"/>
        <family val="3"/>
        <charset val="129"/>
      </rPr>
      <t>성능</t>
    </r>
    <r>
      <rPr>
        <sz val="11"/>
        <color theme="1"/>
        <rFont val="Times New Roman"/>
        <family val="1"/>
      </rPr>
      <t>/</t>
    </r>
    <r>
      <rPr>
        <sz val="11"/>
        <color theme="1"/>
        <rFont val="나눔고딕"/>
        <family val="3"/>
        <charset val="129"/>
      </rPr>
      <t>기능</t>
    </r>
    <r>
      <rPr>
        <sz val="11"/>
        <color theme="1"/>
        <rFont val="Times New Roman"/>
        <family val="1"/>
      </rPr>
      <t xml:space="preserve"> </t>
    </r>
    <r>
      <rPr>
        <sz val="11"/>
        <color theme="1"/>
        <rFont val="나눔고딕"/>
        <family val="3"/>
        <charset val="129"/>
      </rPr>
      <t>저하</t>
    </r>
    <r>
      <rPr>
        <sz val="11"/>
        <color theme="1"/>
        <rFont val="Times New Roman"/>
        <family val="1"/>
      </rPr>
      <t xml:space="preserve"> (Low)</t>
    </r>
  </si>
  <si>
    <r>
      <rPr>
        <sz val="10"/>
        <rFont val="나눔고딕"/>
        <family val="3"/>
        <charset val="129"/>
      </rPr>
      <t>공격</t>
    </r>
    <r>
      <rPr>
        <sz val="10"/>
        <rFont val="Times New Roman"/>
        <family val="1"/>
      </rPr>
      <t xml:space="preserve"> </t>
    </r>
    <r>
      <rPr>
        <sz val="10"/>
        <rFont val="나눔고딕"/>
        <family val="3"/>
        <charset val="129"/>
      </rPr>
      <t>전제조건</t>
    </r>
    <r>
      <rPr>
        <sz val="10"/>
        <rFont val="Times New Roman"/>
        <family val="1"/>
      </rPr>
      <t xml:space="preserve"> - </t>
    </r>
    <r>
      <rPr>
        <sz val="10"/>
        <rFont val="나눔고딕"/>
        <family val="3"/>
        <charset val="129"/>
      </rPr>
      <t>특정</t>
    </r>
    <r>
      <rPr>
        <sz val="10"/>
        <rFont val="Times New Roman"/>
        <family val="1"/>
      </rPr>
      <t xml:space="preserve"> </t>
    </r>
    <r>
      <rPr>
        <sz val="10"/>
        <rFont val="나눔고딕"/>
        <family val="3"/>
        <charset val="129"/>
      </rPr>
      <t>사전조건이</t>
    </r>
    <r>
      <rPr>
        <sz val="10"/>
        <rFont val="Times New Roman"/>
        <family val="1"/>
      </rPr>
      <t xml:space="preserve"> </t>
    </r>
    <r>
      <rPr>
        <sz val="10"/>
        <rFont val="나눔고딕"/>
        <family val="3"/>
        <charset val="129"/>
      </rPr>
      <t>있어야</t>
    </r>
    <r>
      <rPr>
        <sz val="10"/>
        <rFont val="Times New Roman"/>
        <family val="1"/>
      </rPr>
      <t xml:space="preserve"> </t>
    </r>
    <r>
      <rPr>
        <sz val="10"/>
        <rFont val="나눔고딕"/>
        <family val="3"/>
        <charset val="129"/>
      </rPr>
      <t>하나</t>
    </r>
    <r>
      <rPr>
        <sz val="10"/>
        <rFont val="Times New Roman"/>
        <family val="1"/>
      </rPr>
      <t>?</t>
    </r>
  </si>
  <si>
    <r>
      <rPr>
        <sz val="10"/>
        <rFont val="나눔고딕"/>
        <family val="3"/>
        <charset val="129"/>
      </rPr>
      <t>전제조건</t>
    </r>
    <r>
      <rPr>
        <sz val="10"/>
        <rFont val="Times New Roman"/>
        <family val="1"/>
      </rPr>
      <t xml:space="preserve"> </t>
    </r>
    <r>
      <rPr>
        <sz val="10"/>
        <rFont val="나눔고딕"/>
        <family val="3"/>
        <charset val="129"/>
      </rPr>
      <t>없음</t>
    </r>
    <r>
      <rPr>
        <sz val="10"/>
        <rFont val="Times New Roman"/>
        <family val="1"/>
      </rPr>
      <t xml:space="preserve"> (None)</t>
    </r>
  </si>
  <si>
    <r>
      <rPr>
        <sz val="11"/>
        <color theme="1"/>
        <rFont val="나눔고딕"/>
        <family val="3"/>
        <charset val="129"/>
      </rPr>
      <t>적극적으로</t>
    </r>
    <r>
      <rPr>
        <sz val="11"/>
        <color theme="1"/>
        <rFont val="Times New Roman"/>
        <family val="1"/>
      </rPr>
      <t xml:space="preserve"> </t>
    </r>
    <r>
      <rPr>
        <sz val="11"/>
        <color theme="1"/>
        <rFont val="나눔고딕"/>
        <family val="3"/>
        <charset val="129"/>
      </rPr>
      <t>실행</t>
    </r>
    <r>
      <rPr>
        <sz val="11"/>
        <color theme="1"/>
        <rFont val="Times New Roman"/>
        <family val="1"/>
      </rPr>
      <t>/</t>
    </r>
    <r>
      <rPr>
        <sz val="11"/>
        <color theme="1"/>
        <rFont val="나눔고딕"/>
        <family val="3"/>
        <charset val="129"/>
      </rPr>
      <t>설치</t>
    </r>
    <r>
      <rPr>
        <sz val="11"/>
        <color theme="1"/>
        <rFont val="Times New Roman"/>
        <family val="1"/>
      </rPr>
      <t>/</t>
    </r>
    <r>
      <rPr>
        <sz val="11"/>
        <color theme="1"/>
        <rFont val="나눔고딕"/>
        <family val="3"/>
        <charset val="129"/>
      </rPr>
      <t>클릭</t>
    </r>
    <r>
      <rPr>
        <sz val="11"/>
        <color theme="1"/>
        <rFont val="Times New Roman"/>
        <family val="1"/>
      </rPr>
      <t xml:space="preserve"> </t>
    </r>
    <r>
      <rPr>
        <sz val="11"/>
        <color theme="1"/>
        <rFont val="나눔고딕"/>
        <family val="3"/>
        <charset val="129"/>
      </rPr>
      <t>등을</t>
    </r>
    <r>
      <rPr>
        <sz val="11"/>
        <color theme="1"/>
        <rFont val="Times New Roman"/>
        <family val="1"/>
      </rPr>
      <t xml:space="preserve"> </t>
    </r>
    <r>
      <rPr>
        <sz val="11"/>
        <color theme="1"/>
        <rFont val="나눔고딕"/>
        <family val="3"/>
        <charset val="129"/>
      </rPr>
      <t>함</t>
    </r>
    <r>
      <rPr>
        <sz val="11"/>
        <color theme="1"/>
        <rFont val="Times New Roman"/>
        <family val="1"/>
      </rPr>
      <t xml:space="preserve"> (Active)</t>
    </r>
  </si>
  <si>
    <r>
      <rPr>
        <sz val="11"/>
        <color theme="1"/>
        <rFont val="나눔고딕"/>
        <family val="3"/>
        <charset val="129"/>
      </rPr>
      <t>다른</t>
    </r>
    <r>
      <rPr>
        <sz val="11"/>
        <color theme="1"/>
        <rFont val="Times New Roman"/>
        <family val="1"/>
      </rPr>
      <t xml:space="preserve"> </t>
    </r>
    <r>
      <rPr>
        <sz val="11"/>
        <color theme="1"/>
        <rFont val="나눔고딕"/>
        <family val="3"/>
        <charset val="129"/>
      </rPr>
      <t>시스템</t>
    </r>
    <r>
      <rPr>
        <sz val="11"/>
        <color theme="1"/>
        <rFont val="Times New Roman"/>
        <family val="1"/>
      </rPr>
      <t xml:space="preserve"> </t>
    </r>
    <r>
      <rPr>
        <sz val="11"/>
        <color theme="1"/>
        <rFont val="나눔고딕"/>
        <family val="3"/>
        <charset val="129"/>
      </rPr>
      <t>전체</t>
    </r>
    <r>
      <rPr>
        <sz val="11"/>
        <color theme="1"/>
        <rFont val="Times New Roman"/>
        <family val="1"/>
      </rPr>
      <t xml:space="preserve"> </t>
    </r>
    <r>
      <rPr>
        <sz val="11"/>
        <color theme="1"/>
        <rFont val="나눔고딕"/>
        <family val="3"/>
        <charset val="129"/>
      </rPr>
      <t>정보</t>
    </r>
    <r>
      <rPr>
        <sz val="11"/>
        <color theme="1"/>
        <rFont val="Times New Roman"/>
        <family val="1"/>
      </rPr>
      <t xml:space="preserve"> </t>
    </r>
    <r>
      <rPr>
        <sz val="11"/>
        <color theme="1"/>
        <rFont val="나눔고딕"/>
        <family val="3"/>
        <charset val="129"/>
      </rPr>
      <t>유출</t>
    </r>
    <r>
      <rPr>
        <sz val="11"/>
        <color theme="1"/>
        <rFont val="Times New Roman"/>
        <family val="1"/>
      </rPr>
      <t xml:space="preserve"> (High)</t>
    </r>
  </si>
  <si>
    <r>
      <rPr>
        <sz val="11"/>
        <color theme="1"/>
        <rFont val="나눔고딕"/>
        <family val="3"/>
        <charset val="129"/>
      </rPr>
      <t>다른</t>
    </r>
    <r>
      <rPr>
        <sz val="11"/>
        <color theme="1"/>
        <rFont val="Times New Roman"/>
        <family val="1"/>
      </rPr>
      <t xml:space="preserve"> </t>
    </r>
    <r>
      <rPr>
        <sz val="11"/>
        <color theme="1"/>
        <rFont val="나눔고딕"/>
        <family val="3"/>
        <charset val="129"/>
      </rPr>
      <t>시스템</t>
    </r>
    <r>
      <rPr>
        <sz val="11"/>
        <color theme="1"/>
        <rFont val="Times New Roman"/>
        <family val="1"/>
      </rPr>
      <t xml:space="preserve"> </t>
    </r>
    <r>
      <rPr>
        <sz val="11"/>
        <color theme="1"/>
        <rFont val="나눔고딕"/>
        <family val="3"/>
        <charset val="129"/>
      </rPr>
      <t>전체</t>
    </r>
    <r>
      <rPr>
        <sz val="11"/>
        <color theme="1"/>
        <rFont val="Times New Roman"/>
        <family val="1"/>
      </rPr>
      <t xml:space="preserve"> </t>
    </r>
    <r>
      <rPr>
        <sz val="11"/>
        <color theme="1"/>
        <rFont val="나눔고딕"/>
        <family val="3"/>
        <charset val="129"/>
      </rPr>
      <t>데이터</t>
    </r>
    <r>
      <rPr>
        <sz val="11"/>
        <color theme="1"/>
        <rFont val="Times New Roman"/>
        <family val="1"/>
      </rPr>
      <t xml:space="preserve"> </t>
    </r>
    <r>
      <rPr>
        <sz val="11"/>
        <color theme="1"/>
        <rFont val="나눔고딕"/>
        <family val="3"/>
        <charset val="129"/>
      </rPr>
      <t>임의</t>
    </r>
    <r>
      <rPr>
        <sz val="11"/>
        <color theme="1"/>
        <rFont val="Times New Roman"/>
        <family val="1"/>
      </rPr>
      <t xml:space="preserve"> </t>
    </r>
    <r>
      <rPr>
        <sz val="11"/>
        <color theme="1"/>
        <rFont val="나눔고딕"/>
        <family val="3"/>
        <charset val="129"/>
      </rPr>
      <t>변조</t>
    </r>
    <r>
      <rPr>
        <sz val="11"/>
        <color theme="1"/>
        <rFont val="Times New Roman"/>
        <family val="1"/>
      </rPr>
      <t xml:space="preserve"> </t>
    </r>
    <r>
      <rPr>
        <sz val="11"/>
        <color theme="1"/>
        <rFont val="나눔고딕"/>
        <family val="3"/>
        <charset val="129"/>
      </rPr>
      <t>가능</t>
    </r>
    <r>
      <rPr>
        <sz val="11"/>
        <color theme="1"/>
        <rFont val="Times New Roman"/>
        <family val="1"/>
      </rPr>
      <t xml:space="preserve"> (High)</t>
    </r>
  </si>
  <si>
    <r>
      <rPr>
        <sz val="11"/>
        <color theme="1"/>
        <rFont val="나눔고딕"/>
        <family val="3"/>
        <charset val="129"/>
      </rPr>
      <t>다른</t>
    </r>
    <r>
      <rPr>
        <sz val="11"/>
        <color theme="1"/>
        <rFont val="Times New Roman"/>
        <family val="1"/>
      </rPr>
      <t xml:space="preserve"> </t>
    </r>
    <r>
      <rPr>
        <sz val="11"/>
        <color theme="1"/>
        <rFont val="나눔고딕"/>
        <family val="3"/>
        <charset val="129"/>
      </rPr>
      <t>시스템</t>
    </r>
    <r>
      <rPr>
        <sz val="11"/>
        <color theme="1"/>
        <rFont val="Times New Roman"/>
        <family val="1"/>
      </rPr>
      <t xml:space="preserve"> </t>
    </r>
    <r>
      <rPr>
        <sz val="11"/>
        <color theme="1"/>
        <rFont val="나눔고딕"/>
        <family val="3"/>
        <charset val="129"/>
      </rPr>
      <t>완전</t>
    </r>
    <r>
      <rPr>
        <sz val="11"/>
        <color theme="1"/>
        <rFont val="Times New Roman"/>
        <family val="1"/>
      </rPr>
      <t xml:space="preserve"> </t>
    </r>
    <r>
      <rPr>
        <sz val="11"/>
        <color theme="1"/>
        <rFont val="나눔고딕"/>
        <family val="3"/>
        <charset val="129"/>
      </rPr>
      <t>정지</t>
    </r>
    <r>
      <rPr>
        <sz val="11"/>
        <color theme="1"/>
        <rFont val="Times New Roman"/>
        <family val="1"/>
      </rPr>
      <t>/</t>
    </r>
    <r>
      <rPr>
        <sz val="11"/>
        <color theme="1"/>
        <rFont val="나눔고딕"/>
        <family val="3"/>
        <charset val="129"/>
      </rPr>
      <t>사용불가</t>
    </r>
    <r>
      <rPr>
        <sz val="11"/>
        <color theme="1"/>
        <rFont val="Times New Roman"/>
        <family val="1"/>
      </rPr>
      <t xml:space="preserve"> (High)</t>
    </r>
  </si>
  <si>
    <r>
      <rPr>
        <sz val="10"/>
        <rFont val="나눔고딕"/>
        <family val="3"/>
        <charset val="129"/>
      </rPr>
      <t>일반</t>
    </r>
    <r>
      <rPr>
        <sz val="10"/>
        <rFont val="Times New Roman"/>
        <family val="1"/>
      </rPr>
      <t xml:space="preserve"> </t>
    </r>
    <r>
      <rPr>
        <sz val="10"/>
        <rFont val="나눔고딕"/>
        <family val="3"/>
        <charset val="129"/>
      </rPr>
      <t>사용자</t>
    </r>
    <r>
      <rPr>
        <sz val="10"/>
        <rFont val="Times New Roman"/>
        <family val="1"/>
      </rPr>
      <t xml:space="preserve"> </t>
    </r>
    <r>
      <rPr>
        <sz val="10"/>
        <rFont val="나눔고딕"/>
        <family val="3"/>
        <charset val="129"/>
      </rPr>
      <t>권한</t>
    </r>
    <r>
      <rPr>
        <sz val="10"/>
        <rFont val="Times New Roman"/>
        <family val="1"/>
      </rPr>
      <t xml:space="preserve"> </t>
    </r>
    <r>
      <rPr>
        <sz val="10"/>
        <rFont val="나눔고딕"/>
        <family val="3"/>
        <charset val="129"/>
      </rPr>
      <t>필요</t>
    </r>
    <r>
      <rPr>
        <sz val="10"/>
        <rFont val="Times New Roman"/>
        <family val="1"/>
      </rPr>
      <t xml:space="preserve"> (Low)</t>
    </r>
  </si>
  <si>
    <r>
      <rPr>
        <sz val="10"/>
        <rFont val="나눔고딕"/>
        <family val="3"/>
        <charset val="129"/>
      </rPr>
      <t>단순히</t>
    </r>
    <r>
      <rPr>
        <sz val="10"/>
        <rFont val="Times New Roman"/>
        <family val="1"/>
      </rPr>
      <t xml:space="preserve"> </t>
    </r>
    <r>
      <rPr>
        <sz val="10"/>
        <rFont val="나눔고딕"/>
        <family val="3"/>
        <charset val="129"/>
      </rPr>
      <t>보기만</t>
    </r>
    <r>
      <rPr>
        <sz val="10"/>
        <rFont val="Times New Roman"/>
        <family val="1"/>
      </rPr>
      <t xml:space="preserve"> </t>
    </r>
    <r>
      <rPr>
        <sz val="10"/>
        <rFont val="나눔고딕"/>
        <family val="3"/>
        <charset val="129"/>
      </rPr>
      <t>함</t>
    </r>
    <r>
      <rPr>
        <sz val="10"/>
        <rFont val="Times New Roman"/>
        <family val="1"/>
      </rPr>
      <t xml:space="preserve">, </t>
    </r>
    <r>
      <rPr>
        <sz val="10"/>
        <rFont val="나눔고딕"/>
        <family val="3"/>
        <charset val="129"/>
      </rPr>
      <t>별다른</t>
    </r>
    <r>
      <rPr>
        <sz val="10"/>
        <rFont val="Times New Roman"/>
        <family val="1"/>
      </rPr>
      <t xml:space="preserve"> </t>
    </r>
    <r>
      <rPr>
        <sz val="10"/>
        <rFont val="나눔고딕"/>
        <family val="3"/>
        <charset val="129"/>
      </rPr>
      <t>조작</t>
    </r>
    <r>
      <rPr>
        <sz val="10"/>
        <rFont val="Times New Roman"/>
        <family val="1"/>
      </rPr>
      <t xml:space="preserve"> </t>
    </r>
    <r>
      <rPr>
        <sz val="10"/>
        <rFont val="나눔고딕"/>
        <family val="3"/>
        <charset val="129"/>
      </rPr>
      <t>없음</t>
    </r>
    <r>
      <rPr>
        <sz val="10"/>
        <rFont val="Times New Roman"/>
        <family val="1"/>
      </rPr>
      <t xml:space="preserve"> (Passive)</t>
    </r>
  </si>
  <si>
    <r>
      <rPr>
        <sz val="10"/>
        <rFont val="나눔고딕"/>
        <family val="3"/>
        <charset val="129"/>
      </rPr>
      <t>이</t>
    </r>
    <r>
      <rPr>
        <sz val="10"/>
        <rFont val="Times New Roman"/>
        <family val="1"/>
      </rPr>
      <t xml:space="preserve"> </t>
    </r>
    <r>
      <rPr>
        <sz val="10"/>
        <rFont val="나눔고딕"/>
        <family val="3"/>
        <charset val="129"/>
      </rPr>
      <t>컴포넌트</t>
    </r>
    <r>
      <rPr>
        <sz val="10"/>
        <rFont val="Times New Roman"/>
        <family val="1"/>
      </rPr>
      <t xml:space="preserve"> </t>
    </r>
    <r>
      <rPr>
        <sz val="10"/>
        <rFont val="나눔고딕"/>
        <family val="3"/>
        <charset val="129"/>
      </rPr>
      <t>자체의</t>
    </r>
    <r>
      <rPr>
        <sz val="10"/>
        <rFont val="Times New Roman"/>
        <family val="1"/>
      </rPr>
      <t xml:space="preserve"> </t>
    </r>
    <r>
      <rPr>
        <sz val="10"/>
        <rFont val="나눔고딕"/>
        <family val="3"/>
        <charset val="129"/>
      </rPr>
      <t>기밀성</t>
    </r>
    <r>
      <rPr>
        <sz val="10"/>
        <rFont val="Times New Roman"/>
        <family val="1"/>
      </rPr>
      <t xml:space="preserve"> </t>
    </r>
    <r>
      <rPr>
        <sz val="10"/>
        <rFont val="나눔고딕"/>
        <family val="3"/>
        <charset val="129"/>
      </rPr>
      <t>영향</t>
    </r>
  </si>
  <si>
    <r>
      <rPr>
        <sz val="10"/>
        <rFont val="나눔고딕"/>
        <family val="3"/>
        <charset val="129"/>
      </rPr>
      <t>일부</t>
    </r>
    <r>
      <rPr>
        <sz val="10"/>
        <rFont val="Times New Roman"/>
        <family val="1"/>
      </rPr>
      <t xml:space="preserve"> </t>
    </r>
    <r>
      <rPr>
        <sz val="10"/>
        <rFont val="나눔고딕"/>
        <family val="3"/>
        <charset val="129"/>
      </rPr>
      <t>정보</t>
    </r>
    <r>
      <rPr>
        <sz val="10"/>
        <rFont val="Times New Roman"/>
        <family val="1"/>
      </rPr>
      <t xml:space="preserve"> </t>
    </r>
    <r>
      <rPr>
        <sz val="10"/>
        <rFont val="나눔고딕"/>
        <family val="3"/>
        <charset val="129"/>
      </rPr>
      <t>유출</t>
    </r>
    <r>
      <rPr>
        <sz val="10"/>
        <rFont val="Times New Roman"/>
        <family val="1"/>
      </rPr>
      <t xml:space="preserve"> (Low)</t>
    </r>
  </si>
  <si>
    <r>
      <rPr>
        <sz val="10"/>
        <rFont val="나눔고딕"/>
        <family val="3"/>
        <charset val="129"/>
      </rPr>
      <t>이</t>
    </r>
    <r>
      <rPr>
        <sz val="10"/>
        <rFont val="Times New Roman"/>
        <family val="1"/>
      </rPr>
      <t xml:space="preserve"> </t>
    </r>
    <r>
      <rPr>
        <sz val="10"/>
        <rFont val="나눔고딕"/>
        <family val="3"/>
        <charset val="129"/>
      </rPr>
      <t>컴포넌트</t>
    </r>
    <r>
      <rPr>
        <sz val="10"/>
        <rFont val="Times New Roman"/>
        <family val="1"/>
      </rPr>
      <t xml:space="preserve"> </t>
    </r>
    <r>
      <rPr>
        <sz val="10"/>
        <rFont val="나눔고딕"/>
        <family val="3"/>
        <charset val="129"/>
      </rPr>
      <t>자체의</t>
    </r>
    <r>
      <rPr>
        <sz val="10"/>
        <rFont val="Times New Roman"/>
        <family val="1"/>
      </rPr>
      <t xml:space="preserve"> </t>
    </r>
    <r>
      <rPr>
        <sz val="10"/>
        <rFont val="나눔고딕"/>
        <family val="3"/>
        <charset val="129"/>
      </rPr>
      <t>무결성</t>
    </r>
    <r>
      <rPr>
        <sz val="10"/>
        <rFont val="Times New Roman"/>
        <family val="1"/>
      </rPr>
      <t xml:space="preserve"> </t>
    </r>
    <r>
      <rPr>
        <sz val="10"/>
        <rFont val="나눔고딕"/>
        <family val="3"/>
        <charset val="129"/>
      </rPr>
      <t>영향</t>
    </r>
  </si>
  <si>
    <r>
      <rPr>
        <sz val="10"/>
        <rFont val="나눔고딕"/>
        <family val="3"/>
        <charset val="129"/>
      </rPr>
      <t>이</t>
    </r>
    <r>
      <rPr>
        <sz val="10"/>
        <rFont val="Times New Roman"/>
        <family val="1"/>
      </rPr>
      <t xml:space="preserve"> </t>
    </r>
    <r>
      <rPr>
        <sz val="10"/>
        <rFont val="나눔고딕"/>
        <family val="3"/>
        <charset val="129"/>
      </rPr>
      <t>컴포넌트</t>
    </r>
    <r>
      <rPr>
        <sz val="10"/>
        <rFont val="Times New Roman"/>
        <family val="1"/>
      </rPr>
      <t xml:space="preserve"> </t>
    </r>
    <r>
      <rPr>
        <sz val="10"/>
        <rFont val="나눔고딕"/>
        <family val="3"/>
        <charset val="129"/>
      </rPr>
      <t>자체의</t>
    </r>
    <r>
      <rPr>
        <sz val="10"/>
        <rFont val="Times New Roman"/>
        <family val="1"/>
      </rPr>
      <t xml:space="preserve"> </t>
    </r>
    <r>
      <rPr>
        <sz val="10"/>
        <rFont val="나눔고딕"/>
        <family val="3"/>
        <charset val="129"/>
      </rPr>
      <t>가용성</t>
    </r>
    <r>
      <rPr>
        <sz val="10"/>
        <rFont val="Times New Roman"/>
        <family val="1"/>
      </rPr>
      <t xml:space="preserve"> </t>
    </r>
    <r>
      <rPr>
        <sz val="10"/>
        <rFont val="나눔고딕"/>
        <family val="3"/>
        <charset val="129"/>
      </rPr>
      <t>영향</t>
    </r>
  </si>
  <si>
    <r>
      <rPr>
        <sz val="10"/>
        <rFont val="나눔고딕"/>
        <family val="3"/>
        <charset val="129"/>
      </rPr>
      <t>영향</t>
    </r>
    <r>
      <rPr>
        <sz val="10"/>
        <rFont val="Times New Roman"/>
        <family val="1"/>
      </rPr>
      <t xml:space="preserve"> </t>
    </r>
    <r>
      <rPr>
        <sz val="10"/>
        <rFont val="나눔고딕"/>
        <family val="3"/>
        <charset val="129"/>
      </rPr>
      <t>없음</t>
    </r>
    <r>
      <rPr>
        <sz val="10"/>
        <rFont val="Times New Roman"/>
        <family val="1"/>
      </rPr>
      <t xml:space="preserve"> (None)</t>
    </r>
  </si>
  <si>
    <r>
      <rPr>
        <sz val="10"/>
        <rFont val="나눔고딕"/>
        <family val="3"/>
        <charset val="129"/>
      </rPr>
      <t>다른</t>
    </r>
    <r>
      <rPr>
        <sz val="10"/>
        <rFont val="Times New Roman"/>
        <family val="1"/>
      </rPr>
      <t xml:space="preserve"> </t>
    </r>
    <r>
      <rPr>
        <sz val="10"/>
        <rFont val="나눔고딕"/>
        <family val="3"/>
        <charset val="129"/>
      </rPr>
      <t>시스템</t>
    </r>
    <r>
      <rPr>
        <sz val="10"/>
        <rFont val="Times New Roman"/>
        <family val="1"/>
      </rPr>
      <t>(</t>
    </r>
    <r>
      <rPr>
        <sz val="10"/>
        <rFont val="나눔고딕"/>
        <family val="3"/>
        <charset val="129"/>
      </rPr>
      <t>후속시스템</t>
    </r>
    <r>
      <rPr>
        <sz val="10"/>
        <rFont val="Times New Roman"/>
        <family val="1"/>
      </rPr>
      <t>)</t>
    </r>
    <r>
      <rPr>
        <sz val="10"/>
        <rFont val="나눔고딕"/>
        <family val="3"/>
        <charset val="129"/>
      </rPr>
      <t>으로</t>
    </r>
    <r>
      <rPr>
        <sz val="10"/>
        <rFont val="Times New Roman"/>
        <family val="1"/>
      </rPr>
      <t xml:space="preserve"> </t>
    </r>
    <r>
      <rPr>
        <sz val="10"/>
        <rFont val="나눔고딕"/>
        <family val="3"/>
        <charset val="129"/>
      </rPr>
      <t>번지는</t>
    </r>
    <r>
      <rPr>
        <sz val="10"/>
        <rFont val="Times New Roman"/>
        <family val="1"/>
      </rPr>
      <t xml:space="preserve"> </t>
    </r>
    <r>
      <rPr>
        <sz val="10"/>
        <rFont val="나눔고딕"/>
        <family val="3"/>
        <charset val="129"/>
      </rPr>
      <t>기밀성</t>
    </r>
    <r>
      <rPr>
        <sz val="10"/>
        <rFont val="Times New Roman"/>
        <family val="1"/>
      </rPr>
      <t xml:space="preserve"> </t>
    </r>
    <r>
      <rPr>
        <sz val="10"/>
        <rFont val="나눔고딕"/>
        <family val="3"/>
        <charset val="129"/>
      </rPr>
      <t>영향</t>
    </r>
  </si>
  <si>
    <r>
      <rPr>
        <sz val="10"/>
        <rFont val="나눔고딕"/>
        <family val="3"/>
        <charset val="129"/>
      </rPr>
      <t>다른</t>
    </r>
    <r>
      <rPr>
        <sz val="10"/>
        <rFont val="Times New Roman"/>
        <family val="1"/>
      </rPr>
      <t xml:space="preserve"> </t>
    </r>
    <r>
      <rPr>
        <sz val="10"/>
        <rFont val="나눔고딕"/>
        <family val="3"/>
        <charset val="129"/>
      </rPr>
      <t>시스템</t>
    </r>
    <r>
      <rPr>
        <sz val="10"/>
        <rFont val="Times New Roman"/>
        <family val="1"/>
      </rPr>
      <t xml:space="preserve"> </t>
    </r>
    <r>
      <rPr>
        <sz val="10"/>
        <rFont val="나눔고딕"/>
        <family val="3"/>
        <charset val="129"/>
      </rPr>
      <t>전체</t>
    </r>
    <r>
      <rPr>
        <sz val="10"/>
        <rFont val="Times New Roman"/>
        <family val="1"/>
      </rPr>
      <t xml:space="preserve"> </t>
    </r>
    <r>
      <rPr>
        <sz val="10"/>
        <rFont val="나눔고딕"/>
        <family val="3"/>
        <charset val="129"/>
      </rPr>
      <t>정보</t>
    </r>
    <r>
      <rPr>
        <sz val="10"/>
        <rFont val="Times New Roman"/>
        <family val="1"/>
      </rPr>
      <t xml:space="preserve"> </t>
    </r>
    <r>
      <rPr>
        <sz val="10"/>
        <rFont val="나눔고딕"/>
        <family val="3"/>
        <charset val="129"/>
      </rPr>
      <t>유출</t>
    </r>
    <r>
      <rPr>
        <sz val="10"/>
        <rFont val="Times New Roman"/>
        <family val="1"/>
      </rPr>
      <t xml:space="preserve"> (High)</t>
    </r>
  </si>
  <si>
    <r>
      <rPr>
        <sz val="10"/>
        <rFont val="나눔고딕"/>
        <family val="3"/>
        <charset val="129"/>
      </rPr>
      <t>다른</t>
    </r>
    <r>
      <rPr>
        <sz val="10"/>
        <rFont val="Times New Roman"/>
        <family val="1"/>
      </rPr>
      <t xml:space="preserve"> </t>
    </r>
    <r>
      <rPr>
        <sz val="10"/>
        <rFont val="나눔고딕"/>
        <family val="3"/>
        <charset val="129"/>
      </rPr>
      <t>시스템</t>
    </r>
    <r>
      <rPr>
        <sz val="10"/>
        <rFont val="Times New Roman"/>
        <family val="1"/>
      </rPr>
      <t>(</t>
    </r>
    <r>
      <rPr>
        <sz val="10"/>
        <rFont val="나눔고딕"/>
        <family val="3"/>
        <charset val="129"/>
      </rPr>
      <t>후속시스템</t>
    </r>
    <r>
      <rPr>
        <sz val="10"/>
        <rFont val="Times New Roman"/>
        <family val="1"/>
      </rPr>
      <t>)</t>
    </r>
    <r>
      <rPr>
        <sz val="10"/>
        <rFont val="나눔고딕"/>
        <family val="3"/>
        <charset val="129"/>
      </rPr>
      <t>으로</t>
    </r>
    <r>
      <rPr>
        <sz val="10"/>
        <rFont val="Times New Roman"/>
        <family val="1"/>
      </rPr>
      <t xml:space="preserve"> </t>
    </r>
    <r>
      <rPr>
        <sz val="10"/>
        <rFont val="나눔고딕"/>
        <family val="3"/>
        <charset val="129"/>
      </rPr>
      <t>번지는</t>
    </r>
    <r>
      <rPr>
        <sz val="10"/>
        <rFont val="Times New Roman"/>
        <family val="1"/>
      </rPr>
      <t xml:space="preserve"> </t>
    </r>
    <r>
      <rPr>
        <sz val="10"/>
        <rFont val="나눔고딕"/>
        <family val="3"/>
        <charset val="129"/>
      </rPr>
      <t>무결성</t>
    </r>
    <r>
      <rPr>
        <sz val="10"/>
        <rFont val="Times New Roman"/>
        <family val="1"/>
      </rPr>
      <t xml:space="preserve"> </t>
    </r>
    <r>
      <rPr>
        <sz val="10"/>
        <rFont val="나눔고딕"/>
        <family val="3"/>
        <charset val="129"/>
      </rPr>
      <t>영향</t>
    </r>
  </si>
  <si>
    <r>
      <rPr>
        <sz val="10"/>
        <rFont val="나눔고딕"/>
        <family val="3"/>
        <charset val="129"/>
      </rPr>
      <t>다른</t>
    </r>
    <r>
      <rPr>
        <sz val="10"/>
        <rFont val="Times New Roman"/>
        <family val="1"/>
      </rPr>
      <t xml:space="preserve"> </t>
    </r>
    <r>
      <rPr>
        <sz val="10"/>
        <rFont val="나눔고딕"/>
        <family val="3"/>
        <charset val="129"/>
      </rPr>
      <t>시스템</t>
    </r>
    <r>
      <rPr>
        <sz val="10"/>
        <rFont val="Times New Roman"/>
        <family val="1"/>
      </rPr>
      <t xml:space="preserve"> </t>
    </r>
    <r>
      <rPr>
        <sz val="10"/>
        <rFont val="나눔고딕"/>
        <family val="3"/>
        <charset val="129"/>
      </rPr>
      <t>일부</t>
    </r>
    <r>
      <rPr>
        <sz val="10"/>
        <rFont val="Times New Roman"/>
        <family val="1"/>
      </rPr>
      <t xml:space="preserve"> </t>
    </r>
    <r>
      <rPr>
        <sz val="10"/>
        <rFont val="나눔고딕"/>
        <family val="3"/>
        <charset val="129"/>
      </rPr>
      <t>데이터</t>
    </r>
    <r>
      <rPr>
        <sz val="10"/>
        <rFont val="Times New Roman"/>
        <family val="1"/>
      </rPr>
      <t xml:space="preserve"> </t>
    </r>
    <r>
      <rPr>
        <sz val="10"/>
        <rFont val="나눔고딕"/>
        <family val="3"/>
        <charset val="129"/>
      </rPr>
      <t>변조</t>
    </r>
    <r>
      <rPr>
        <sz val="10"/>
        <rFont val="Times New Roman"/>
        <family val="1"/>
      </rPr>
      <t xml:space="preserve"> </t>
    </r>
    <r>
      <rPr>
        <sz val="10"/>
        <rFont val="나눔고딕"/>
        <family val="3"/>
        <charset val="129"/>
      </rPr>
      <t>가능</t>
    </r>
    <r>
      <rPr>
        <sz val="10"/>
        <rFont val="Times New Roman"/>
        <family val="1"/>
      </rPr>
      <t xml:space="preserve"> (Low)</t>
    </r>
  </si>
  <si>
    <r>
      <rPr>
        <sz val="10"/>
        <rFont val="나눔고딕"/>
        <family val="3"/>
        <charset val="129"/>
      </rPr>
      <t>다른</t>
    </r>
    <r>
      <rPr>
        <sz val="10"/>
        <rFont val="Times New Roman"/>
        <family val="1"/>
      </rPr>
      <t xml:space="preserve"> </t>
    </r>
    <r>
      <rPr>
        <sz val="10"/>
        <rFont val="나눔고딕"/>
        <family val="3"/>
        <charset val="129"/>
      </rPr>
      <t>시스템</t>
    </r>
    <r>
      <rPr>
        <sz val="10"/>
        <rFont val="Times New Roman"/>
        <family val="1"/>
      </rPr>
      <t>(</t>
    </r>
    <r>
      <rPr>
        <sz val="10"/>
        <rFont val="나눔고딕"/>
        <family val="3"/>
        <charset val="129"/>
      </rPr>
      <t>후속시스템</t>
    </r>
    <r>
      <rPr>
        <sz val="10"/>
        <rFont val="Times New Roman"/>
        <family val="1"/>
      </rPr>
      <t>)</t>
    </r>
    <r>
      <rPr>
        <sz val="10"/>
        <rFont val="나눔고딕"/>
        <family val="3"/>
        <charset val="129"/>
      </rPr>
      <t>으로</t>
    </r>
    <r>
      <rPr>
        <sz val="10"/>
        <rFont val="Times New Roman"/>
        <family val="1"/>
      </rPr>
      <t xml:space="preserve"> </t>
    </r>
    <r>
      <rPr>
        <sz val="10"/>
        <rFont val="나눔고딕"/>
        <family val="3"/>
        <charset val="129"/>
      </rPr>
      <t>번지는</t>
    </r>
    <r>
      <rPr>
        <sz val="10"/>
        <rFont val="Times New Roman"/>
        <family val="1"/>
      </rPr>
      <t xml:space="preserve"> </t>
    </r>
    <r>
      <rPr>
        <sz val="10"/>
        <rFont val="나눔고딕"/>
        <family val="3"/>
        <charset val="129"/>
      </rPr>
      <t>가용성</t>
    </r>
    <r>
      <rPr>
        <sz val="10"/>
        <rFont val="Times New Roman"/>
        <family val="1"/>
      </rPr>
      <t xml:space="preserve"> </t>
    </r>
    <r>
      <rPr>
        <sz val="10"/>
        <rFont val="나눔고딕"/>
        <family val="3"/>
        <charset val="129"/>
      </rPr>
      <t>영향</t>
    </r>
  </si>
  <si>
    <r>
      <rPr>
        <sz val="10"/>
        <rFont val="나눔고딕"/>
        <family val="3"/>
        <charset val="129"/>
      </rPr>
      <t>다른</t>
    </r>
    <r>
      <rPr>
        <sz val="10"/>
        <rFont val="Times New Roman"/>
        <family val="1"/>
      </rPr>
      <t xml:space="preserve"> </t>
    </r>
    <r>
      <rPr>
        <sz val="10"/>
        <rFont val="나눔고딕"/>
        <family val="3"/>
        <charset val="129"/>
      </rPr>
      <t>시스템</t>
    </r>
    <r>
      <rPr>
        <sz val="10"/>
        <rFont val="Times New Roman"/>
        <family val="1"/>
      </rPr>
      <t xml:space="preserve"> </t>
    </r>
    <r>
      <rPr>
        <sz val="10"/>
        <rFont val="나눔고딕"/>
        <family val="3"/>
        <charset val="129"/>
      </rPr>
      <t>완전</t>
    </r>
    <r>
      <rPr>
        <sz val="10"/>
        <rFont val="Times New Roman"/>
        <family val="1"/>
      </rPr>
      <t xml:space="preserve"> </t>
    </r>
    <r>
      <rPr>
        <sz val="10"/>
        <rFont val="나눔고딕"/>
        <family val="3"/>
        <charset val="129"/>
      </rPr>
      <t>정지</t>
    </r>
    <r>
      <rPr>
        <sz val="10"/>
        <rFont val="Times New Roman"/>
        <family val="1"/>
      </rPr>
      <t>/</t>
    </r>
    <r>
      <rPr>
        <sz val="10"/>
        <rFont val="나눔고딕"/>
        <family val="3"/>
        <charset val="129"/>
      </rPr>
      <t>사용불가</t>
    </r>
    <r>
      <rPr>
        <sz val="10"/>
        <rFont val="Times New Roman"/>
        <family val="1"/>
      </rPr>
      <t xml:space="preserve"> (High)</t>
    </r>
  </si>
  <si>
    <r>
      <t>v4.0</t>
    </r>
    <r>
      <rPr>
        <i/>
        <sz val="9"/>
        <color rgb="FF666666"/>
        <rFont val="나눔고딕"/>
        <family val="3"/>
        <charset val="129"/>
      </rPr>
      <t>은</t>
    </r>
    <r>
      <rPr>
        <i/>
        <sz val="9"/>
        <color rgb="FF666666"/>
        <rFont val="Times New Roman"/>
        <family val="1"/>
      </rPr>
      <t xml:space="preserve"> MacroVector </t>
    </r>
    <r>
      <rPr>
        <i/>
        <sz val="9"/>
        <color rgb="FF666666"/>
        <rFont val="나눔고딕"/>
        <family val="3"/>
        <charset val="129"/>
      </rPr>
      <t>대표점수</t>
    </r>
    <r>
      <rPr>
        <i/>
        <sz val="9"/>
        <color rgb="FF666666"/>
        <rFont val="Times New Roman"/>
        <family val="1"/>
      </rPr>
      <t>(</t>
    </r>
    <r>
      <rPr>
        <i/>
        <sz val="9"/>
        <color rgb="FF666666"/>
        <rFont val="나눔고딕"/>
        <family val="3"/>
        <charset val="129"/>
      </rPr>
      <t>근사치</t>
    </r>
    <r>
      <rPr>
        <i/>
        <sz val="9"/>
        <color rgb="FF666666"/>
        <rFont val="Times New Roman"/>
        <family val="1"/>
      </rPr>
      <t>)</t>
    </r>
    <r>
      <rPr>
        <i/>
        <sz val="9"/>
        <color rgb="FF666666"/>
        <rFont val="나눔고딕"/>
        <family val="3"/>
        <charset val="129"/>
      </rPr>
      <t>입니다</t>
    </r>
    <r>
      <rPr>
        <i/>
        <sz val="9"/>
        <color rgb="FF666666"/>
        <rFont val="Times New Roman"/>
        <family val="1"/>
      </rPr>
      <t xml:space="preserve"> — </t>
    </r>
    <r>
      <rPr>
        <i/>
        <sz val="9"/>
        <color rgb="FF666666"/>
        <rFont val="나눔고딕"/>
        <family val="3"/>
        <charset val="129"/>
      </rPr>
      <t>미세</t>
    </r>
    <r>
      <rPr>
        <i/>
        <sz val="9"/>
        <color rgb="FF666666"/>
        <rFont val="Times New Roman"/>
        <family val="1"/>
      </rPr>
      <t xml:space="preserve"> </t>
    </r>
    <r>
      <rPr>
        <i/>
        <sz val="9"/>
        <color rgb="FF666666"/>
        <rFont val="나눔고딕"/>
        <family val="3"/>
        <charset val="129"/>
      </rPr>
      <t>보간</t>
    </r>
    <r>
      <rPr>
        <i/>
        <sz val="9"/>
        <color rgb="FF666666"/>
        <rFont val="Times New Roman"/>
        <family val="1"/>
      </rPr>
      <t xml:space="preserve"> </t>
    </r>
    <r>
      <rPr>
        <i/>
        <sz val="9"/>
        <color rgb="FF666666"/>
        <rFont val="나눔고딕"/>
        <family val="3"/>
        <charset val="129"/>
      </rPr>
      <t>미반영</t>
    </r>
    <r>
      <rPr>
        <i/>
        <sz val="9"/>
        <color rgb="FF666666"/>
        <rFont val="Times New Roman"/>
        <family val="1"/>
      </rPr>
      <t xml:space="preserve">, ±0.3~0.5 </t>
    </r>
    <r>
      <rPr>
        <i/>
        <sz val="9"/>
        <color rgb="FF666666"/>
        <rFont val="나눔고딕"/>
        <family val="3"/>
        <charset val="129"/>
      </rPr>
      <t>오차</t>
    </r>
    <r>
      <rPr>
        <i/>
        <sz val="9"/>
        <color rgb="FF666666"/>
        <rFont val="Times New Roman"/>
        <family val="1"/>
      </rPr>
      <t xml:space="preserve"> </t>
    </r>
    <r>
      <rPr>
        <i/>
        <sz val="9"/>
        <color rgb="FF666666"/>
        <rFont val="나눔고딕"/>
        <family val="3"/>
        <charset val="129"/>
      </rPr>
      <t>가능</t>
    </r>
    <r>
      <rPr>
        <i/>
        <sz val="9"/>
        <color rgb="FF666666"/>
        <rFont val="Times New Roman"/>
        <family val="1"/>
      </rPr>
      <t xml:space="preserve">. </t>
    </r>
    <r>
      <rPr>
        <i/>
        <sz val="9"/>
        <color rgb="FF666666"/>
        <rFont val="나눔고딕"/>
        <family val="3"/>
        <charset val="129"/>
      </rPr>
      <t>정확한</t>
    </r>
    <r>
      <rPr>
        <i/>
        <sz val="9"/>
        <color rgb="FF666666"/>
        <rFont val="Times New Roman"/>
        <family val="1"/>
      </rPr>
      <t xml:space="preserve"> </t>
    </r>
    <r>
      <rPr>
        <i/>
        <sz val="9"/>
        <color rgb="FF666666"/>
        <rFont val="나눔고딕"/>
        <family val="3"/>
        <charset val="129"/>
      </rPr>
      <t>값이</t>
    </r>
    <r>
      <rPr>
        <i/>
        <sz val="9"/>
        <color rgb="FF666666"/>
        <rFont val="Times New Roman"/>
        <family val="1"/>
      </rPr>
      <t xml:space="preserve"> </t>
    </r>
    <r>
      <rPr>
        <i/>
        <sz val="9"/>
        <color rgb="FF666666"/>
        <rFont val="나눔고딕"/>
        <family val="3"/>
        <charset val="129"/>
      </rPr>
      <t>필요하면</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벡터를</t>
    </r>
    <r>
      <rPr>
        <i/>
        <sz val="9"/>
        <color rgb="FF666666"/>
        <rFont val="Times New Roman"/>
        <family val="1"/>
      </rPr>
      <t xml:space="preserve"> Weakness_Vulnerability </t>
    </r>
    <r>
      <rPr>
        <i/>
        <sz val="9"/>
        <color rgb="FF666666"/>
        <rFont val="나눔고딕"/>
        <family val="3"/>
        <charset val="129"/>
      </rPr>
      <t>시트</t>
    </r>
    <r>
      <rPr>
        <i/>
        <sz val="9"/>
        <color rgb="FF666666"/>
        <rFont val="Times New Roman"/>
        <family val="1"/>
      </rPr>
      <t xml:space="preserve"> Q</t>
    </r>
    <r>
      <rPr>
        <i/>
        <sz val="9"/>
        <color rgb="FF666666"/>
        <rFont val="나눔고딕"/>
        <family val="3"/>
        <charset val="129"/>
      </rPr>
      <t>열에</t>
    </r>
    <r>
      <rPr>
        <i/>
        <sz val="9"/>
        <color rgb="FF666666"/>
        <rFont val="Times New Roman"/>
        <family val="1"/>
      </rPr>
      <t xml:space="preserve"> </t>
    </r>
    <r>
      <rPr>
        <i/>
        <sz val="9"/>
        <color rgb="FF666666"/>
        <rFont val="나눔고딕"/>
        <family val="3"/>
        <charset val="129"/>
      </rPr>
      <t>붙여넣고</t>
    </r>
    <r>
      <rPr>
        <i/>
        <sz val="9"/>
        <color rgb="FF666666"/>
        <rFont val="Times New Roman"/>
        <family val="1"/>
      </rPr>
      <t xml:space="preserve"> RunCVSSCalc</t>
    </r>
    <r>
      <rPr>
        <i/>
        <sz val="9"/>
        <color rgb="FF666666"/>
        <rFont val="나눔고딕"/>
        <family val="3"/>
        <charset val="129"/>
      </rPr>
      <t>를</t>
    </r>
    <r>
      <rPr>
        <i/>
        <sz val="9"/>
        <color rgb="FF666666"/>
        <rFont val="Times New Roman"/>
        <family val="1"/>
      </rPr>
      <t xml:space="preserve"> </t>
    </r>
    <r>
      <rPr>
        <i/>
        <sz val="9"/>
        <color rgb="FF666666"/>
        <rFont val="나눔고딕"/>
        <family val="3"/>
        <charset val="129"/>
      </rPr>
      <t>실행하세요</t>
    </r>
    <r>
      <rPr>
        <i/>
        <sz val="9"/>
        <color rgb="FF666666"/>
        <rFont val="Times New Roman"/>
        <family val="1"/>
      </rPr>
      <t>.</t>
    </r>
  </si>
  <si>
    <r>
      <t xml:space="preserve">CVSS v4.0 MacroVector -&gt; Base Score </t>
    </r>
    <r>
      <rPr>
        <b/>
        <sz val="11"/>
        <color rgb="FF1F4E78"/>
        <rFont val="나눔고딕"/>
        <family val="3"/>
        <charset val="129"/>
      </rPr>
      <t>룩업테이블</t>
    </r>
    <r>
      <rPr>
        <b/>
        <sz val="11"/>
        <color rgb="FF1F4E78"/>
        <rFont val="Times New Roman"/>
        <family val="1"/>
      </rPr>
      <t xml:space="preserve"> (270</t>
    </r>
    <r>
      <rPr>
        <b/>
        <sz val="11"/>
        <color rgb="FF1F4E78"/>
        <rFont val="나눔고딕"/>
        <family val="3"/>
        <charset val="129"/>
      </rPr>
      <t>건</t>
    </r>
    <r>
      <rPr>
        <b/>
        <sz val="11"/>
        <color rgb="FF1F4E78"/>
        <rFont val="Times New Roman"/>
        <family val="1"/>
      </rPr>
      <t xml:space="preserve">, FIRST </t>
    </r>
    <r>
      <rPr>
        <b/>
        <sz val="11"/>
        <color rgb="FF1F4E78"/>
        <rFont val="나눔고딕"/>
        <family val="3"/>
        <charset val="129"/>
      </rPr>
      <t>공식</t>
    </r>
    <r>
      <rPr>
        <b/>
        <sz val="11"/>
        <color rgb="FF1F4E78"/>
        <rFont val="Times New Roman"/>
        <family val="1"/>
      </rPr>
      <t>)</t>
    </r>
  </si>
  <si>
    <r>
      <rPr>
        <b/>
        <sz val="11"/>
        <color rgb="FF1F4E78"/>
        <rFont val="나눔고딕"/>
        <family val="3"/>
        <charset val="129"/>
      </rPr>
      <t>참조</t>
    </r>
    <r>
      <rPr>
        <b/>
        <sz val="11"/>
        <color rgb="FF1F4E78"/>
        <rFont val="Times New Roman"/>
        <family val="1"/>
      </rPr>
      <t xml:space="preserve"> </t>
    </r>
    <r>
      <rPr>
        <b/>
        <sz val="11"/>
        <color rgb="FF1F4E78"/>
        <rFont val="나눔고딕"/>
        <family val="3"/>
        <charset val="129"/>
      </rPr>
      <t>목록</t>
    </r>
    <r>
      <rPr>
        <b/>
        <sz val="11"/>
        <color rgb="FF1F4E78"/>
        <rFont val="Times New Roman"/>
        <family val="1"/>
      </rPr>
      <t xml:space="preserve"> — </t>
    </r>
    <r>
      <rPr>
        <b/>
        <sz val="11"/>
        <color rgb="FF1F4E78"/>
        <rFont val="나눔고딕"/>
        <family val="3"/>
        <charset val="129"/>
      </rPr>
      <t>드롭다운</t>
    </r>
    <r>
      <rPr>
        <b/>
        <sz val="11"/>
        <color rgb="FF1F4E78"/>
        <rFont val="Times New Roman"/>
        <family val="1"/>
      </rPr>
      <t xml:space="preserve"> </t>
    </r>
    <r>
      <rPr>
        <b/>
        <sz val="11"/>
        <color rgb="FF1F4E78"/>
        <rFont val="나눔고딕"/>
        <family val="3"/>
        <charset val="129"/>
      </rPr>
      <t>및</t>
    </r>
    <r>
      <rPr>
        <b/>
        <sz val="11"/>
        <color rgb="FF1F4E78"/>
        <rFont val="Times New Roman"/>
        <family val="1"/>
      </rPr>
      <t xml:space="preserve"> </t>
    </r>
    <r>
      <rPr>
        <b/>
        <sz val="11"/>
        <color rgb="FF1F4E78"/>
        <rFont val="나눔고딕"/>
        <family val="3"/>
        <charset val="129"/>
      </rPr>
      <t>매핑표</t>
    </r>
  </si>
  <si>
    <r>
      <rPr>
        <i/>
        <sz val="9"/>
        <color rgb="FF666666"/>
        <rFont val="나눔고딕"/>
        <family val="3"/>
        <charset val="129"/>
      </rPr>
      <t>아래</t>
    </r>
    <r>
      <rPr>
        <i/>
        <sz val="9"/>
        <color rgb="FF666666"/>
        <rFont val="Times New Roman"/>
        <family val="1"/>
      </rPr>
      <t xml:space="preserve"> </t>
    </r>
    <r>
      <rPr>
        <i/>
        <sz val="9"/>
        <color rgb="FF666666"/>
        <rFont val="나눔고딕"/>
        <family val="3"/>
        <charset val="129"/>
      </rPr>
      <t>각</t>
    </r>
    <r>
      <rPr>
        <i/>
        <sz val="9"/>
        <color rgb="FF666666"/>
        <rFont val="Times New Roman"/>
        <family val="1"/>
      </rPr>
      <t xml:space="preserve"> </t>
    </r>
    <r>
      <rPr>
        <i/>
        <sz val="9"/>
        <color rgb="FF666666"/>
        <rFont val="나눔고딕"/>
        <family val="3"/>
        <charset val="129"/>
      </rPr>
      <t>블록은</t>
    </r>
    <r>
      <rPr>
        <i/>
        <sz val="9"/>
        <color rgb="FF666666"/>
        <rFont val="Times New Roman"/>
        <family val="1"/>
      </rPr>
      <t xml:space="preserve"> Weakness_Vulnerability </t>
    </r>
    <r>
      <rPr>
        <i/>
        <sz val="9"/>
        <color rgb="FF666666"/>
        <rFont val="나눔고딕"/>
        <family val="3"/>
        <charset val="129"/>
      </rPr>
      <t>시트의</t>
    </r>
    <r>
      <rPr>
        <i/>
        <sz val="9"/>
        <color rgb="FF666666"/>
        <rFont val="Times New Roman"/>
        <family val="1"/>
      </rPr>
      <t xml:space="preserve"> </t>
    </r>
    <r>
      <rPr>
        <i/>
        <sz val="9"/>
        <color rgb="FF666666"/>
        <rFont val="나눔고딕"/>
        <family val="3"/>
        <charset val="129"/>
      </rPr>
      <t>데이터</t>
    </r>
    <r>
      <rPr>
        <i/>
        <sz val="9"/>
        <color rgb="FF666666"/>
        <rFont val="Times New Roman"/>
        <family val="1"/>
      </rPr>
      <t xml:space="preserve"> </t>
    </r>
    <r>
      <rPr>
        <i/>
        <sz val="9"/>
        <color rgb="FF666666"/>
        <rFont val="나눔고딕"/>
        <family val="3"/>
        <charset val="129"/>
      </rPr>
      <t>유효성</t>
    </r>
    <r>
      <rPr>
        <i/>
        <sz val="9"/>
        <color rgb="FF666666"/>
        <rFont val="Times New Roman"/>
        <family val="1"/>
      </rPr>
      <t xml:space="preserve"> </t>
    </r>
    <r>
      <rPr>
        <i/>
        <sz val="9"/>
        <color rgb="FF666666"/>
        <rFont val="나눔고딕"/>
        <family val="3"/>
        <charset val="129"/>
      </rPr>
      <t>검사</t>
    </r>
    <r>
      <rPr>
        <i/>
        <sz val="9"/>
        <color rgb="FF666666"/>
        <rFont val="Times New Roman"/>
        <family val="1"/>
      </rPr>
      <t>(</t>
    </r>
    <r>
      <rPr>
        <i/>
        <sz val="9"/>
        <color rgb="FF666666"/>
        <rFont val="나눔고딕"/>
        <family val="3"/>
        <charset val="129"/>
      </rPr>
      <t>드롭다운</t>
    </r>
    <r>
      <rPr>
        <i/>
        <sz val="9"/>
        <color rgb="FF666666"/>
        <rFont val="Times New Roman"/>
        <family val="1"/>
      </rPr>
      <t xml:space="preserve">) </t>
    </r>
    <r>
      <rPr>
        <i/>
        <sz val="9"/>
        <color rgb="FF666666"/>
        <rFont val="나눔고딕"/>
        <family val="3"/>
        <charset val="129"/>
      </rPr>
      <t>원본입니다</t>
    </r>
    <r>
      <rPr>
        <i/>
        <sz val="9"/>
        <color rgb="FF666666"/>
        <rFont val="Times New Roman"/>
        <family val="1"/>
      </rPr>
      <t>.</t>
    </r>
  </si>
  <si>
    <r>
      <t>P~Q</t>
    </r>
    <r>
      <rPr>
        <i/>
        <sz val="9"/>
        <color rgb="FF666666"/>
        <rFont val="나눔고딕"/>
        <family val="3"/>
        <charset val="129"/>
      </rPr>
      <t>열의</t>
    </r>
    <r>
      <rPr>
        <i/>
        <sz val="9"/>
        <color rgb="FF666666"/>
        <rFont val="Times New Roman"/>
        <family val="1"/>
      </rPr>
      <t xml:space="preserve"> CVSS </t>
    </r>
    <r>
      <rPr>
        <i/>
        <sz val="9"/>
        <color rgb="FF666666"/>
        <rFont val="나눔고딕"/>
        <family val="3"/>
        <charset val="129"/>
      </rPr>
      <t>밴드표는</t>
    </r>
    <r>
      <rPr>
        <i/>
        <sz val="9"/>
        <color rgb="FF666666"/>
        <rFont val="Times New Roman"/>
        <family val="1"/>
      </rPr>
      <t xml:space="preserve"> </t>
    </r>
    <r>
      <rPr>
        <i/>
        <sz val="9"/>
        <color rgb="FF666666"/>
        <rFont val="나눔고딕"/>
        <family val="3"/>
        <charset val="129"/>
      </rPr>
      <t>예시이며</t>
    </r>
    <r>
      <rPr>
        <i/>
        <sz val="9"/>
        <color rgb="FF666666"/>
        <rFont val="Times New Roman"/>
        <family val="1"/>
      </rPr>
      <t xml:space="preserve">, TAGS AFR </t>
    </r>
    <r>
      <rPr>
        <i/>
        <sz val="9"/>
        <color rgb="FF666666"/>
        <rFont val="나눔고딕"/>
        <family val="3"/>
        <charset val="129"/>
      </rPr>
      <t>모듈</t>
    </r>
    <r>
      <rPr>
        <i/>
        <sz val="9"/>
        <color rgb="FF666666"/>
        <rFont val="Times New Roman"/>
        <family val="1"/>
      </rPr>
      <t xml:space="preserve"> </t>
    </r>
    <r>
      <rPr>
        <i/>
        <sz val="9"/>
        <color rgb="FF666666"/>
        <rFont val="나눔고딕"/>
        <family val="3"/>
        <charset val="129"/>
      </rPr>
      <t>척도와</t>
    </r>
    <r>
      <rPr>
        <i/>
        <sz val="9"/>
        <color rgb="FF666666"/>
        <rFont val="Times New Roman"/>
        <family val="1"/>
      </rPr>
      <t xml:space="preserve"> </t>
    </r>
    <r>
      <rPr>
        <i/>
        <sz val="9"/>
        <color rgb="FF666666"/>
        <rFont val="나눔고딕"/>
        <family val="3"/>
        <charset val="129"/>
      </rPr>
      <t>맞춰</t>
    </r>
    <r>
      <rPr>
        <i/>
        <sz val="9"/>
        <color rgb="FF666666"/>
        <rFont val="Times New Roman"/>
        <family val="1"/>
      </rPr>
      <t xml:space="preserve"> </t>
    </r>
    <r>
      <rPr>
        <i/>
        <sz val="9"/>
        <color rgb="FF666666"/>
        <rFont val="나눔고딕"/>
        <family val="3"/>
        <charset val="129"/>
      </rPr>
      <t>조정하세요</t>
    </r>
    <r>
      <rPr>
        <i/>
        <sz val="9"/>
        <color rgb="FF666666"/>
        <rFont val="Times New Roman"/>
        <family val="1"/>
      </rPr>
      <t>.</t>
    </r>
  </si>
  <si>
    <r>
      <t>Justification_</t>
    </r>
    <r>
      <rPr>
        <b/>
        <sz val="10"/>
        <color rgb="FFFFFFFF"/>
        <rFont val="나눔고딕"/>
        <family val="3"/>
        <charset val="129"/>
      </rPr>
      <t>설명</t>
    </r>
  </si>
  <si>
    <r>
      <t>CVSS_</t>
    </r>
    <r>
      <rPr>
        <b/>
        <sz val="10"/>
        <color rgb="FFFFFFFF"/>
        <rFont val="나눔고딕"/>
        <family val="3"/>
        <charset val="129"/>
      </rPr>
      <t>기본점수</t>
    </r>
    <r>
      <rPr>
        <b/>
        <sz val="10"/>
        <color rgb="FFFFFFFF"/>
        <rFont val="Times New Roman"/>
        <family val="1"/>
      </rPr>
      <t xml:space="preserve"> </t>
    </r>
    <r>
      <rPr>
        <b/>
        <sz val="10"/>
        <color rgb="FFFFFFFF"/>
        <rFont val="나눔고딕"/>
        <family val="3"/>
        <charset val="129"/>
      </rPr>
      <t>이상</t>
    </r>
  </si>
  <si>
    <r>
      <t>AFR_Screening(</t>
    </r>
    <r>
      <rPr>
        <b/>
        <sz val="10"/>
        <color rgb="FFFFFFFF"/>
        <rFont val="나눔고딕"/>
        <family val="3"/>
        <charset val="129"/>
      </rPr>
      <t>예시</t>
    </r>
    <r>
      <rPr>
        <b/>
        <sz val="10"/>
        <color rgb="FFFFFFFF"/>
        <rFont val="Times New Roman"/>
        <family val="1"/>
      </rPr>
      <t>)</t>
    </r>
  </si>
  <si>
    <r>
      <rPr>
        <sz val="10"/>
        <rFont val="나눔고딕"/>
        <family val="3"/>
        <charset val="129"/>
      </rPr>
      <t>취약</t>
    </r>
    <r>
      <rPr>
        <sz val="10"/>
        <rFont val="Times New Roman"/>
        <family val="1"/>
      </rPr>
      <t xml:space="preserve"> </t>
    </r>
    <r>
      <rPr>
        <sz val="10"/>
        <rFont val="나눔고딕"/>
        <family val="3"/>
        <charset val="129"/>
      </rPr>
      <t>컴포넌트</t>
    </r>
    <r>
      <rPr>
        <sz val="10"/>
        <rFont val="Times New Roman"/>
        <family val="1"/>
      </rPr>
      <t xml:space="preserve"> </t>
    </r>
    <r>
      <rPr>
        <sz val="10"/>
        <rFont val="나눔고딕"/>
        <family val="3"/>
        <charset val="129"/>
      </rPr>
      <t>자체가</t>
    </r>
    <r>
      <rPr>
        <sz val="10"/>
        <rFont val="Times New Roman"/>
        <family val="1"/>
      </rPr>
      <t xml:space="preserve"> </t>
    </r>
    <r>
      <rPr>
        <sz val="10"/>
        <rFont val="나눔고딕"/>
        <family val="3"/>
        <charset val="129"/>
      </rPr>
      <t>자사</t>
    </r>
    <r>
      <rPr>
        <sz val="10"/>
        <rFont val="Times New Roman"/>
        <family val="1"/>
      </rPr>
      <t xml:space="preserve"> </t>
    </r>
    <r>
      <rPr>
        <sz val="10"/>
        <rFont val="나눔고딕"/>
        <family val="3"/>
        <charset val="129"/>
      </rPr>
      <t>제품에</t>
    </r>
    <r>
      <rPr>
        <sz val="10"/>
        <rFont val="Times New Roman"/>
        <family val="1"/>
      </rPr>
      <t xml:space="preserve"> </t>
    </r>
    <r>
      <rPr>
        <sz val="10"/>
        <rFont val="나눔고딕"/>
        <family val="3"/>
        <charset val="129"/>
      </rPr>
      <t>포함되어</t>
    </r>
    <r>
      <rPr>
        <sz val="10"/>
        <rFont val="Times New Roman"/>
        <family val="1"/>
      </rPr>
      <t xml:space="preserve"> </t>
    </r>
    <r>
      <rPr>
        <sz val="10"/>
        <rFont val="나눔고딕"/>
        <family val="3"/>
        <charset val="129"/>
      </rPr>
      <t>있지</t>
    </r>
    <r>
      <rPr>
        <sz val="10"/>
        <rFont val="Times New Roman"/>
        <family val="1"/>
      </rPr>
      <t xml:space="preserve"> </t>
    </r>
    <r>
      <rPr>
        <sz val="10"/>
        <rFont val="나눔고딕"/>
        <family val="3"/>
        <charset val="129"/>
      </rPr>
      <t>않음</t>
    </r>
  </si>
  <si>
    <r>
      <rPr>
        <sz val="10"/>
        <rFont val="나눔고딕"/>
        <family val="3"/>
        <charset val="129"/>
      </rPr>
      <t>취약</t>
    </r>
    <r>
      <rPr>
        <sz val="10"/>
        <rFont val="Times New Roman"/>
        <family val="1"/>
      </rPr>
      <t xml:space="preserve"> </t>
    </r>
    <r>
      <rPr>
        <sz val="10"/>
        <rFont val="나눔고딕"/>
        <family val="3"/>
        <charset val="129"/>
      </rPr>
      <t>코드는</t>
    </r>
    <r>
      <rPr>
        <sz val="10"/>
        <rFont val="Times New Roman"/>
        <family val="1"/>
      </rPr>
      <t xml:space="preserve"> </t>
    </r>
    <r>
      <rPr>
        <sz val="10"/>
        <rFont val="나눔고딕"/>
        <family val="3"/>
        <charset val="129"/>
      </rPr>
      <t>포함되어</t>
    </r>
    <r>
      <rPr>
        <sz val="10"/>
        <rFont val="Times New Roman"/>
        <family val="1"/>
      </rPr>
      <t xml:space="preserve"> </t>
    </r>
    <r>
      <rPr>
        <sz val="10"/>
        <rFont val="나눔고딕"/>
        <family val="3"/>
        <charset val="129"/>
      </rPr>
      <t>있으나</t>
    </r>
    <r>
      <rPr>
        <sz val="10"/>
        <rFont val="Times New Roman"/>
        <family val="1"/>
      </rPr>
      <t xml:space="preserve"> </t>
    </r>
    <r>
      <rPr>
        <sz val="10"/>
        <rFont val="나눔고딕"/>
        <family val="3"/>
        <charset val="129"/>
      </rPr>
      <t>해당</t>
    </r>
    <r>
      <rPr>
        <sz val="10"/>
        <rFont val="Times New Roman"/>
        <family val="1"/>
      </rPr>
      <t xml:space="preserve"> </t>
    </r>
    <r>
      <rPr>
        <sz val="10"/>
        <rFont val="나눔고딕"/>
        <family val="3"/>
        <charset val="129"/>
      </rPr>
      <t>코드가</t>
    </r>
    <r>
      <rPr>
        <sz val="10"/>
        <rFont val="Times New Roman"/>
        <family val="1"/>
      </rPr>
      <t xml:space="preserve"> </t>
    </r>
    <r>
      <rPr>
        <sz val="10"/>
        <rFont val="나눔고딕"/>
        <family val="3"/>
        <charset val="129"/>
      </rPr>
      <t>존재하지</t>
    </r>
    <r>
      <rPr>
        <sz val="10"/>
        <rFont val="Times New Roman"/>
        <family val="1"/>
      </rPr>
      <t xml:space="preserve"> </t>
    </r>
    <r>
      <rPr>
        <sz val="10"/>
        <rFont val="나눔고딕"/>
        <family val="3"/>
        <charset val="129"/>
      </rPr>
      <t>않음</t>
    </r>
    <r>
      <rPr>
        <sz val="10"/>
        <rFont val="Times New Roman"/>
        <family val="1"/>
      </rPr>
      <t>(</t>
    </r>
    <r>
      <rPr>
        <sz val="10"/>
        <rFont val="나눔고딕"/>
        <family val="3"/>
        <charset val="129"/>
      </rPr>
      <t>빌드</t>
    </r>
    <r>
      <rPr>
        <sz val="10"/>
        <rFont val="Times New Roman"/>
        <family val="1"/>
      </rPr>
      <t xml:space="preserve"> </t>
    </r>
    <r>
      <rPr>
        <sz val="10"/>
        <rFont val="나눔고딕"/>
        <family val="3"/>
        <charset val="129"/>
      </rPr>
      <t>시</t>
    </r>
    <r>
      <rPr>
        <sz val="10"/>
        <rFont val="Times New Roman"/>
        <family val="1"/>
      </rPr>
      <t xml:space="preserve"> </t>
    </r>
    <r>
      <rPr>
        <sz val="10"/>
        <rFont val="나눔고딕"/>
        <family val="3"/>
        <charset val="129"/>
      </rPr>
      <t>제외</t>
    </r>
    <r>
      <rPr>
        <sz val="10"/>
        <rFont val="Times New Roman"/>
        <family val="1"/>
      </rPr>
      <t xml:space="preserve"> </t>
    </r>
    <r>
      <rPr>
        <sz val="10"/>
        <rFont val="나눔고딕"/>
        <family val="3"/>
        <charset val="129"/>
      </rPr>
      <t>등</t>
    </r>
    <r>
      <rPr>
        <sz val="10"/>
        <rFont val="Times New Roman"/>
        <family val="1"/>
      </rPr>
      <t>)</t>
    </r>
  </si>
  <si>
    <r>
      <rPr>
        <sz val="10"/>
        <rFont val="나눔고딕"/>
        <family val="3"/>
        <charset val="129"/>
      </rPr>
      <t>취약</t>
    </r>
    <r>
      <rPr>
        <sz val="10"/>
        <rFont val="Times New Roman"/>
        <family val="1"/>
      </rPr>
      <t xml:space="preserve"> </t>
    </r>
    <r>
      <rPr>
        <sz val="10"/>
        <rFont val="나눔고딕"/>
        <family val="3"/>
        <charset val="129"/>
      </rPr>
      <t>코드가</t>
    </r>
    <r>
      <rPr>
        <sz val="10"/>
        <rFont val="Times New Roman"/>
        <family val="1"/>
      </rPr>
      <t xml:space="preserve"> </t>
    </r>
    <r>
      <rPr>
        <sz val="10"/>
        <rFont val="나눔고딕"/>
        <family val="3"/>
        <charset val="129"/>
      </rPr>
      <t>존재하나</t>
    </r>
    <r>
      <rPr>
        <sz val="10"/>
        <rFont val="Times New Roman"/>
        <family val="1"/>
      </rPr>
      <t xml:space="preserve"> </t>
    </r>
    <r>
      <rPr>
        <sz val="10"/>
        <rFont val="나눔고딕"/>
        <family val="3"/>
        <charset val="129"/>
      </rPr>
      <t>실행</t>
    </r>
    <r>
      <rPr>
        <sz val="10"/>
        <rFont val="Times New Roman"/>
        <family val="1"/>
      </rPr>
      <t xml:space="preserve"> </t>
    </r>
    <r>
      <rPr>
        <sz val="10"/>
        <rFont val="나눔고딕"/>
        <family val="3"/>
        <charset val="129"/>
      </rPr>
      <t>경로</t>
    </r>
    <r>
      <rPr>
        <sz val="10"/>
        <rFont val="Times New Roman"/>
        <family val="1"/>
      </rPr>
      <t xml:space="preserve"> </t>
    </r>
    <r>
      <rPr>
        <sz val="10"/>
        <rFont val="나눔고딕"/>
        <family val="3"/>
        <charset val="129"/>
      </rPr>
      <t>상에서</t>
    </r>
    <r>
      <rPr>
        <sz val="10"/>
        <rFont val="Times New Roman"/>
        <family val="1"/>
      </rPr>
      <t xml:space="preserve"> </t>
    </r>
    <r>
      <rPr>
        <sz val="10"/>
        <rFont val="나눔고딕"/>
        <family val="3"/>
        <charset val="129"/>
      </rPr>
      <t>호출되지</t>
    </r>
    <r>
      <rPr>
        <sz val="10"/>
        <rFont val="Times New Roman"/>
        <family val="1"/>
      </rPr>
      <t xml:space="preserve"> </t>
    </r>
    <r>
      <rPr>
        <sz val="10"/>
        <rFont val="나눔고딕"/>
        <family val="3"/>
        <charset val="129"/>
      </rPr>
      <t>않음</t>
    </r>
  </si>
  <si>
    <r>
      <rPr>
        <sz val="10"/>
        <rFont val="나눔고딕"/>
        <family val="3"/>
        <charset val="129"/>
      </rPr>
      <t>취약</t>
    </r>
    <r>
      <rPr>
        <sz val="10"/>
        <rFont val="Times New Roman"/>
        <family val="1"/>
      </rPr>
      <t xml:space="preserve"> </t>
    </r>
    <r>
      <rPr>
        <sz val="10"/>
        <rFont val="나눔고딕"/>
        <family val="3"/>
        <charset val="129"/>
      </rPr>
      <t>코드가</t>
    </r>
    <r>
      <rPr>
        <sz val="10"/>
        <rFont val="Times New Roman"/>
        <family val="1"/>
      </rPr>
      <t xml:space="preserve"> </t>
    </r>
    <r>
      <rPr>
        <sz val="10"/>
        <rFont val="나눔고딕"/>
        <family val="3"/>
        <charset val="129"/>
      </rPr>
      <t>호출되지만</t>
    </r>
    <r>
      <rPr>
        <sz val="10"/>
        <rFont val="Times New Roman"/>
        <family val="1"/>
      </rPr>
      <t xml:space="preserve"> </t>
    </r>
    <r>
      <rPr>
        <sz val="10"/>
        <rFont val="나눔고딕"/>
        <family val="3"/>
        <charset val="129"/>
      </rPr>
      <t>공격자가</t>
    </r>
    <r>
      <rPr>
        <sz val="10"/>
        <rFont val="Times New Roman"/>
        <family val="1"/>
      </rPr>
      <t xml:space="preserve"> </t>
    </r>
    <r>
      <rPr>
        <sz val="10"/>
        <rFont val="나눔고딕"/>
        <family val="3"/>
        <charset val="129"/>
      </rPr>
      <t>제어</t>
    </r>
    <r>
      <rPr>
        <sz val="10"/>
        <rFont val="Times New Roman"/>
        <family val="1"/>
      </rPr>
      <t xml:space="preserve"> </t>
    </r>
    <r>
      <rPr>
        <sz val="10"/>
        <rFont val="나눔고딕"/>
        <family val="3"/>
        <charset val="129"/>
      </rPr>
      <t>가능한</t>
    </r>
    <r>
      <rPr>
        <sz val="10"/>
        <rFont val="Times New Roman"/>
        <family val="1"/>
      </rPr>
      <t xml:space="preserve"> </t>
    </r>
    <r>
      <rPr>
        <sz val="10"/>
        <rFont val="나눔고딕"/>
        <family val="3"/>
        <charset val="129"/>
      </rPr>
      <t>입력</t>
    </r>
    <r>
      <rPr>
        <sz val="10"/>
        <rFont val="Times New Roman"/>
        <family val="1"/>
      </rPr>
      <t xml:space="preserve"> </t>
    </r>
    <r>
      <rPr>
        <sz val="10"/>
        <rFont val="나눔고딕"/>
        <family val="3"/>
        <charset val="129"/>
      </rPr>
      <t>경로가</t>
    </r>
    <r>
      <rPr>
        <sz val="10"/>
        <rFont val="Times New Roman"/>
        <family val="1"/>
      </rPr>
      <t xml:space="preserve"> </t>
    </r>
    <r>
      <rPr>
        <sz val="10"/>
        <rFont val="나눔고딕"/>
        <family val="3"/>
        <charset val="129"/>
      </rPr>
      <t>아님</t>
    </r>
  </si>
  <si>
    <r>
      <rPr>
        <sz val="10"/>
        <rFont val="나눔고딕"/>
        <family val="3"/>
        <charset val="129"/>
      </rPr>
      <t>이미</t>
    </r>
    <r>
      <rPr>
        <sz val="10"/>
        <rFont val="Times New Roman"/>
        <family val="1"/>
      </rPr>
      <t xml:space="preserve"> </t>
    </r>
    <r>
      <rPr>
        <sz val="10"/>
        <rFont val="나눔고딕"/>
        <family val="3"/>
        <charset val="129"/>
      </rPr>
      <t>인라인</t>
    </r>
    <r>
      <rPr>
        <sz val="10"/>
        <rFont val="Times New Roman"/>
        <family val="1"/>
      </rPr>
      <t xml:space="preserve"> </t>
    </r>
    <r>
      <rPr>
        <sz val="10"/>
        <rFont val="나눔고딕"/>
        <family val="3"/>
        <charset val="129"/>
      </rPr>
      <t>완화조치</t>
    </r>
    <r>
      <rPr>
        <sz val="10"/>
        <rFont val="Times New Roman"/>
        <family val="1"/>
      </rPr>
      <t>(</t>
    </r>
    <r>
      <rPr>
        <sz val="10"/>
        <rFont val="나눔고딕"/>
        <family val="3"/>
        <charset val="129"/>
      </rPr>
      <t>입력검증</t>
    </r>
    <r>
      <rPr>
        <sz val="10"/>
        <rFont val="Times New Roman"/>
        <family val="1"/>
      </rPr>
      <t xml:space="preserve">, </t>
    </r>
    <r>
      <rPr>
        <sz val="10"/>
        <rFont val="나눔고딕"/>
        <family val="3"/>
        <charset val="129"/>
      </rPr>
      <t>격리</t>
    </r>
    <r>
      <rPr>
        <sz val="10"/>
        <rFont val="Times New Roman"/>
        <family val="1"/>
      </rPr>
      <t xml:space="preserve"> </t>
    </r>
    <r>
      <rPr>
        <sz val="10"/>
        <rFont val="나눔고딕"/>
        <family val="3"/>
        <charset val="129"/>
      </rPr>
      <t>등</t>
    </r>
    <r>
      <rPr>
        <sz val="10"/>
        <rFont val="Times New Roman"/>
        <family val="1"/>
      </rPr>
      <t>)</t>
    </r>
    <r>
      <rPr>
        <sz val="10"/>
        <rFont val="나눔고딕"/>
        <family val="3"/>
        <charset val="129"/>
      </rPr>
      <t>가</t>
    </r>
    <r>
      <rPr>
        <sz val="10"/>
        <rFont val="Times New Roman"/>
        <family val="1"/>
      </rPr>
      <t xml:space="preserve"> </t>
    </r>
    <r>
      <rPr>
        <sz val="10"/>
        <rFont val="나눔고딕"/>
        <family val="3"/>
        <charset val="129"/>
      </rPr>
      <t>적용되어</t>
    </r>
    <r>
      <rPr>
        <sz val="10"/>
        <rFont val="Times New Roman"/>
        <family val="1"/>
      </rPr>
      <t xml:space="preserve"> </t>
    </r>
    <r>
      <rPr>
        <sz val="10"/>
        <rFont val="나눔고딕"/>
        <family val="3"/>
        <charset val="129"/>
      </rPr>
      <t>있음</t>
    </r>
  </si>
  <si>
    <r>
      <t xml:space="preserve">Config — </t>
    </r>
    <r>
      <rPr>
        <b/>
        <sz val="11"/>
        <color rgb="FF1F4E78"/>
        <rFont val="나눔고딕"/>
        <family val="3"/>
        <charset val="129"/>
      </rPr>
      <t>자사</t>
    </r>
    <r>
      <rPr>
        <b/>
        <sz val="11"/>
        <color rgb="FF1F4E78"/>
        <rFont val="Times New Roman"/>
        <family val="1"/>
      </rPr>
      <t xml:space="preserve"> </t>
    </r>
    <r>
      <rPr>
        <b/>
        <sz val="11"/>
        <color rgb="FF1F4E78"/>
        <rFont val="나눔고딕"/>
        <family val="3"/>
        <charset val="129"/>
      </rPr>
      <t>자산</t>
    </r>
    <r>
      <rPr>
        <b/>
        <sz val="11"/>
        <color rgb="FF1F4E78"/>
        <rFont val="Times New Roman"/>
        <family val="1"/>
      </rPr>
      <t xml:space="preserve">/SBOM </t>
    </r>
    <r>
      <rPr>
        <b/>
        <sz val="11"/>
        <color rgb="FF1F4E78"/>
        <rFont val="나눔고딕"/>
        <family val="3"/>
        <charset val="129"/>
      </rPr>
      <t>인벤토리</t>
    </r>
    <r>
      <rPr>
        <b/>
        <sz val="11"/>
        <color rgb="FF1F4E78"/>
        <rFont val="Times New Roman"/>
        <family val="1"/>
      </rPr>
      <t xml:space="preserve"> (</t>
    </r>
    <r>
      <rPr>
        <b/>
        <sz val="11"/>
        <color rgb="FF1F4E78"/>
        <rFont val="나눔고딕"/>
        <family val="3"/>
        <charset val="129"/>
      </rPr>
      <t>매칭</t>
    </r>
    <r>
      <rPr>
        <b/>
        <sz val="11"/>
        <color rgb="FF1F4E78"/>
        <rFont val="Times New Roman"/>
        <family val="1"/>
      </rPr>
      <t xml:space="preserve"> </t>
    </r>
    <r>
      <rPr>
        <b/>
        <sz val="11"/>
        <color rgb="FF1F4E78"/>
        <rFont val="나눔고딕"/>
        <family val="3"/>
        <charset val="129"/>
      </rPr>
      <t>대상</t>
    </r>
    <r>
      <rPr>
        <b/>
        <sz val="11"/>
        <color rgb="FF1F4E78"/>
        <rFont val="Times New Roman"/>
        <family val="1"/>
      </rPr>
      <t>)</t>
    </r>
  </si>
  <si>
    <r>
      <t xml:space="preserve">Weakness_Vulnerability </t>
    </r>
    <r>
      <rPr>
        <i/>
        <sz val="9"/>
        <color rgb="FF666666"/>
        <rFont val="나눔고딕"/>
        <family val="3"/>
        <charset val="129"/>
      </rPr>
      <t>시트의</t>
    </r>
    <r>
      <rPr>
        <i/>
        <sz val="9"/>
        <color rgb="FF666666"/>
        <rFont val="Times New Roman"/>
        <family val="1"/>
      </rPr>
      <t xml:space="preserve"> Vendor/Product/Version</t>
    </r>
    <r>
      <rPr>
        <i/>
        <sz val="9"/>
        <color rgb="FF666666"/>
        <rFont val="나눔고딕"/>
        <family val="3"/>
        <charset val="129"/>
      </rPr>
      <t>을</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표와</t>
    </r>
    <r>
      <rPr>
        <i/>
        <sz val="9"/>
        <color rgb="FF666666"/>
        <rFont val="Times New Roman"/>
        <family val="1"/>
      </rPr>
      <t xml:space="preserve"> </t>
    </r>
    <r>
      <rPr>
        <i/>
        <sz val="9"/>
        <color rgb="FF666666"/>
        <rFont val="나눔고딕"/>
        <family val="3"/>
        <charset val="129"/>
      </rPr>
      <t>매칭합니다</t>
    </r>
    <r>
      <rPr>
        <i/>
        <sz val="9"/>
        <color rgb="FF666666"/>
        <rFont val="Times New Roman"/>
        <family val="1"/>
      </rPr>
      <t>.</t>
    </r>
  </si>
  <si>
    <r>
      <t xml:space="preserve">Exact </t>
    </r>
    <r>
      <rPr>
        <i/>
        <sz val="9"/>
        <color rgb="FF666666"/>
        <rFont val="나눔고딕"/>
        <family val="3"/>
        <charset val="129"/>
      </rPr>
      <t>매칭</t>
    </r>
    <r>
      <rPr>
        <i/>
        <sz val="9"/>
        <color rgb="FF666666"/>
        <rFont val="Times New Roman"/>
        <family val="1"/>
      </rPr>
      <t xml:space="preserve"> </t>
    </r>
    <r>
      <rPr>
        <i/>
        <sz val="9"/>
        <color rgb="FF666666"/>
        <rFont val="나눔고딕"/>
        <family val="3"/>
        <charset val="129"/>
      </rPr>
      <t>실패</t>
    </r>
    <r>
      <rPr>
        <i/>
        <sz val="9"/>
        <color rgb="FF666666"/>
        <rFont val="Times New Roman"/>
        <family val="1"/>
      </rPr>
      <t xml:space="preserve"> </t>
    </r>
    <r>
      <rPr>
        <i/>
        <sz val="9"/>
        <color rgb="FF666666"/>
        <rFont val="나눔고딕"/>
        <family val="3"/>
        <charset val="129"/>
      </rPr>
      <t>시</t>
    </r>
    <r>
      <rPr>
        <i/>
        <sz val="9"/>
        <color rgb="FF666666"/>
        <rFont val="Times New Roman"/>
        <family val="1"/>
      </rPr>
      <t xml:space="preserve"> embedding_match.py</t>
    </r>
    <r>
      <rPr>
        <i/>
        <sz val="9"/>
        <color rgb="FF666666"/>
        <rFont val="나눔고딕"/>
        <family val="3"/>
        <charset val="129"/>
      </rPr>
      <t>가</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표</t>
    </r>
    <r>
      <rPr>
        <i/>
        <sz val="9"/>
        <color rgb="FF666666"/>
        <rFont val="Times New Roman"/>
        <family val="1"/>
      </rPr>
      <t xml:space="preserve"> </t>
    </r>
    <r>
      <rPr>
        <i/>
        <sz val="9"/>
        <color rgb="FF666666"/>
        <rFont val="나눔고딕"/>
        <family val="3"/>
        <charset val="129"/>
      </rPr>
      <t>전체를</t>
    </r>
    <r>
      <rPr>
        <i/>
        <sz val="9"/>
        <color rgb="FF666666"/>
        <rFont val="Times New Roman"/>
        <family val="1"/>
      </rPr>
      <t xml:space="preserve"> </t>
    </r>
    <r>
      <rPr>
        <i/>
        <sz val="9"/>
        <color rgb="FF666666"/>
        <rFont val="나눔고딕"/>
        <family val="3"/>
        <charset val="129"/>
      </rPr>
      <t>임베딩해</t>
    </r>
    <r>
      <rPr>
        <i/>
        <sz val="9"/>
        <color rgb="FF666666"/>
        <rFont val="Times New Roman"/>
        <family val="1"/>
      </rPr>
      <t xml:space="preserve"> Semantic </t>
    </r>
    <r>
      <rPr>
        <i/>
        <sz val="9"/>
        <color rgb="FF666666"/>
        <rFont val="나눔고딕"/>
        <family val="3"/>
        <charset val="129"/>
      </rPr>
      <t>매칭</t>
    </r>
    <r>
      <rPr>
        <i/>
        <sz val="9"/>
        <color rgb="FF666666"/>
        <rFont val="Times New Roman"/>
        <family val="1"/>
      </rPr>
      <t xml:space="preserve"> </t>
    </r>
    <r>
      <rPr>
        <i/>
        <sz val="9"/>
        <color rgb="FF666666"/>
        <rFont val="나눔고딕"/>
        <family val="3"/>
        <charset val="129"/>
      </rPr>
      <t>후보를</t>
    </r>
    <r>
      <rPr>
        <i/>
        <sz val="9"/>
        <color rgb="FF666666"/>
        <rFont val="Times New Roman"/>
        <family val="1"/>
      </rPr>
      <t xml:space="preserve"> </t>
    </r>
    <r>
      <rPr>
        <i/>
        <sz val="9"/>
        <color rgb="FF666666"/>
        <rFont val="나눔고딕"/>
        <family val="3"/>
        <charset val="129"/>
      </rPr>
      <t>산출합니다</t>
    </r>
    <r>
      <rPr>
        <i/>
        <sz val="9"/>
        <color rgb="FF666666"/>
        <rFont val="Times New Roman"/>
        <family val="1"/>
      </rPr>
      <t>.</t>
    </r>
  </si>
  <si>
    <r>
      <t>ECU/Component</t>
    </r>
    <r>
      <rPr>
        <b/>
        <sz val="10"/>
        <color rgb="FFFFFFFF"/>
        <rFont val="나눔고딕"/>
        <family val="3"/>
        <charset val="129"/>
      </rPr>
      <t>명</t>
    </r>
  </si>
  <si>
    <r>
      <rPr>
        <sz val="10"/>
        <rFont val="나눔고딕"/>
        <family val="3"/>
        <charset val="129"/>
      </rPr>
      <t>스마트키</t>
    </r>
    <r>
      <rPr>
        <sz val="10"/>
        <rFont val="Times New Roman"/>
        <family val="1"/>
      </rPr>
      <t xml:space="preserve"> </t>
    </r>
    <r>
      <rPr>
        <sz val="10"/>
        <rFont val="나눔고딕"/>
        <family val="3"/>
        <charset val="129"/>
      </rPr>
      <t>수신유닛</t>
    </r>
  </si>
  <si>
    <r>
      <t xml:space="preserve">SBOM v-test </t>
    </r>
    <r>
      <rPr>
        <sz val="10"/>
        <rFont val="나눔고딕"/>
        <family val="3"/>
        <charset val="129"/>
      </rPr>
      <t>참조</t>
    </r>
  </si>
  <si>
    <r>
      <rPr>
        <i/>
        <sz val="10"/>
        <color rgb="FF808080"/>
        <rFont val="나눔고딕"/>
        <family val="3"/>
        <charset val="129"/>
      </rPr>
      <t>예시</t>
    </r>
    <r>
      <rPr>
        <i/>
        <sz val="10"/>
        <color rgb="FF808080"/>
        <rFont val="Times New Roman"/>
        <family val="1"/>
      </rPr>
      <t xml:space="preserve"> </t>
    </r>
    <r>
      <rPr>
        <i/>
        <sz val="10"/>
        <color rgb="FF808080"/>
        <rFont val="나눔고딕"/>
        <family val="3"/>
        <charset val="129"/>
      </rPr>
      <t>행</t>
    </r>
    <r>
      <rPr>
        <i/>
        <sz val="10"/>
        <color rgb="FF808080"/>
        <rFont val="Times New Roman"/>
        <family val="1"/>
      </rPr>
      <t xml:space="preserve"> - </t>
    </r>
    <r>
      <rPr>
        <i/>
        <sz val="10"/>
        <color rgb="FF808080"/>
        <rFont val="나눔고딕"/>
        <family val="3"/>
        <charset val="129"/>
      </rPr>
      <t>삭제</t>
    </r>
    <r>
      <rPr>
        <i/>
        <sz val="10"/>
        <color rgb="FF808080"/>
        <rFont val="Times New Roman"/>
        <family val="1"/>
      </rPr>
      <t>/</t>
    </r>
    <r>
      <rPr>
        <i/>
        <sz val="10"/>
        <color rgb="FF808080"/>
        <rFont val="나눔고딕"/>
        <family val="3"/>
        <charset val="129"/>
      </rPr>
      <t>수정하세요</t>
    </r>
  </si>
  <si>
    <r>
      <rPr>
        <sz val="10"/>
        <rFont val="나눔고딕"/>
        <family val="3"/>
        <charset val="129"/>
      </rPr>
      <t>텔레매틱스</t>
    </r>
    <r>
      <rPr>
        <sz val="10"/>
        <rFont val="Times New Roman"/>
        <family val="1"/>
      </rPr>
      <t xml:space="preserve"> </t>
    </r>
    <r>
      <rPr>
        <sz val="10"/>
        <rFont val="나눔고딕"/>
        <family val="3"/>
        <charset val="129"/>
      </rPr>
      <t>제어유닛</t>
    </r>
  </si>
  <si>
    <r>
      <rPr>
        <sz val="10"/>
        <rFont val="나눔고딕"/>
        <family val="3"/>
        <charset val="129"/>
      </rPr>
      <t>인포테인먼트</t>
    </r>
    <r>
      <rPr>
        <sz val="10"/>
        <rFont val="Times New Roman"/>
        <family val="1"/>
      </rPr>
      <t xml:space="preserve"> </t>
    </r>
    <r>
      <rPr>
        <sz val="10"/>
        <rFont val="나눔고딕"/>
        <family val="3"/>
        <charset val="129"/>
      </rPr>
      <t>시스템</t>
    </r>
  </si>
  <si>
    <r>
      <rPr>
        <sz val="10"/>
        <rFont val="나눔고딕"/>
        <family val="3"/>
        <charset val="129"/>
      </rPr>
      <t>전자식</t>
    </r>
    <r>
      <rPr>
        <sz val="10"/>
        <rFont val="Times New Roman"/>
        <family val="1"/>
      </rPr>
      <t xml:space="preserve"> </t>
    </r>
    <r>
      <rPr>
        <sz val="10"/>
        <rFont val="나눔고딕"/>
        <family val="3"/>
        <charset val="129"/>
      </rPr>
      <t>브레이크</t>
    </r>
    <r>
      <rPr>
        <sz val="10"/>
        <rFont val="Times New Roman"/>
        <family val="1"/>
      </rPr>
      <t xml:space="preserve"> </t>
    </r>
    <r>
      <rPr>
        <sz val="10"/>
        <rFont val="나눔고딕"/>
        <family val="3"/>
        <charset val="129"/>
      </rPr>
      <t>제어</t>
    </r>
  </si>
  <si>
    <r>
      <rPr>
        <sz val="10"/>
        <rFont val="나눔고딕"/>
        <family val="3"/>
        <charset val="129"/>
      </rPr>
      <t>중앙</t>
    </r>
    <r>
      <rPr>
        <sz val="10"/>
        <rFont val="Times New Roman"/>
        <family val="1"/>
      </rPr>
      <t xml:space="preserve"> </t>
    </r>
    <r>
      <rPr>
        <sz val="10"/>
        <rFont val="나눔고딕"/>
        <family val="3"/>
        <charset val="129"/>
      </rPr>
      <t>게이트웨이</t>
    </r>
  </si>
  <si>
    <r>
      <rPr>
        <sz val="10"/>
        <rFont val="나눔고딕"/>
        <family val="3"/>
        <charset val="129"/>
      </rPr>
      <t>바디제어모듈</t>
    </r>
  </si>
  <si>
    <r>
      <t xml:space="preserve">ADAS </t>
    </r>
    <r>
      <rPr>
        <sz val="10"/>
        <rFont val="나눔고딕"/>
        <family val="3"/>
        <charset val="129"/>
      </rPr>
      <t>카메라</t>
    </r>
    <r>
      <rPr>
        <sz val="10"/>
        <rFont val="Times New Roman"/>
        <family val="1"/>
      </rPr>
      <t xml:space="preserve"> </t>
    </r>
    <r>
      <rPr>
        <sz val="10"/>
        <rFont val="나눔고딕"/>
        <family val="3"/>
        <charset val="129"/>
      </rPr>
      <t>컨트롤러</t>
    </r>
  </si>
  <si>
    <r>
      <rPr>
        <sz val="10"/>
        <rFont val="나눔고딕"/>
        <family val="3"/>
        <charset val="129"/>
      </rPr>
      <t>충전</t>
    </r>
    <r>
      <rPr>
        <sz val="10"/>
        <rFont val="Times New Roman"/>
        <family val="1"/>
      </rPr>
      <t xml:space="preserve"> </t>
    </r>
    <r>
      <rPr>
        <sz val="10"/>
        <rFont val="나눔고딕"/>
        <family val="3"/>
        <charset val="129"/>
      </rPr>
      <t>제어유닛</t>
    </r>
  </si>
  <si>
    <r>
      <rPr>
        <sz val="10"/>
        <rFont val="나눔고딕"/>
        <family val="3"/>
        <charset val="129"/>
      </rPr>
      <t>파워트레인</t>
    </r>
    <r>
      <rPr>
        <sz val="10"/>
        <rFont val="Times New Roman"/>
        <family val="1"/>
      </rPr>
      <t xml:space="preserve"> </t>
    </r>
    <r>
      <rPr>
        <sz val="10"/>
        <rFont val="나눔고딕"/>
        <family val="3"/>
        <charset val="129"/>
      </rPr>
      <t>제어</t>
    </r>
  </si>
  <si>
    <r>
      <rPr>
        <sz val="10"/>
        <rFont val="나눔고딕"/>
        <family val="3"/>
        <charset val="129"/>
      </rPr>
      <t>진단</t>
    </r>
    <r>
      <rPr>
        <sz val="10"/>
        <rFont val="Times New Roman"/>
        <family val="1"/>
      </rPr>
      <t xml:space="preserve"> </t>
    </r>
    <r>
      <rPr>
        <sz val="10"/>
        <rFont val="나눔고딕"/>
        <family val="3"/>
        <charset val="129"/>
      </rPr>
      <t>게이트웨이</t>
    </r>
  </si>
  <si>
    <r>
      <t xml:space="preserve">V2X </t>
    </r>
    <r>
      <rPr>
        <sz val="10"/>
        <rFont val="나눔고딕"/>
        <family val="3"/>
        <charset val="129"/>
      </rPr>
      <t>통신모듈</t>
    </r>
  </si>
  <si>
    <r>
      <rPr>
        <sz val="10"/>
        <rFont val="나눔고딕"/>
        <family val="3"/>
        <charset val="129"/>
      </rPr>
      <t>오디오</t>
    </r>
    <r>
      <rPr>
        <sz val="10"/>
        <rFont val="Times New Roman"/>
        <family val="1"/>
      </rPr>
      <t>/</t>
    </r>
    <r>
      <rPr>
        <sz val="10"/>
        <rFont val="나눔고딕"/>
        <family val="3"/>
        <charset val="129"/>
      </rPr>
      <t>내비게이션</t>
    </r>
  </si>
  <si>
    <r>
      <t xml:space="preserve">OTA </t>
    </r>
    <r>
      <rPr>
        <sz val="10"/>
        <rFont val="나눔고딕"/>
        <family val="3"/>
        <charset val="129"/>
      </rPr>
      <t>업데이트</t>
    </r>
    <r>
      <rPr>
        <sz val="10"/>
        <rFont val="Times New Roman"/>
        <family val="1"/>
      </rPr>
      <t xml:space="preserve"> </t>
    </r>
    <r>
      <rPr>
        <sz val="10"/>
        <rFont val="나눔고딕"/>
        <family val="3"/>
        <charset val="129"/>
      </rPr>
      <t>매니저</t>
    </r>
  </si>
  <si>
    <r>
      <rPr>
        <sz val="10"/>
        <rFont val="나눔고딕"/>
        <family val="3"/>
        <charset val="129"/>
      </rPr>
      <t>시트</t>
    </r>
    <r>
      <rPr>
        <sz val="10"/>
        <rFont val="Times New Roman"/>
        <family val="1"/>
      </rPr>
      <t xml:space="preserve"> </t>
    </r>
    <r>
      <rPr>
        <sz val="10"/>
        <rFont val="나눔고딕"/>
        <family val="3"/>
        <charset val="129"/>
      </rPr>
      <t>제어모듈</t>
    </r>
  </si>
  <si>
    <t>C:\MyWork\vulnerabilityAnalysis\Weakness_Vulnerability_Template_v2.xlsm</t>
  </si>
  <si>
    <r>
      <rPr>
        <sz val="10"/>
        <color theme="1"/>
        <rFont val="나눔고딕"/>
        <family val="3"/>
        <charset val="129"/>
      </rPr>
      <t>취약점</t>
    </r>
    <r>
      <rPr>
        <sz val="10"/>
        <color theme="1"/>
        <rFont val="Times New Roman"/>
        <family val="1"/>
      </rPr>
      <t xml:space="preserve"> </t>
    </r>
    <r>
      <rPr>
        <sz val="10"/>
        <color theme="1"/>
        <rFont val="나눔고딕"/>
        <family val="3"/>
        <charset val="129"/>
      </rPr>
      <t>모니터링</t>
    </r>
    <r>
      <rPr>
        <sz val="10"/>
        <color theme="1"/>
        <rFont val="Times New Roman"/>
        <family val="1"/>
      </rPr>
      <t xml:space="preserve"> (</t>
    </r>
    <r>
      <rPr>
        <sz val="10"/>
        <color theme="1"/>
        <rFont val="나눔고딕"/>
        <family val="3"/>
        <charset val="129"/>
      </rPr>
      <t>정보분석</t>
    </r>
    <r>
      <rPr>
        <sz val="10"/>
        <color theme="1"/>
        <rFont val="Times New Roman"/>
        <family val="1"/>
      </rPr>
      <t xml:space="preserve"> </t>
    </r>
    <r>
      <rPr>
        <sz val="10"/>
        <color theme="1"/>
        <rFont val="나눔고딕"/>
        <family val="3"/>
        <charset val="129"/>
      </rPr>
      <t>결과</t>
    </r>
    <r>
      <rPr>
        <sz val="10"/>
        <color theme="1"/>
        <rFont val="Times New Roman"/>
        <family val="1"/>
      </rPr>
      <t>)</t>
    </r>
  </si>
  <si>
    <r>
      <rPr>
        <sz val="10"/>
        <color theme="1"/>
        <rFont val="나눔고딕"/>
        <family val="3"/>
        <charset val="129"/>
      </rPr>
      <t>약점</t>
    </r>
    <r>
      <rPr>
        <sz val="10"/>
        <color theme="1"/>
        <rFont val="Times New Roman"/>
        <family val="1"/>
      </rPr>
      <t>/</t>
    </r>
    <r>
      <rPr>
        <sz val="10"/>
        <color theme="1"/>
        <rFont val="나눔고딕"/>
        <family val="3"/>
        <charset val="129"/>
      </rPr>
      <t>취약점</t>
    </r>
    <r>
      <rPr>
        <sz val="10"/>
        <color theme="1"/>
        <rFont val="Times New Roman"/>
        <family val="1"/>
      </rPr>
      <t xml:space="preserve"> </t>
    </r>
    <r>
      <rPr>
        <sz val="10"/>
        <color theme="1"/>
        <rFont val="나눔고딕"/>
        <family val="3"/>
        <charset val="129"/>
      </rPr>
      <t>분석</t>
    </r>
  </si>
  <si>
    <r>
      <t>v3.1_</t>
    </r>
    <r>
      <rPr>
        <sz val="10"/>
        <color theme="1"/>
        <rFont val="나눔고딕"/>
        <family val="3"/>
        <charset val="129"/>
      </rPr>
      <t>벡터생성기</t>
    </r>
  </si>
  <si>
    <r>
      <t>Ref. CVSS_v3.1_</t>
    </r>
    <r>
      <rPr>
        <sz val="10"/>
        <color theme="1"/>
        <rFont val="나눔고딕"/>
        <family val="3"/>
        <charset val="129"/>
      </rPr>
      <t>가중치</t>
    </r>
  </si>
  <si>
    <r>
      <t>v4.0_</t>
    </r>
    <r>
      <rPr>
        <sz val="10"/>
        <color theme="1"/>
        <rFont val="나눔고딕"/>
        <family val="3"/>
        <charset val="129"/>
      </rPr>
      <t>벡터생성기</t>
    </r>
  </si>
  <si>
    <r>
      <t>Ref. CVSS_v4_MacroVector</t>
    </r>
    <r>
      <rPr>
        <sz val="10"/>
        <color theme="1"/>
        <rFont val="나눔고딕"/>
        <family val="3"/>
        <charset val="129"/>
      </rPr>
      <t>표</t>
    </r>
  </si>
  <si>
    <r>
      <rPr>
        <sz val="10"/>
        <color theme="1"/>
        <rFont val="나눔고딕"/>
        <family val="3"/>
        <charset val="129"/>
      </rPr>
      <t>각</t>
    </r>
    <r>
      <rPr>
        <sz val="10"/>
        <color theme="1"/>
        <rFont val="Times New Roman"/>
        <family val="1"/>
      </rPr>
      <t xml:space="preserve"> </t>
    </r>
    <r>
      <rPr>
        <sz val="10"/>
        <color theme="1"/>
        <rFont val="나눔고딕"/>
        <family val="3"/>
        <charset val="129"/>
      </rPr>
      <t>워크시트에서의</t>
    </r>
    <r>
      <rPr>
        <sz val="10"/>
        <color theme="1"/>
        <rFont val="Times New Roman"/>
        <family val="1"/>
      </rPr>
      <t xml:space="preserve"> </t>
    </r>
    <r>
      <rPr>
        <sz val="10"/>
        <color theme="1"/>
        <rFont val="나눔고딕"/>
        <family val="3"/>
        <charset val="129"/>
      </rPr>
      <t>필드별</t>
    </r>
    <r>
      <rPr>
        <sz val="10"/>
        <color theme="1"/>
        <rFont val="Times New Roman"/>
        <family val="1"/>
      </rPr>
      <t xml:space="preserve"> </t>
    </r>
    <r>
      <rPr>
        <sz val="10"/>
        <color theme="1"/>
        <rFont val="나눔고딕"/>
        <family val="3"/>
        <charset val="129"/>
      </rPr>
      <t>선택목록</t>
    </r>
    <r>
      <rPr>
        <sz val="10"/>
        <color theme="1"/>
        <rFont val="Times New Roman"/>
        <family val="1"/>
      </rPr>
      <t xml:space="preserve"> </t>
    </r>
    <r>
      <rPr>
        <sz val="10"/>
        <color theme="1"/>
        <rFont val="나눔고딕"/>
        <family val="3"/>
        <charset val="129"/>
      </rPr>
      <t>및</t>
    </r>
    <r>
      <rPr>
        <sz val="10"/>
        <color theme="1"/>
        <rFont val="Times New Roman"/>
        <family val="1"/>
      </rPr>
      <t xml:space="preserve"> </t>
    </r>
    <r>
      <rPr>
        <sz val="10"/>
        <color theme="1"/>
        <rFont val="나눔고딕"/>
        <family val="3"/>
        <charset val="129"/>
      </rPr>
      <t>설명</t>
    </r>
  </si>
  <si>
    <r>
      <t>(</t>
    </r>
    <r>
      <rPr>
        <sz val="10"/>
        <color theme="1"/>
        <rFont val="나눔고딕"/>
        <family val="3"/>
        <charset val="129"/>
      </rPr>
      <t>중요</t>
    </r>
    <r>
      <rPr>
        <sz val="10"/>
        <color theme="1"/>
        <rFont val="Times New Roman"/>
        <family val="1"/>
      </rPr>
      <t xml:space="preserve">) </t>
    </r>
    <r>
      <rPr>
        <sz val="10"/>
        <color theme="1"/>
        <rFont val="나눔고딕"/>
        <family val="3"/>
        <charset val="129"/>
      </rPr>
      <t>자산</t>
    </r>
    <r>
      <rPr>
        <sz val="10"/>
        <color theme="1"/>
        <rFont val="Times New Roman"/>
        <family val="1"/>
      </rPr>
      <t>-</t>
    </r>
    <r>
      <rPr>
        <sz val="10"/>
        <color theme="1"/>
        <rFont val="나눔고딕"/>
        <family val="3"/>
        <charset val="129"/>
      </rPr>
      <t>컴포넌트</t>
    </r>
    <r>
      <rPr>
        <sz val="10"/>
        <color theme="1"/>
        <rFont val="Times New Roman"/>
        <family val="1"/>
      </rPr>
      <t>(</t>
    </r>
    <r>
      <rPr>
        <sz val="10"/>
        <color theme="1"/>
        <rFont val="나눔고딕"/>
        <family val="3"/>
        <charset val="129"/>
      </rPr>
      <t>제어기</t>
    </r>
    <r>
      <rPr>
        <sz val="10"/>
        <color theme="1"/>
        <rFont val="Times New Roman"/>
        <family val="1"/>
      </rPr>
      <t>)-</t>
    </r>
    <r>
      <rPr>
        <sz val="10"/>
        <color theme="1"/>
        <rFont val="나눔고딕"/>
        <family val="3"/>
        <charset val="129"/>
      </rPr>
      <t>벤더</t>
    </r>
    <r>
      <rPr>
        <sz val="10"/>
        <color theme="1"/>
        <rFont val="Times New Roman"/>
        <family val="1"/>
      </rPr>
      <t>-</t>
    </r>
    <r>
      <rPr>
        <sz val="10"/>
        <color theme="1"/>
        <rFont val="나눔고딕"/>
        <family val="3"/>
        <charset val="129"/>
      </rPr>
      <t>제품</t>
    </r>
    <r>
      <rPr>
        <sz val="10"/>
        <color theme="1"/>
        <rFont val="Times New Roman"/>
        <family val="1"/>
      </rPr>
      <t xml:space="preserve"> </t>
    </r>
    <r>
      <rPr>
        <sz val="10"/>
        <color theme="1"/>
        <rFont val="나눔고딕"/>
        <family val="3"/>
        <charset val="129"/>
      </rPr>
      <t>연계</t>
    </r>
    <r>
      <rPr>
        <sz val="10"/>
        <color theme="1"/>
        <rFont val="Times New Roman"/>
        <family val="1"/>
      </rPr>
      <t xml:space="preserve"> </t>
    </r>
    <r>
      <rPr>
        <sz val="10"/>
        <color theme="1"/>
        <rFont val="나눔고딕"/>
        <family val="3"/>
        <charset val="129"/>
      </rPr>
      <t>정보를</t>
    </r>
    <r>
      <rPr>
        <sz val="10"/>
        <color theme="1"/>
        <rFont val="Times New Roman"/>
        <family val="1"/>
      </rPr>
      <t xml:space="preserve"> </t>
    </r>
    <r>
      <rPr>
        <sz val="10"/>
        <color theme="1"/>
        <rFont val="나눔고딕"/>
        <family val="3"/>
        <charset val="129"/>
      </rPr>
      <t>보여주는</t>
    </r>
    <r>
      <rPr>
        <sz val="10"/>
        <color theme="1"/>
        <rFont val="Times New Roman"/>
        <family val="1"/>
      </rPr>
      <t xml:space="preserve"> Config </t>
    </r>
    <r>
      <rPr>
        <sz val="10"/>
        <color theme="1"/>
        <rFont val="나눔고딕"/>
        <family val="3"/>
        <charset val="129"/>
      </rPr>
      <t>시트</t>
    </r>
  </si>
  <si>
    <t>Semantic</t>
    <phoneticPr fontId="6" type="noConversion"/>
  </si>
  <si>
    <t>Semantic</t>
    <phoneticPr fontId="6" type="noConversion"/>
  </si>
  <si>
    <t>Semantic</t>
    <phoneticPr fontId="6" type="noConversion"/>
  </si>
  <si>
    <t>EPSS_Score</t>
    <phoneticPr fontId="6" type="noConversion"/>
  </si>
  <si>
    <t>CVE-2021-44228</t>
  </si>
  <si>
    <t>N</t>
    <phoneticPr fontId="6" type="noConversion"/>
  </si>
  <si>
    <t>Y</t>
    <phoneticPr fontId="6" type="noConversion"/>
  </si>
  <si>
    <t>AFR_Score / AFR_Level</t>
  </si>
  <si>
    <t>Linked_TARA_TS_ID</t>
  </si>
  <si>
    <t>Risk = Impact Rating × Attack Feasibility Rating</t>
    <phoneticPr fontId="6" type="noConversion"/>
  </si>
  <si>
    <t>Risk treatment
(TARA)</t>
    <phoneticPr fontId="6" type="noConversion"/>
  </si>
  <si>
    <t>Decision of Vulnerability</t>
    <phoneticPr fontId="6" type="noConversion"/>
  </si>
  <si>
    <r>
      <t xml:space="preserve"> </t>
    </r>
    <r>
      <rPr>
        <sz val="11"/>
        <color rgb="FFFF0000"/>
        <rFont val="나눔고딕"/>
        <family val="3"/>
        <charset val="129"/>
      </rPr>
      <t>※</t>
    </r>
    <r>
      <rPr>
        <sz val="11"/>
        <color rgb="FFFF0000"/>
        <rFont val="Times New Roman"/>
        <family val="1"/>
      </rPr>
      <t xml:space="preserve"> </t>
    </r>
    <r>
      <rPr>
        <sz val="11"/>
        <color rgb="FFFF0000"/>
        <rFont val="나눔고딕"/>
        <family val="3"/>
        <charset val="129"/>
      </rPr>
      <t>암호</t>
    </r>
    <r>
      <rPr>
        <sz val="11"/>
        <color rgb="FFFF0000"/>
        <rFont val="Times New Roman"/>
        <family val="1"/>
      </rPr>
      <t xml:space="preserve"> </t>
    </r>
    <r>
      <rPr>
        <sz val="11"/>
        <color rgb="FFFF0000"/>
        <rFont val="나눔고딕"/>
        <family val="3"/>
        <charset val="129"/>
      </rPr>
      <t>해제</t>
    </r>
    <r>
      <rPr>
        <sz val="11"/>
        <color rgb="FFFF0000"/>
        <rFont val="Times New Roman"/>
        <family val="1"/>
      </rPr>
      <t xml:space="preserve"> </t>
    </r>
    <r>
      <rPr>
        <sz val="11"/>
        <color rgb="FFFF0000"/>
        <rFont val="나눔고딕"/>
        <family val="3"/>
        <charset val="129"/>
      </rPr>
      <t>조건에서</t>
    </r>
    <r>
      <rPr>
        <sz val="11"/>
        <color rgb="FFFF0000"/>
        <rFont val="Times New Roman"/>
        <family val="1"/>
      </rPr>
      <t xml:space="preserve"> </t>
    </r>
    <r>
      <rPr>
        <sz val="11"/>
        <color rgb="FFFF0000"/>
        <rFont val="나눔고딕"/>
        <family val="3"/>
        <charset val="129"/>
      </rPr>
      <t>함수가</t>
    </r>
    <r>
      <rPr>
        <sz val="11"/>
        <color rgb="FFFF0000"/>
        <rFont val="Times New Roman"/>
        <family val="1"/>
      </rPr>
      <t xml:space="preserve"> </t>
    </r>
    <r>
      <rPr>
        <sz val="11"/>
        <color rgb="FFFF0000"/>
        <rFont val="나눔고딕"/>
        <family val="3"/>
        <charset val="129"/>
      </rPr>
      <t>정상</t>
    </r>
    <r>
      <rPr>
        <sz val="11"/>
        <color rgb="FFFF0000"/>
        <rFont val="Times New Roman"/>
        <family val="1"/>
      </rPr>
      <t xml:space="preserve"> </t>
    </r>
    <r>
      <rPr>
        <sz val="11"/>
        <color rgb="FFFF0000"/>
        <rFont val="나눔고딕"/>
        <family val="3"/>
        <charset val="129"/>
      </rPr>
      <t>동작합니다</t>
    </r>
    <r>
      <rPr>
        <sz val="11"/>
        <color rgb="FFFF0000"/>
        <rFont val="Times New Roman"/>
        <family val="1"/>
      </rPr>
      <t>.</t>
    </r>
    <phoneticPr fontId="16" type="noConversion"/>
  </si>
  <si>
    <r>
      <rPr>
        <sz val="10"/>
        <color rgb="FFFF0000"/>
        <rFont val="나눔고딕"/>
        <family val="3"/>
        <charset val="129"/>
      </rPr>
      <t>★</t>
    </r>
    <r>
      <rPr>
        <sz val="10"/>
        <color rgb="FFFF0000"/>
        <rFont val="Times New Roman"/>
        <family val="1"/>
      </rPr>
      <t xml:space="preserve"> </t>
    </r>
    <r>
      <rPr>
        <sz val="10"/>
        <color rgb="FFFF0000"/>
        <rFont val="나눔고딕"/>
        <family val="3"/>
        <charset val="129"/>
      </rPr>
      <t>워크시트</t>
    </r>
    <r>
      <rPr>
        <sz val="10"/>
        <color rgb="FFFF0000"/>
        <rFont val="Times New Roman"/>
        <family val="1"/>
      </rPr>
      <t xml:space="preserve"> E:N</t>
    </r>
    <r>
      <rPr>
        <sz val="10"/>
        <color rgb="FFFF0000"/>
        <rFont val="나눔고딕"/>
        <family val="3"/>
        <charset val="129"/>
      </rPr>
      <t>열</t>
    </r>
    <r>
      <rPr>
        <sz val="10"/>
        <color rgb="FFFF0000"/>
        <rFont val="Times New Roman"/>
        <family val="1"/>
      </rPr>
      <t xml:space="preserve"> </t>
    </r>
    <r>
      <rPr>
        <sz val="10"/>
        <color rgb="FFFF0000"/>
        <rFont val="나눔고딕"/>
        <family val="3"/>
        <charset val="129"/>
      </rPr>
      <t>암호조건을</t>
    </r>
    <r>
      <rPr>
        <sz val="10"/>
        <color rgb="FFFF0000"/>
        <rFont val="Times New Roman"/>
        <family val="1"/>
      </rPr>
      <t xml:space="preserve"> </t>
    </r>
    <r>
      <rPr>
        <sz val="10"/>
        <color rgb="FFFF0000"/>
        <rFont val="나눔고딕"/>
        <family val="3"/>
        <charset val="129"/>
      </rPr>
      <t>설정하세요</t>
    </r>
    <r>
      <rPr>
        <sz val="10"/>
        <color rgb="FFFF0000"/>
        <rFont val="Times New Roman"/>
        <family val="1"/>
      </rPr>
      <t>. (R:W</t>
    </r>
    <r>
      <rPr>
        <sz val="10"/>
        <color rgb="FFFF0000"/>
        <rFont val="나눔고딕"/>
        <family val="3"/>
        <charset val="129"/>
      </rPr>
      <t>열의</t>
    </r>
    <r>
      <rPr>
        <sz val="10"/>
        <color rgb="FFFF0000"/>
        <rFont val="Times New Roman"/>
        <family val="1"/>
      </rPr>
      <t xml:space="preserve"> </t>
    </r>
    <r>
      <rPr>
        <sz val="10"/>
        <color rgb="FFFF0000"/>
        <rFont val="나눔고딕"/>
        <family val="3"/>
        <charset val="129"/>
      </rPr>
      <t>가이드</t>
    </r>
    <r>
      <rPr>
        <sz val="10"/>
        <color rgb="FFFF0000"/>
        <rFont val="Times New Roman"/>
        <family val="1"/>
      </rPr>
      <t xml:space="preserve"> </t>
    </r>
    <r>
      <rPr>
        <sz val="10"/>
        <color rgb="FFFF0000"/>
        <rFont val="나눔고딕"/>
        <family val="3"/>
        <charset val="129"/>
      </rPr>
      <t>참조</t>
    </r>
    <r>
      <rPr>
        <sz val="10"/>
        <color rgb="FFFF0000"/>
        <rFont val="Times New Roman"/>
        <family val="1"/>
      </rPr>
      <t>)</t>
    </r>
    <phoneticPr fontId="16" type="noConversion"/>
  </si>
  <si>
    <r>
      <t>(</t>
    </r>
    <r>
      <rPr>
        <sz val="9"/>
        <color rgb="FFFF0000"/>
        <rFont val="나눔고딕"/>
        <family val="3"/>
        <charset val="129"/>
      </rPr>
      <t>수기</t>
    </r>
    <r>
      <rPr>
        <sz val="9"/>
        <color rgb="FFFF0000"/>
        <rFont val="Times New Roman"/>
        <family val="1"/>
      </rPr>
      <t xml:space="preserve"> </t>
    </r>
    <r>
      <rPr>
        <sz val="9"/>
        <color rgb="FFFF0000"/>
        <rFont val="나눔고딕"/>
        <family val="3"/>
        <charset val="129"/>
      </rPr>
      <t>편집</t>
    </r>
    <r>
      <rPr>
        <sz val="9"/>
        <color rgb="FFFF0000"/>
        <rFont val="Times New Roman"/>
        <family val="1"/>
      </rPr>
      <t xml:space="preserve"> </t>
    </r>
    <r>
      <rPr>
        <sz val="9"/>
        <color rgb="FFFF0000"/>
        <rFont val="나눔고딕"/>
        <family val="3"/>
        <charset val="129"/>
      </rPr>
      <t>불가</t>
    </r>
    <r>
      <rPr>
        <sz val="9"/>
        <color rgb="FFFF0000"/>
        <rFont val="Times New Roman"/>
        <family val="1"/>
      </rPr>
      <t xml:space="preserve"> </t>
    </r>
    <r>
      <rPr>
        <sz val="9"/>
        <color rgb="FFFF0000"/>
        <rFont val="나눔고딕"/>
        <family val="3"/>
        <charset val="129"/>
      </rPr>
      <t>열</t>
    </r>
    <r>
      <rPr>
        <sz val="9"/>
        <color rgb="FFFF0000"/>
        <rFont val="Times New Roman"/>
        <family val="1"/>
      </rPr>
      <t>)</t>
    </r>
    <phoneticPr fontId="16" type="noConversion"/>
  </si>
  <si>
    <r>
      <rPr>
        <sz val="10"/>
        <color rgb="FFFF0000"/>
        <rFont val="Times New Roman"/>
        <family val="1"/>
      </rPr>
      <t>Allow</t>
    </r>
    <r>
      <rPr>
        <sz val="10"/>
        <rFont val="Times New Roman"/>
        <family val="1"/>
      </rPr>
      <t>Formatting</t>
    </r>
    <phoneticPr fontId="16" type="noConversion"/>
  </si>
  <si>
    <r>
      <rPr>
        <sz val="10"/>
        <color rgb="FFFF0000"/>
        <rFont val="Times New Roman"/>
        <family val="1"/>
      </rPr>
      <t>Allow</t>
    </r>
    <r>
      <rPr>
        <sz val="10"/>
        <rFont val="Times New Roman"/>
        <family val="1"/>
      </rPr>
      <t>Inserting</t>
    </r>
    <phoneticPr fontId="16" type="noConversion"/>
  </si>
  <si>
    <r>
      <rPr>
        <sz val="10"/>
        <color rgb="FFFF0000"/>
        <rFont val="Times New Roman"/>
        <family val="1"/>
      </rPr>
      <t>Allow</t>
    </r>
    <r>
      <rPr>
        <sz val="10"/>
        <rFont val="Times New Roman"/>
        <family val="1"/>
      </rPr>
      <t>Deleting</t>
    </r>
    <phoneticPr fontId="16" type="noConversion"/>
  </si>
  <si>
    <r>
      <rPr>
        <sz val="10"/>
        <color rgb="FFFF0000"/>
        <rFont val="Times New Roman"/>
        <family val="1"/>
      </rPr>
      <t>Allow</t>
    </r>
    <r>
      <rPr>
        <sz val="10"/>
        <rFont val="Times New Roman"/>
        <family val="1"/>
      </rPr>
      <t>Sorting</t>
    </r>
    <phoneticPr fontId="16" type="noConversion"/>
  </si>
  <si>
    <r>
      <rPr>
        <sz val="10"/>
        <color rgb="FFFF0000"/>
        <rFont val="Times New Roman"/>
        <family val="1"/>
      </rPr>
      <t>Allow</t>
    </r>
    <r>
      <rPr>
        <sz val="10"/>
        <rFont val="Times New Roman"/>
        <family val="1"/>
      </rPr>
      <t>Filtering</t>
    </r>
    <phoneticPr fontId="16" type="noConversion"/>
  </si>
  <si>
    <r>
      <rPr>
        <sz val="10"/>
        <color rgb="FFFF0000"/>
        <rFont val="Times New Roman"/>
        <family val="1"/>
      </rPr>
      <t>Lock</t>
    </r>
    <r>
      <rPr>
        <sz val="10"/>
        <rFont val="Times New Roman"/>
        <family val="1"/>
      </rPr>
      <t>Shapes</t>
    </r>
    <phoneticPr fontId="16" type="noConversion"/>
  </si>
  <si>
    <r>
      <rPr>
        <sz val="10"/>
        <color rgb="FFFF0000"/>
        <rFont val="Times New Roman"/>
        <family val="1"/>
      </rPr>
      <t>Lock</t>
    </r>
    <r>
      <rPr>
        <sz val="10"/>
        <rFont val="Times New Roman"/>
        <family val="1"/>
      </rPr>
      <t>OLEObjects</t>
    </r>
    <phoneticPr fontId="16" type="noConversion"/>
  </si>
  <si>
    <r>
      <rPr>
        <sz val="10"/>
        <color rgb="FFFF0000"/>
        <rFont val="Times New Roman"/>
        <family val="1"/>
      </rPr>
      <t xml:space="preserve">True </t>
    </r>
    <r>
      <rPr>
        <sz val="10"/>
        <color rgb="FFFF0000"/>
        <rFont val="나눔고딕"/>
        <family val="3"/>
        <charset val="129"/>
      </rPr>
      <t>시</t>
    </r>
    <r>
      <rPr>
        <sz val="10"/>
        <color rgb="FFFF0000"/>
        <rFont val="Times New Roman"/>
        <family val="1"/>
      </rPr>
      <t xml:space="preserve"> </t>
    </r>
    <r>
      <rPr>
        <sz val="10"/>
        <color rgb="FFFF0000"/>
        <rFont val="나눔고딕"/>
        <family val="3"/>
        <charset val="129"/>
      </rPr>
      <t>사용자는</t>
    </r>
    <r>
      <rPr>
        <sz val="10"/>
        <color rgb="FFFF0000"/>
        <rFont val="Times New Roman"/>
        <family val="1"/>
      </rPr>
      <t xml:space="preserve"> </t>
    </r>
    <r>
      <rPr>
        <sz val="10"/>
        <color rgb="FFFF0000"/>
        <rFont val="나눔고딕"/>
        <family val="3"/>
        <charset val="129"/>
      </rPr>
      <t>편집</t>
    </r>
    <r>
      <rPr>
        <sz val="10"/>
        <color rgb="FFFF0000"/>
        <rFont val="Times New Roman"/>
        <family val="1"/>
      </rPr>
      <t xml:space="preserve"> </t>
    </r>
    <r>
      <rPr>
        <sz val="10"/>
        <color rgb="FFFF0000"/>
        <rFont val="나눔고딕"/>
        <family val="3"/>
        <charset val="129"/>
      </rPr>
      <t>불가하지만</t>
    </r>
    <r>
      <rPr>
        <sz val="10"/>
        <color rgb="FFFF0000"/>
        <rFont val="Times New Roman"/>
        <family val="1"/>
      </rPr>
      <t xml:space="preserve"> VBA </t>
    </r>
    <r>
      <rPr>
        <sz val="10"/>
        <color rgb="FFFF0000"/>
        <rFont val="나눔고딕"/>
        <family val="3"/>
        <charset val="129"/>
      </rPr>
      <t>코드는</t>
    </r>
    <r>
      <rPr>
        <sz val="10"/>
        <color rgb="FFFF0000"/>
        <rFont val="Times New Roman"/>
        <family val="1"/>
      </rPr>
      <t xml:space="preserve"> </t>
    </r>
    <r>
      <rPr>
        <sz val="10"/>
        <color rgb="FFFF0000"/>
        <rFont val="나눔고딕"/>
        <family val="3"/>
        <charset val="129"/>
      </rPr>
      <t>보호된</t>
    </r>
    <r>
      <rPr>
        <sz val="10"/>
        <color rgb="FFFF0000"/>
        <rFont val="Times New Roman"/>
        <family val="1"/>
      </rPr>
      <t xml:space="preserve"> </t>
    </r>
    <r>
      <rPr>
        <sz val="10"/>
        <color rgb="FFFF0000"/>
        <rFont val="나눔고딕"/>
        <family val="3"/>
        <charset val="129"/>
      </rPr>
      <t>상태에서도</t>
    </r>
    <r>
      <rPr>
        <sz val="10"/>
        <color rgb="FFFF0000"/>
        <rFont val="Times New Roman"/>
        <family val="1"/>
      </rPr>
      <t xml:space="preserve"> </t>
    </r>
    <r>
      <rPr>
        <sz val="10"/>
        <color rgb="FFFF0000"/>
        <rFont val="나눔고딕"/>
        <family val="3"/>
        <charset val="129"/>
      </rPr>
      <t>셀</t>
    </r>
    <r>
      <rPr>
        <sz val="10"/>
        <color rgb="FFFF0000"/>
        <rFont val="Times New Roman"/>
        <family val="1"/>
      </rPr>
      <t xml:space="preserve"> </t>
    </r>
    <r>
      <rPr>
        <sz val="10"/>
        <color rgb="FFFF0000"/>
        <rFont val="나눔고딕"/>
        <family val="3"/>
        <charset val="129"/>
      </rPr>
      <t>값을</t>
    </r>
    <r>
      <rPr>
        <sz val="10"/>
        <color rgb="FFFF0000"/>
        <rFont val="Times New Roman"/>
        <family val="1"/>
      </rPr>
      <t xml:space="preserve"> </t>
    </r>
    <r>
      <rPr>
        <sz val="10"/>
        <color rgb="FFFF0000"/>
        <rFont val="나눔고딕"/>
        <family val="3"/>
        <charset val="129"/>
      </rPr>
      <t>갱신</t>
    </r>
    <r>
      <rPr>
        <sz val="10"/>
        <color rgb="FFFF0000"/>
        <rFont val="Times New Roman"/>
        <family val="1"/>
      </rPr>
      <t xml:space="preserve"> </t>
    </r>
    <r>
      <rPr>
        <sz val="10"/>
        <color rgb="FFFF0000"/>
        <rFont val="나눔고딕"/>
        <family val="3"/>
        <charset val="129"/>
      </rPr>
      <t>가능</t>
    </r>
    <r>
      <rPr>
        <sz val="10"/>
        <rFont val="Times New Roman"/>
        <family val="1"/>
      </rPr>
      <t xml:space="preserve">. TARA </t>
    </r>
    <r>
      <rPr>
        <sz val="10"/>
        <rFont val="나눔고딕"/>
        <family val="3"/>
        <charset val="129"/>
      </rPr>
      <t>종료</t>
    </r>
    <r>
      <rPr>
        <sz val="10"/>
        <rFont val="Times New Roman"/>
        <family val="1"/>
      </rPr>
      <t xml:space="preserve"> </t>
    </r>
    <r>
      <rPr>
        <sz val="10"/>
        <rFont val="나눔고딕"/>
        <family val="3"/>
        <charset val="129"/>
      </rPr>
      <t>후</t>
    </r>
    <r>
      <rPr>
        <sz val="10"/>
        <rFont val="Times New Roman"/>
        <family val="1"/>
      </rPr>
      <t xml:space="preserve"> </t>
    </r>
    <r>
      <rPr>
        <sz val="10"/>
        <rFont val="나눔고딕"/>
        <family val="3"/>
        <charset val="129"/>
      </rPr>
      <t>결과를</t>
    </r>
    <r>
      <rPr>
        <sz val="10"/>
        <rFont val="Times New Roman"/>
        <family val="1"/>
      </rPr>
      <t xml:space="preserve"> </t>
    </r>
    <r>
      <rPr>
        <sz val="10"/>
        <rFont val="나눔고딕"/>
        <family val="3"/>
        <charset val="129"/>
      </rPr>
      <t>자동</t>
    </r>
    <r>
      <rPr>
        <sz val="10"/>
        <rFont val="Times New Roman"/>
        <family val="1"/>
      </rPr>
      <t xml:space="preserve"> </t>
    </r>
    <r>
      <rPr>
        <sz val="10"/>
        <rFont val="나눔고딕"/>
        <family val="3"/>
        <charset val="129"/>
      </rPr>
      <t>기록해야</t>
    </r>
    <r>
      <rPr>
        <sz val="10"/>
        <rFont val="Times New Roman"/>
        <family val="1"/>
      </rPr>
      <t xml:space="preserve"> </t>
    </r>
    <r>
      <rPr>
        <sz val="10"/>
        <rFont val="나눔고딕"/>
        <family val="3"/>
        <charset val="129"/>
      </rPr>
      <t>하는</t>
    </r>
    <r>
      <rPr>
        <sz val="10"/>
        <rFont val="Times New Roman"/>
        <family val="1"/>
      </rPr>
      <t xml:space="preserve"> </t>
    </r>
    <r>
      <rPr>
        <sz val="10"/>
        <rFont val="나눔고딕"/>
        <family val="3"/>
        <charset val="129"/>
      </rPr>
      <t>시트에</t>
    </r>
    <r>
      <rPr>
        <sz val="10"/>
        <rFont val="Times New Roman"/>
        <family val="1"/>
      </rPr>
      <t xml:space="preserve"> </t>
    </r>
    <r>
      <rPr>
        <sz val="10"/>
        <rFont val="나눔고딕"/>
        <family val="3"/>
        <charset val="129"/>
      </rPr>
      <t>사용</t>
    </r>
    <phoneticPr fontId="16" type="noConversion"/>
  </si>
  <si>
    <r>
      <rPr>
        <sz val="10"/>
        <color rgb="FFFF0000"/>
        <rFont val="Times New Roman"/>
        <family val="1"/>
      </rPr>
      <t>Allow</t>
    </r>
    <r>
      <rPr>
        <sz val="10"/>
        <rFont val="Times New Roman"/>
        <family val="1"/>
      </rPr>
      <t>Formatting</t>
    </r>
    <phoneticPr fontId="16" type="noConversion"/>
  </si>
  <si>
    <r>
      <rPr>
        <sz val="10"/>
        <rFont val="나눔고딕"/>
        <family val="3"/>
        <charset val="129"/>
      </rPr>
      <t>셀</t>
    </r>
    <r>
      <rPr>
        <sz val="10"/>
        <rFont val="Times New Roman"/>
        <family val="1"/>
      </rPr>
      <t>/</t>
    </r>
    <r>
      <rPr>
        <sz val="10"/>
        <rFont val="나눔고딕"/>
        <family val="3"/>
        <charset val="129"/>
      </rPr>
      <t>열</t>
    </r>
    <r>
      <rPr>
        <sz val="10"/>
        <rFont val="Times New Roman"/>
        <family val="1"/>
      </rPr>
      <t>/</t>
    </r>
    <r>
      <rPr>
        <sz val="10"/>
        <rFont val="나눔고딕"/>
        <family val="3"/>
        <charset val="129"/>
      </rPr>
      <t>행</t>
    </r>
    <r>
      <rPr>
        <sz val="10"/>
        <rFont val="Times New Roman"/>
        <family val="1"/>
      </rPr>
      <t xml:space="preserve"> </t>
    </r>
    <r>
      <rPr>
        <sz val="10"/>
        <rFont val="나눔고딕"/>
        <family val="3"/>
        <charset val="129"/>
      </rPr>
      <t>서식</t>
    </r>
    <r>
      <rPr>
        <sz val="10"/>
        <rFont val="Times New Roman"/>
        <family val="1"/>
      </rPr>
      <t xml:space="preserve"> </t>
    </r>
    <r>
      <rPr>
        <sz val="10"/>
        <rFont val="나눔고딕"/>
        <family val="3"/>
        <charset val="129"/>
      </rPr>
      <t>변경</t>
    </r>
    <r>
      <rPr>
        <sz val="10"/>
        <rFont val="Times New Roman"/>
        <family val="1"/>
      </rPr>
      <t xml:space="preserve"> </t>
    </r>
    <r>
      <rPr>
        <sz val="10"/>
        <rFont val="나눔고딕"/>
        <family val="3"/>
        <charset val="129"/>
      </rPr>
      <t>허용</t>
    </r>
    <r>
      <rPr>
        <sz val="10"/>
        <rFont val="Times New Roman"/>
        <family val="1"/>
      </rPr>
      <t xml:space="preserve"> </t>
    </r>
    <r>
      <rPr>
        <sz val="10"/>
        <rFont val="나눔고딕"/>
        <family val="3"/>
        <charset val="129"/>
      </rPr>
      <t>여부</t>
    </r>
    <r>
      <rPr>
        <sz val="10"/>
        <rFont val="Times New Roman"/>
        <family val="1"/>
      </rPr>
      <t xml:space="preserve"> (3</t>
    </r>
    <r>
      <rPr>
        <sz val="10"/>
        <rFont val="나눔고딕"/>
        <family val="3"/>
        <charset val="129"/>
      </rPr>
      <t>개</t>
    </r>
    <r>
      <rPr>
        <sz val="10"/>
        <rFont val="Times New Roman"/>
        <family val="1"/>
      </rPr>
      <t xml:space="preserve"> </t>
    </r>
    <r>
      <rPr>
        <sz val="10"/>
        <rFont val="나눔고딕"/>
        <family val="3"/>
        <charset val="129"/>
      </rPr>
      <t>옵션</t>
    </r>
    <r>
      <rPr>
        <sz val="10"/>
        <rFont val="Times New Roman"/>
        <family val="1"/>
      </rPr>
      <t xml:space="preserve"> </t>
    </r>
    <r>
      <rPr>
        <sz val="10"/>
        <rFont val="나눔고딕"/>
        <family val="3"/>
        <charset val="129"/>
      </rPr>
      <t>통합</t>
    </r>
    <r>
      <rPr>
        <sz val="10"/>
        <rFont val="Times New Roman"/>
        <family val="1"/>
      </rPr>
      <t xml:space="preserve">). True </t>
    </r>
    <r>
      <rPr>
        <sz val="10"/>
        <rFont val="나눔고딕"/>
        <family val="3"/>
        <charset val="129"/>
      </rPr>
      <t>시</t>
    </r>
    <r>
      <rPr>
        <sz val="10"/>
        <rFont val="Times New Roman"/>
        <family val="1"/>
      </rPr>
      <t xml:space="preserve"> </t>
    </r>
    <r>
      <rPr>
        <sz val="10"/>
        <rFont val="나눔고딕"/>
        <family val="3"/>
        <charset val="129"/>
      </rPr>
      <t>색상</t>
    </r>
    <r>
      <rPr>
        <sz val="10"/>
        <rFont val="Times New Roman"/>
        <family val="1"/>
      </rPr>
      <t>,</t>
    </r>
    <r>
      <rPr>
        <sz val="10"/>
        <rFont val="나눔고딕"/>
        <family val="3"/>
        <charset val="129"/>
      </rPr>
      <t>글꼴</t>
    </r>
    <r>
      <rPr>
        <sz val="10"/>
        <rFont val="Times New Roman"/>
        <family val="1"/>
      </rPr>
      <t>,</t>
    </r>
    <r>
      <rPr>
        <sz val="10"/>
        <rFont val="나눔고딕"/>
        <family val="3"/>
        <charset val="129"/>
      </rPr>
      <t>테두리</t>
    </r>
    <r>
      <rPr>
        <sz val="10"/>
        <rFont val="Times New Roman"/>
        <family val="1"/>
      </rPr>
      <t xml:space="preserve"> </t>
    </r>
    <r>
      <rPr>
        <sz val="10"/>
        <rFont val="나눔고딕"/>
        <family val="3"/>
        <charset val="129"/>
      </rPr>
      <t>등</t>
    </r>
    <r>
      <rPr>
        <sz val="10"/>
        <rFont val="Times New Roman"/>
        <family val="1"/>
      </rPr>
      <t xml:space="preserve"> </t>
    </r>
    <r>
      <rPr>
        <sz val="10"/>
        <rFont val="나눔고딕"/>
        <family val="3"/>
        <charset val="129"/>
      </rPr>
      <t>서식</t>
    </r>
    <r>
      <rPr>
        <sz val="10"/>
        <rFont val="Times New Roman"/>
        <family val="1"/>
      </rPr>
      <t xml:space="preserve"> </t>
    </r>
    <r>
      <rPr>
        <sz val="10"/>
        <rFont val="나눔고딕"/>
        <family val="3"/>
        <charset val="129"/>
      </rPr>
      <t>변경</t>
    </r>
    <r>
      <rPr>
        <sz val="10"/>
        <rFont val="Times New Roman"/>
        <family val="1"/>
      </rPr>
      <t xml:space="preserve"> </t>
    </r>
    <r>
      <rPr>
        <sz val="10"/>
        <rFont val="나눔고딕"/>
        <family val="3"/>
        <charset val="129"/>
      </rPr>
      <t>가능</t>
    </r>
    <phoneticPr fontId="16" type="noConversion"/>
  </si>
  <si>
    <r>
      <rPr>
        <sz val="10"/>
        <color rgb="FFFF0000"/>
        <rFont val="Times New Roman"/>
        <family val="1"/>
      </rPr>
      <t>Allow</t>
    </r>
    <r>
      <rPr>
        <sz val="10"/>
        <rFont val="Times New Roman"/>
        <family val="1"/>
      </rPr>
      <t>Deleting</t>
    </r>
    <phoneticPr fontId="16" type="noConversion"/>
  </si>
  <si>
    <r>
      <rPr>
        <sz val="10"/>
        <color rgb="FFFF0000"/>
        <rFont val="Times New Roman"/>
        <family val="1"/>
      </rPr>
      <t>Allow</t>
    </r>
    <r>
      <rPr>
        <sz val="10"/>
        <rFont val="Times New Roman"/>
        <family val="1"/>
      </rPr>
      <t>Sorting</t>
    </r>
    <phoneticPr fontId="16" type="noConversion"/>
  </si>
  <si>
    <r>
      <rPr>
        <sz val="10"/>
        <color rgb="FFFF0000"/>
        <rFont val="Times New Roman"/>
        <family val="1"/>
      </rPr>
      <t>Allow</t>
    </r>
    <r>
      <rPr>
        <sz val="10"/>
        <rFont val="Times New Roman"/>
        <family val="1"/>
      </rPr>
      <t>Filtering</t>
    </r>
    <phoneticPr fontId="16" type="noConversion"/>
  </si>
  <si>
    <r>
      <rPr>
        <sz val="10"/>
        <color rgb="FFFF0000"/>
        <rFont val="Times New Roman"/>
        <family val="1"/>
      </rPr>
      <t>Lock</t>
    </r>
    <r>
      <rPr>
        <sz val="10"/>
        <rFont val="Times New Roman"/>
        <family val="1"/>
      </rPr>
      <t>OLEObjects</t>
    </r>
    <phoneticPr fontId="16" type="noConversion"/>
  </si>
  <si>
    <r>
      <t>&lt;</t>
    </r>
    <r>
      <rPr>
        <b/>
        <sz val="10"/>
        <color rgb="FF0000FF"/>
        <rFont val="나눔고딕"/>
        <family val="3"/>
        <charset val="129"/>
      </rPr>
      <t>결과</t>
    </r>
    <r>
      <rPr>
        <b/>
        <sz val="10"/>
        <color rgb="FF0000FF"/>
        <rFont val="Times New Roman"/>
        <family val="1"/>
      </rPr>
      <t>&gt;</t>
    </r>
    <phoneticPr fontId="6" type="noConversion"/>
  </si>
  <si>
    <r>
      <rPr>
        <sz val="10"/>
        <rFont val="나눔고딕"/>
        <family val="3"/>
        <charset val="129"/>
      </rPr>
      <t>공격</t>
    </r>
    <r>
      <rPr>
        <sz val="10"/>
        <rFont val="Times New Roman"/>
        <family val="1"/>
      </rPr>
      <t xml:space="preserve"> </t>
    </r>
    <r>
      <rPr>
        <sz val="10"/>
        <rFont val="나눔고딕"/>
        <family val="3"/>
        <charset val="129"/>
      </rPr>
      <t>잠재력</t>
    </r>
    <r>
      <rPr>
        <sz val="10"/>
        <rFont val="Times New Roman"/>
        <family val="1"/>
      </rPr>
      <t xml:space="preserve"> </t>
    </r>
    <r>
      <rPr>
        <sz val="10"/>
        <rFont val="나눔고딕"/>
        <family val="3"/>
        <charset val="129"/>
      </rPr>
      <t>기반</t>
    </r>
    <r>
      <rPr>
        <sz val="10"/>
        <rFont val="Times New Roman"/>
        <family val="1"/>
      </rPr>
      <t>(Attack Potential-based)</t>
    </r>
  </si>
  <si>
    <r>
      <rPr>
        <sz val="10"/>
        <rFont val="나눔고딕"/>
        <family val="3"/>
        <charset val="129"/>
      </rPr>
      <t>위험수용</t>
    </r>
  </si>
  <si>
    <r>
      <rPr>
        <sz val="10"/>
        <rFont val="나눔고딕"/>
        <family val="3"/>
        <charset val="129"/>
      </rPr>
      <t>위험저감</t>
    </r>
  </si>
  <si>
    <r>
      <rPr>
        <sz val="10"/>
        <rFont val="나눔고딕"/>
        <family val="3"/>
        <charset val="129"/>
      </rPr>
      <t>위험회피</t>
    </r>
  </si>
  <si>
    <r>
      <rPr>
        <sz val="10"/>
        <rFont val="나눔고딕"/>
        <family val="3"/>
        <charset val="129"/>
      </rPr>
      <t>위험전가</t>
    </r>
  </si>
  <si>
    <r>
      <t>WK-20260801-001 (</t>
    </r>
    <r>
      <rPr>
        <sz val="10"/>
        <rFont val="나눔고딕"/>
        <family val="3"/>
        <charset val="129"/>
      </rPr>
      <t>유사도</t>
    </r>
    <r>
      <rPr>
        <sz val="10"/>
        <rFont val="Times New Roman"/>
        <family val="1"/>
      </rPr>
      <t xml:space="preserve"> 0.84)</t>
    </r>
    <phoneticPr fontId="6" type="noConversion"/>
  </si>
  <si>
    <r>
      <t>WK-20260805-005 (</t>
    </r>
    <r>
      <rPr>
        <sz val="10"/>
        <rFont val="나눔고딕"/>
        <family val="3"/>
        <charset val="129"/>
      </rPr>
      <t>유사도</t>
    </r>
    <r>
      <rPr>
        <sz val="10"/>
        <rFont val="Times New Roman"/>
        <family val="1"/>
      </rPr>
      <t xml:space="preserve"> 0.63)</t>
    </r>
    <phoneticPr fontId="6" type="noConversion"/>
  </si>
  <si>
    <r>
      <t>WK-20260805-005 (</t>
    </r>
    <r>
      <rPr>
        <sz val="10"/>
        <rFont val="나눔고딕"/>
        <family val="3"/>
        <charset val="129"/>
      </rPr>
      <t>유사도</t>
    </r>
    <r>
      <rPr>
        <sz val="10"/>
        <rFont val="Times New Roman"/>
        <family val="1"/>
      </rPr>
      <t xml:space="preserve"> 0.65)</t>
    </r>
    <phoneticPr fontId="6" type="noConversion"/>
  </si>
  <si>
    <r>
      <rPr>
        <sz val="10"/>
        <color theme="1"/>
        <rFont val="나눔고딕"/>
        <family val="3"/>
        <charset val="129"/>
      </rPr>
      <t>공격</t>
    </r>
    <r>
      <rPr>
        <sz val="10"/>
        <color theme="1"/>
        <rFont val="Times New Roman"/>
        <family val="1"/>
      </rPr>
      <t xml:space="preserve"> </t>
    </r>
    <r>
      <rPr>
        <sz val="10"/>
        <color theme="1"/>
        <rFont val="나눔고딕"/>
        <family val="3"/>
        <charset val="129"/>
      </rPr>
      <t>잠재력</t>
    </r>
    <r>
      <rPr>
        <sz val="10"/>
        <color theme="1"/>
        <rFont val="Times New Roman"/>
        <family val="1"/>
      </rPr>
      <t xml:space="preserve"> </t>
    </r>
    <r>
      <rPr>
        <sz val="10"/>
        <color theme="1"/>
        <rFont val="나눔고딕"/>
        <family val="3"/>
        <charset val="129"/>
      </rPr>
      <t>기반</t>
    </r>
    <r>
      <rPr>
        <sz val="10"/>
        <color theme="1"/>
        <rFont val="Times New Roman"/>
        <family val="1"/>
      </rPr>
      <t>(Attack Potential-based)</t>
    </r>
    <phoneticPr fontId="6" type="noConversion"/>
  </si>
  <si>
    <r>
      <rPr>
        <sz val="10"/>
        <color theme="1"/>
        <rFont val="나눔고딕"/>
        <family val="3"/>
        <charset val="129"/>
      </rPr>
      <t>위험수용</t>
    </r>
    <phoneticPr fontId="6" type="noConversion"/>
  </si>
  <si>
    <r>
      <t xml:space="preserve">CVSS </t>
    </r>
    <r>
      <rPr>
        <sz val="10"/>
        <color theme="1"/>
        <rFont val="나눔고딕"/>
        <family val="3"/>
        <charset val="129"/>
      </rPr>
      <t>기반</t>
    </r>
    <r>
      <rPr>
        <sz val="10"/>
        <color theme="1"/>
        <rFont val="Times New Roman"/>
        <family val="1"/>
      </rPr>
      <t>(CVSS-based)</t>
    </r>
  </si>
  <si>
    <r>
      <rPr>
        <sz val="10"/>
        <color theme="1"/>
        <rFont val="나눔고딕"/>
        <family val="3"/>
        <charset val="129"/>
      </rPr>
      <t>위험저감</t>
    </r>
    <phoneticPr fontId="6" type="noConversion"/>
  </si>
  <si>
    <r>
      <rPr>
        <sz val="10"/>
        <color theme="1"/>
        <rFont val="나눔고딕"/>
        <family val="3"/>
        <charset val="129"/>
      </rPr>
      <t>공격벡터</t>
    </r>
    <r>
      <rPr>
        <sz val="10"/>
        <color theme="1"/>
        <rFont val="Times New Roman"/>
        <family val="1"/>
      </rPr>
      <t xml:space="preserve"> </t>
    </r>
    <r>
      <rPr>
        <sz val="10"/>
        <color theme="1"/>
        <rFont val="나눔고딕"/>
        <family val="3"/>
        <charset val="129"/>
      </rPr>
      <t>기반</t>
    </r>
    <r>
      <rPr>
        <sz val="10"/>
        <color theme="1"/>
        <rFont val="Times New Roman"/>
        <family val="1"/>
      </rPr>
      <t>(Attack Vector-based)</t>
    </r>
  </si>
  <si>
    <r>
      <rPr>
        <sz val="10"/>
        <color theme="1"/>
        <rFont val="나눔고딕"/>
        <family val="3"/>
        <charset val="129"/>
      </rPr>
      <t>위험회피</t>
    </r>
    <phoneticPr fontId="6" type="noConversion"/>
  </si>
  <si>
    <r>
      <t xml:space="preserve">Semantic </t>
    </r>
    <r>
      <rPr>
        <sz val="10"/>
        <rFont val="나눔고딕"/>
        <family val="3"/>
        <charset val="129"/>
      </rPr>
      <t>필요</t>
    </r>
    <phoneticPr fontId="6" type="noConversion"/>
  </si>
  <si>
    <r>
      <rPr>
        <sz val="10"/>
        <color theme="1"/>
        <rFont val="나눔고딕"/>
        <family val="3"/>
        <charset val="129"/>
      </rPr>
      <t>위험전가</t>
    </r>
    <phoneticPr fontId="6" type="noConversion"/>
  </si>
  <si>
    <r>
      <t>&lt;</t>
    </r>
    <r>
      <rPr>
        <b/>
        <sz val="18"/>
        <color theme="1"/>
        <rFont val="나눔고딕"/>
        <family val="3"/>
        <charset val="129"/>
      </rPr>
      <t>핵심</t>
    </r>
    <r>
      <rPr>
        <b/>
        <sz val="18"/>
        <color theme="1"/>
        <rFont val="Times New Roman"/>
        <family val="1"/>
      </rPr>
      <t>&gt; CVSS</t>
    </r>
    <r>
      <rPr>
        <b/>
        <sz val="18"/>
        <color theme="1"/>
        <rFont val="나눔고딕"/>
        <family val="3"/>
        <charset val="129"/>
      </rPr>
      <t>와</t>
    </r>
    <r>
      <rPr>
        <b/>
        <sz val="18"/>
        <color theme="1"/>
        <rFont val="Times New Roman"/>
        <family val="1"/>
      </rPr>
      <t xml:space="preserve"> AFR</t>
    </r>
    <r>
      <rPr>
        <b/>
        <sz val="18"/>
        <color theme="1"/>
        <rFont val="나눔고딕"/>
        <family val="3"/>
        <charset val="129"/>
      </rPr>
      <t>은</t>
    </r>
    <r>
      <rPr>
        <b/>
        <sz val="18"/>
        <color theme="1"/>
        <rFont val="Times New Roman"/>
        <family val="1"/>
      </rPr>
      <t xml:space="preserve"> </t>
    </r>
    <r>
      <rPr>
        <b/>
        <sz val="18"/>
        <color theme="1"/>
        <rFont val="나눔고딕"/>
        <family val="3"/>
        <charset val="129"/>
      </rPr>
      <t>같은</t>
    </r>
    <r>
      <rPr>
        <b/>
        <sz val="18"/>
        <color theme="1"/>
        <rFont val="Times New Roman"/>
        <family val="1"/>
      </rPr>
      <t xml:space="preserve"> </t>
    </r>
    <r>
      <rPr>
        <b/>
        <sz val="18"/>
        <color theme="1"/>
        <rFont val="나눔고딕"/>
        <family val="3"/>
        <charset val="129"/>
      </rPr>
      <t>값을</t>
    </r>
    <r>
      <rPr>
        <b/>
        <sz val="18"/>
        <color theme="1"/>
        <rFont val="Times New Roman"/>
        <family val="1"/>
      </rPr>
      <t xml:space="preserve"> </t>
    </r>
    <r>
      <rPr>
        <b/>
        <sz val="18"/>
        <color theme="1"/>
        <rFont val="나눔고딕"/>
        <family val="3"/>
        <charset val="129"/>
      </rPr>
      <t>구하는</t>
    </r>
    <r>
      <rPr>
        <b/>
        <sz val="18"/>
        <color theme="1"/>
        <rFont val="Times New Roman"/>
        <family val="1"/>
      </rPr>
      <t xml:space="preserve"> </t>
    </r>
    <r>
      <rPr>
        <b/>
        <sz val="18"/>
        <color theme="1"/>
        <rFont val="나눔고딕"/>
        <family val="3"/>
        <charset val="129"/>
      </rPr>
      <t>대안적</t>
    </r>
    <r>
      <rPr>
        <b/>
        <sz val="18"/>
        <color theme="1"/>
        <rFont val="Times New Roman"/>
        <family val="1"/>
      </rPr>
      <t xml:space="preserve"> </t>
    </r>
    <r>
      <rPr>
        <b/>
        <sz val="18"/>
        <color theme="1"/>
        <rFont val="나눔고딕"/>
        <family val="3"/>
        <charset val="129"/>
      </rPr>
      <t>방법의</t>
    </r>
    <r>
      <rPr>
        <b/>
        <sz val="18"/>
        <color theme="1"/>
        <rFont val="Times New Roman"/>
        <family val="1"/>
      </rPr>
      <t xml:space="preserve"> </t>
    </r>
    <r>
      <rPr>
        <b/>
        <sz val="18"/>
        <color theme="1"/>
        <rFont val="나눔고딕"/>
        <family val="3"/>
        <charset val="129"/>
      </rPr>
      <t>관계</t>
    </r>
    <phoneticPr fontId="6" type="noConversion"/>
  </si>
  <si>
    <r>
      <rPr>
        <sz val="12"/>
        <color theme="1"/>
        <rFont val="나눔고딕"/>
        <family val="3"/>
        <charset val="129"/>
      </rPr>
      <t>▶</t>
    </r>
    <r>
      <rPr>
        <sz val="12"/>
        <color theme="1"/>
        <rFont val="Times New Roman"/>
        <family val="1"/>
      </rPr>
      <t xml:space="preserve"> ISO/SAE 21434</t>
    </r>
    <r>
      <rPr>
        <sz val="12"/>
        <color theme="1"/>
        <rFont val="나눔고딕"/>
        <family val="3"/>
        <charset val="129"/>
      </rPr>
      <t>의</t>
    </r>
    <r>
      <rPr>
        <sz val="12"/>
        <color theme="1"/>
        <rFont val="Times New Roman"/>
        <family val="1"/>
      </rPr>
      <t xml:space="preserve"> </t>
    </r>
    <r>
      <rPr>
        <sz val="12"/>
        <color theme="1"/>
        <rFont val="나눔고딕"/>
        <family val="3"/>
        <charset val="129"/>
      </rPr>
      <t>리스크</t>
    </r>
    <r>
      <rPr>
        <sz val="12"/>
        <color theme="1"/>
        <rFont val="Times New Roman"/>
        <family val="1"/>
      </rPr>
      <t xml:space="preserve"> </t>
    </r>
    <r>
      <rPr>
        <sz val="12"/>
        <color theme="1"/>
        <rFont val="나눔고딕"/>
        <family val="3"/>
        <charset val="129"/>
      </rPr>
      <t>결정</t>
    </r>
    <r>
      <rPr>
        <sz val="12"/>
        <color theme="1"/>
        <rFont val="Times New Roman"/>
        <family val="1"/>
      </rPr>
      <t xml:space="preserve">(Risk Determination) </t>
    </r>
    <r>
      <rPr>
        <sz val="12"/>
        <color theme="1"/>
        <rFont val="나눔고딕"/>
        <family val="3"/>
        <charset val="129"/>
      </rPr>
      <t>구조</t>
    </r>
    <phoneticPr fontId="6" type="noConversion"/>
  </si>
  <si>
    <r>
      <rPr>
        <sz val="12"/>
        <color theme="1"/>
        <rFont val="나눔고딕"/>
        <family val="3"/>
        <charset val="129"/>
      </rPr>
      <t>▶</t>
    </r>
    <r>
      <rPr>
        <sz val="12"/>
        <color theme="1"/>
        <rFont val="Times New Roman"/>
        <family val="1"/>
      </rPr>
      <t xml:space="preserve"> Attack Feasibility Rating</t>
    </r>
    <r>
      <rPr>
        <sz val="12"/>
        <color theme="1"/>
        <rFont val="나눔고딕"/>
        <family val="3"/>
        <charset val="129"/>
      </rPr>
      <t>을</t>
    </r>
    <r>
      <rPr>
        <sz val="12"/>
        <color theme="1"/>
        <rFont val="Times New Roman"/>
        <family val="1"/>
      </rPr>
      <t xml:space="preserve"> </t>
    </r>
    <r>
      <rPr>
        <sz val="12"/>
        <color theme="1"/>
        <rFont val="나눔고딕"/>
        <family val="3"/>
        <charset val="129"/>
      </rPr>
      <t>구하는</t>
    </r>
    <r>
      <rPr>
        <sz val="12"/>
        <color theme="1"/>
        <rFont val="Times New Roman"/>
        <family val="1"/>
      </rPr>
      <t xml:space="preserve"> 3</t>
    </r>
    <r>
      <rPr>
        <sz val="12"/>
        <color theme="1"/>
        <rFont val="나눔고딕"/>
        <family val="3"/>
        <charset val="129"/>
      </rPr>
      <t>가지</t>
    </r>
    <r>
      <rPr>
        <sz val="12"/>
        <color theme="1"/>
        <rFont val="Times New Roman"/>
        <family val="1"/>
      </rPr>
      <t xml:space="preserve"> </t>
    </r>
    <r>
      <rPr>
        <sz val="12"/>
        <color theme="1"/>
        <rFont val="나눔고딕"/>
        <family val="3"/>
        <charset val="129"/>
      </rPr>
      <t>방법</t>
    </r>
    <r>
      <rPr>
        <sz val="12"/>
        <color theme="1"/>
        <rFont val="Times New Roman"/>
        <family val="1"/>
      </rPr>
      <t xml:space="preserve"> (ISO21434, Annex G</t>
    </r>
    <r>
      <rPr>
        <sz val="12"/>
        <color theme="1"/>
        <rFont val="나눔고딕"/>
        <family val="3"/>
        <charset val="129"/>
      </rPr>
      <t>에서</t>
    </r>
    <r>
      <rPr>
        <sz val="12"/>
        <color theme="1"/>
        <rFont val="Times New Roman"/>
        <family val="1"/>
      </rPr>
      <t xml:space="preserve"> </t>
    </r>
    <r>
      <rPr>
        <sz val="12"/>
        <color theme="1"/>
        <rFont val="나눔고딕"/>
        <family val="3"/>
        <charset val="129"/>
      </rPr>
      <t>제시</t>
    </r>
    <r>
      <rPr>
        <sz val="12"/>
        <color theme="1"/>
        <rFont val="Times New Roman"/>
        <family val="1"/>
      </rPr>
      <t>)</t>
    </r>
    <phoneticPr fontId="6" type="noConversion"/>
  </si>
  <si>
    <r>
      <rPr>
        <b/>
        <sz val="11"/>
        <color theme="1"/>
        <rFont val="Times New Roman"/>
        <family val="1"/>
      </rPr>
      <t xml:space="preserve">"CVSS </t>
    </r>
    <r>
      <rPr>
        <b/>
        <sz val="11"/>
        <color theme="1"/>
        <rFont val="나눔고딕"/>
        <family val="3"/>
        <charset val="129"/>
      </rPr>
      <t>기반</t>
    </r>
    <r>
      <rPr>
        <b/>
        <sz val="11"/>
        <color theme="1"/>
        <rFont val="Times New Roman"/>
        <family val="1"/>
      </rPr>
      <t xml:space="preserve"> </t>
    </r>
    <r>
      <rPr>
        <b/>
        <sz val="11"/>
        <color theme="1"/>
        <rFont val="나눔고딕"/>
        <family val="3"/>
        <charset val="129"/>
      </rPr>
      <t>방법</t>
    </r>
    <r>
      <rPr>
        <b/>
        <sz val="11"/>
        <color theme="1"/>
        <rFont val="Times New Roman"/>
        <family val="1"/>
      </rPr>
      <t>"</t>
    </r>
    <r>
      <rPr>
        <b/>
        <sz val="11"/>
        <color theme="1"/>
        <rFont val="나눔고딕"/>
        <family val="3"/>
        <charset val="129"/>
      </rPr>
      <t>도</t>
    </r>
    <r>
      <rPr>
        <b/>
        <sz val="11"/>
        <color theme="1"/>
        <rFont val="Times New Roman"/>
        <family val="1"/>
      </rPr>
      <t xml:space="preserve"> AFR</t>
    </r>
    <r>
      <rPr>
        <b/>
        <sz val="11"/>
        <color theme="1"/>
        <rFont val="나눔고딕"/>
        <family val="3"/>
        <charset val="129"/>
      </rPr>
      <t>을</t>
    </r>
    <r>
      <rPr>
        <b/>
        <sz val="11"/>
        <color theme="1"/>
        <rFont val="Times New Roman"/>
        <family val="1"/>
      </rPr>
      <t xml:space="preserve"> </t>
    </r>
    <r>
      <rPr>
        <b/>
        <sz val="11"/>
        <color theme="1"/>
        <rFont val="나눔고딕"/>
        <family val="3"/>
        <charset val="129"/>
      </rPr>
      <t>구하는</t>
    </r>
    <r>
      <rPr>
        <b/>
        <sz val="11"/>
        <color theme="1"/>
        <rFont val="Times New Roman"/>
        <family val="1"/>
      </rPr>
      <t xml:space="preserve"> </t>
    </r>
    <r>
      <rPr>
        <b/>
        <sz val="11"/>
        <color theme="1"/>
        <rFont val="나눔고딕"/>
        <family val="3"/>
        <charset val="129"/>
      </rPr>
      <t>하나의</t>
    </r>
    <r>
      <rPr>
        <b/>
        <sz val="11"/>
        <color theme="1"/>
        <rFont val="Times New Roman"/>
        <family val="1"/>
      </rPr>
      <t xml:space="preserve"> </t>
    </r>
    <r>
      <rPr>
        <b/>
        <sz val="11"/>
        <color theme="1"/>
        <rFont val="나눔고딕"/>
        <family val="3"/>
        <charset val="129"/>
      </rPr>
      <t>방법이며</t>
    </r>
    <r>
      <rPr>
        <b/>
        <sz val="11"/>
        <color theme="1"/>
        <rFont val="Times New Roman"/>
        <family val="1"/>
      </rPr>
      <t xml:space="preserve">, </t>
    </r>
    <r>
      <rPr>
        <sz val="11"/>
        <color theme="1"/>
        <rFont val="Times New Roman"/>
        <family val="1"/>
      </rPr>
      <t xml:space="preserve">"CVSS Base Score(Impact </t>
    </r>
    <r>
      <rPr>
        <sz val="11"/>
        <color theme="1"/>
        <rFont val="나눔고딕"/>
        <family val="3"/>
        <charset val="129"/>
      </rPr>
      <t>서브메트릭</t>
    </r>
    <r>
      <rPr>
        <sz val="11"/>
        <color theme="1"/>
        <rFont val="Times New Roman"/>
        <family val="1"/>
      </rPr>
      <t xml:space="preserve"> C/I/A</t>
    </r>
    <r>
      <rPr>
        <sz val="11"/>
        <color theme="1"/>
        <rFont val="나눔고딕"/>
        <family val="3"/>
        <charset val="129"/>
      </rPr>
      <t>까지</t>
    </r>
    <r>
      <rPr>
        <sz val="11"/>
        <color theme="1"/>
        <rFont val="Times New Roman"/>
        <family val="1"/>
      </rPr>
      <t xml:space="preserve"> </t>
    </r>
    <r>
      <rPr>
        <sz val="11"/>
        <color theme="1"/>
        <rFont val="나눔고딕"/>
        <family val="3"/>
        <charset val="129"/>
      </rPr>
      <t>섞인</t>
    </r>
    <r>
      <rPr>
        <sz val="11"/>
        <color theme="1"/>
        <rFont val="Times New Roman"/>
        <family val="1"/>
      </rPr>
      <t xml:space="preserve"> </t>
    </r>
    <r>
      <rPr>
        <sz val="11"/>
        <color theme="1"/>
        <rFont val="나눔고딕"/>
        <family val="3"/>
        <charset val="129"/>
      </rPr>
      <t>전체</t>
    </r>
    <r>
      <rPr>
        <sz val="11"/>
        <color theme="1"/>
        <rFont val="Times New Roman"/>
        <family val="1"/>
      </rPr>
      <t xml:space="preserve"> </t>
    </r>
    <r>
      <rPr>
        <sz val="11"/>
        <color theme="1"/>
        <rFont val="나눔고딕"/>
        <family val="3"/>
        <charset val="129"/>
      </rPr>
      <t>점수</t>
    </r>
    <r>
      <rPr>
        <sz val="11"/>
        <color theme="1"/>
        <rFont val="Times New Roman"/>
        <family val="1"/>
      </rPr>
      <t>)"</t>
    </r>
    <r>
      <rPr>
        <sz val="11"/>
        <color theme="1"/>
        <rFont val="나눔고딕"/>
        <family val="3"/>
        <charset val="129"/>
      </rPr>
      <t>를</t>
    </r>
    <r>
      <rPr>
        <sz val="11"/>
        <color theme="1"/>
        <rFont val="Times New Roman"/>
        <family val="1"/>
      </rPr>
      <t xml:space="preserve"> AFR</t>
    </r>
    <r>
      <rPr>
        <sz val="11"/>
        <color theme="1"/>
        <rFont val="나눔고딕"/>
        <family val="3"/>
        <charset val="129"/>
      </rPr>
      <t>로</t>
    </r>
    <r>
      <rPr>
        <sz val="11"/>
        <color theme="1"/>
        <rFont val="Times New Roman"/>
        <family val="1"/>
      </rPr>
      <t xml:space="preserve"> </t>
    </r>
    <r>
      <rPr>
        <sz val="11"/>
        <color theme="1"/>
        <rFont val="나눔고딕"/>
        <family val="3"/>
        <charset val="129"/>
      </rPr>
      <t>쓰면</t>
    </r>
    <r>
      <rPr>
        <sz val="11"/>
        <color theme="1"/>
        <rFont val="Times New Roman"/>
        <family val="1"/>
      </rPr>
      <t xml:space="preserve"> </t>
    </r>
    <r>
      <rPr>
        <sz val="11"/>
        <color theme="1"/>
        <rFont val="나눔고딕"/>
        <family val="3"/>
        <charset val="129"/>
      </rPr>
      <t>안되지만</t>
    </r>
    <r>
      <rPr>
        <sz val="11"/>
        <color theme="1"/>
        <rFont val="Times New Roman"/>
        <family val="1"/>
      </rPr>
      <t xml:space="preserve">, </t>
    </r>
    <r>
      <rPr>
        <sz val="11"/>
        <color theme="1"/>
        <rFont val="나눔고딕"/>
        <family val="3"/>
        <charset val="129"/>
      </rPr>
      <t>배제의</t>
    </r>
    <r>
      <rPr>
        <sz val="11"/>
        <color theme="1"/>
        <rFont val="Times New Roman"/>
        <family val="1"/>
      </rPr>
      <t xml:space="preserve"> </t>
    </r>
    <r>
      <rPr>
        <sz val="11"/>
        <color theme="1"/>
        <rFont val="나눔고딕"/>
        <family val="3"/>
        <charset val="129"/>
      </rPr>
      <t>의미가</t>
    </r>
    <r>
      <rPr>
        <sz val="11"/>
        <color theme="1"/>
        <rFont val="Times New Roman"/>
        <family val="1"/>
      </rPr>
      <t xml:space="preserve"> </t>
    </r>
    <r>
      <rPr>
        <sz val="11"/>
        <color theme="1"/>
        <rFont val="나눔고딕"/>
        <family val="3"/>
        <charset val="129"/>
      </rPr>
      <t>아님에</t>
    </r>
    <r>
      <rPr>
        <sz val="11"/>
        <color theme="1"/>
        <rFont val="Times New Roman"/>
        <family val="1"/>
      </rPr>
      <t xml:space="preserve"> </t>
    </r>
    <r>
      <rPr>
        <sz val="11"/>
        <color theme="1"/>
        <rFont val="나눔고딕"/>
        <family val="3"/>
        <charset val="129"/>
      </rPr>
      <t>유의</t>
    </r>
    <r>
      <rPr>
        <sz val="11"/>
        <color theme="1"/>
        <rFont val="Times New Roman"/>
        <family val="1"/>
      </rPr>
      <t>!</t>
    </r>
    <r>
      <rPr>
        <sz val="11"/>
        <color theme="1"/>
        <rFont val="돋움"/>
        <family val="3"/>
        <charset val="129"/>
      </rPr>
      <t/>
    </r>
    <phoneticPr fontId="6" type="noConversion"/>
  </si>
  <si>
    <r>
      <rPr>
        <b/>
        <sz val="12"/>
        <color theme="1"/>
        <rFont val="나눔고딕"/>
        <family val="3"/>
        <charset val="129"/>
      </rPr>
      <t>▶</t>
    </r>
    <r>
      <rPr>
        <b/>
        <sz val="12"/>
        <color theme="1"/>
        <rFont val="Times New Roman"/>
        <family val="1"/>
      </rPr>
      <t xml:space="preserve"> </t>
    </r>
    <r>
      <rPr>
        <b/>
        <sz val="12"/>
        <color theme="1"/>
        <rFont val="나눔고딕"/>
        <family val="3"/>
        <charset val="129"/>
      </rPr>
      <t>취약점</t>
    </r>
    <r>
      <rPr>
        <b/>
        <sz val="12"/>
        <color theme="1"/>
        <rFont val="Times New Roman"/>
        <family val="1"/>
      </rPr>
      <t xml:space="preserve"> </t>
    </r>
    <r>
      <rPr>
        <b/>
        <sz val="12"/>
        <color theme="1"/>
        <rFont val="나눔고딕"/>
        <family val="3"/>
        <charset val="129"/>
      </rPr>
      <t>분석에서</t>
    </r>
    <r>
      <rPr>
        <b/>
        <sz val="12"/>
        <color theme="1"/>
        <rFont val="Times New Roman"/>
        <family val="1"/>
      </rPr>
      <t xml:space="preserve"> TARA </t>
    </r>
    <r>
      <rPr>
        <b/>
        <sz val="12"/>
        <color theme="1"/>
        <rFont val="나눔고딕"/>
        <family val="3"/>
        <charset val="129"/>
      </rPr>
      <t>관련</t>
    </r>
    <r>
      <rPr>
        <b/>
        <sz val="12"/>
        <color theme="1"/>
        <rFont val="Times New Roman"/>
        <family val="1"/>
      </rPr>
      <t xml:space="preserve"> </t>
    </r>
    <r>
      <rPr>
        <b/>
        <sz val="12"/>
        <color theme="1"/>
        <rFont val="나눔고딕"/>
        <family val="3"/>
        <charset val="129"/>
      </rPr>
      <t>데이터가</t>
    </r>
    <r>
      <rPr>
        <b/>
        <sz val="12"/>
        <color theme="1"/>
        <rFont val="Times New Roman"/>
        <family val="1"/>
      </rPr>
      <t xml:space="preserve"> </t>
    </r>
    <r>
      <rPr>
        <b/>
        <sz val="12"/>
        <color theme="1"/>
        <rFont val="나눔고딕"/>
        <family val="3"/>
        <charset val="129"/>
      </rPr>
      <t>필요한</t>
    </r>
    <r>
      <rPr>
        <b/>
        <sz val="12"/>
        <color theme="1"/>
        <rFont val="Times New Roman"/>
        <family val="1"/>
      </rPr>
      <t xml:space="preserve"> </t>
    </r>
    <r>
      <rPr>
        <b/>
        <sz val="12"/>
        <color theme="1"/>
        <rFont val="나눔고딕"/>
        <family val="3"/>
        <charset val="129"/>
      </rPr>
      <t>배경</t>
    </r>
    <phoneticPr fontId="6" type="noConversion"/>
  </si>
  <si>
    <r>
      <rPr>
        <b/>
        <sz val="11"/>
        <color theme="1"/>
        <rFont val="나눔고딕"/>
        <family val="3"/>
        <charset val="129"/>
      </rPr>
      <t>컬럼</t>
    </r>
  </si>
  <si>
    <r>
      <rPr>
        <b/>
        <sz val="11"/>
        <color theme="1"/>
        <rFont val="나눔고딕"/>
        <family val="3"/>
        <charset val="129"/>
      </rPr>
      <t>존재</t>
    </r>
    <r>
      <rPr>
        <b/>
        <sz val="11"/>
        <color theme="1"/>
        <rFont val="Times New Roman"/>
        <family val="1"/>
      </rPr>
      <t xml:space="preserve"> </t>
    </r>
    <r>
      <rPr>
        <b/>
        <sz val="11"/>
        <color theme="1"/>
        <rFont val="나눔고딕"/>
        <family val="3"/>
        <charset val="129"/>
      </rPr>
      <t>이유</t>
    </r>
  </si>
  <si>
    <r>
      <rPr>
        <b/>
        <sz val="11"/>
        <color theme="1"/>
        <rFont val="나눔고딕"/>
        <family val="3"/>
        <charset val="129"/>
      </rPr>
      <t>최종</t>
    </r>
    <r>
      <rPr>
        <b/>
        <sz val="11"/>
        <color theme="1"/>
        <rFont val="Times New Roman"/>
        <family val="1"/>
      </rPr>
      <t xml:space="preserve"> </t>
    </r>
    <r>
      <rPr>
        <b/>
        <sz val="11"/>
        <color theme="1"/>
        <rFont val="나눔고딕"/>
        <family val="3"/>
        <charset val="129"/>
      </rPr>
      <t>판단</t>
    </r>
    <phoneticPr fontId="6" type="noConversion"/>
  </si>
  <si>
    <r>
      <t>AFR_Screening (CVSS 1</t>
    </r>
    <r>
      <rPr>
        <b/>
        <sz val="11"/>
        <color theme="1"/>
        <rFont val="나눔고딕"/>
        <family val="3"/>
        <charset val="129"/>
      </rPr>
      <t>차</t>
    </r>
    <r>
      <rPr>
        <b/>
        <sz val="11"/>
        <color theme="1"/>
        <rFont val="Times New Roman"/>
        <family val="1"/>
      </rPr>
      <t>)</t>
    </r>
  </si>
  <si>
    <r>
      <rPr>
        <sz val="11"/>
        <color theme="1"/>
        <rFont val="나눔고딕"/>
        <family val="3"/>
        <charset val="129"/>
      </rPr>
      <t>정식</t>
    </r>
    <r>
      <rPr>
        <sz val="11"/>
        <color theme="1"/>
        <rFont val="Times New Roman"/>
        <family val="1"/>
      </rPr>
      <t xml:space="preserve"> AFR </t>
    </r>
    <r>
      <rPr>
        <sz val="11"/>
        <color theme="1"/>
        <rFont val="나눔고딕"/>
        <family val="3"/>
        <charset val="129"/>
      </rPr>
      <t>산정</t>
    </r>
    <r>
      <rPr>
        <sz val="11"/>
        <color theme="1"/>
        <rFont val="Times New Roman"/>
        <family val="1"/>
      </rPr>
      <t xml:space="preserve"> </t>
    </r>
    <r>
      <rPr>
        <sz val="11"/>
        <color theme="1"/>
        <rFont val="나눔고딕"/>
        <family val="3"/>
        <charset val="129"/>
      </rPr>
      <t>전에</t>
    </r>
    <r>
      <rPr>
        <sz val="11"/>
        <color theme="1"/>
        <rFont val="Times New Roman"/>
        <family val="1"/>
      </rPr>
      <t xml:space="preserve"> CVSS</t>
    </r>
    <r>
      <rPr>
        <sz val="11"/>
        <color theme="1"/>
        <rFont val="나눔고딕"/>
        <family val="3"/>
        <charset val="129"/>
      </rPr>
      <t>로</t>
    </r>
    <r>
      <rPr>
        <sz val="11"/>
        <color theme="1"/>
        <rFont val="Times New Roman"/>
        <family val="1"/>
      </rPr>
      <t xml:space="preserve"> </t>
    </r>
    <r>
      <rPr>
        <b/>
        <sz val="11"/>
        <color theme="1"/>
        <rFont val="나눔고딕"/>
        <family val="3"/>
        <charset val="129"/>
      </rPr>
      <t>거칠게</t>
    </r>
    <r>
      <rPr>
        <b/>
        <sz val="11"/>
        <color theme="1"/>
        <rFont val="Times New Roman"/>
        <family val="1"/>
      </rPr>
      <t xml:space="preserve"> 1</t>
    </r>
    <r>
      <rPr>
        <b/>
        <sz val="11"/>
        <color theme="1"/>
        <rFont val="나눔고딕"/>
        <family val="3"/>
        <charset val="129"/>
      </rPr>
      <t>차</t>
    </r>
    <r>
      <rPr>
        <b/>
        <sz val="11"/>
        <color theme="1"/>
        <rFont val="Times New Roman"/>
        <family val="1"/>
      </rPr>
      <t xml:space="preserve"> </t>
    </r>
    <r>
      <rPr>
        <b/>
        <sz val="11"/>
        <color theme="1"/>
        <rFont val="나눔고딕"/>
        <family val="3"/>
        <charset val="129"/>
      </rPr>
      <t>스크리닝</t>
    </r>
    <r>
      <rPr>
        <sz val="11"/>
        <color theme="1"/>
        <rFont val="Times New Roman"/>
        <family val="1"/>
      </rPr>
      <t>(</t>
    </r>
    <r>
      <rPr>
        <sz val="11"/>
        <color theme="1"/>
        <rFont val="나눔고딕"/>
        <family val="3"/>
        <charset val="129"/>
      </rPr>
      <t>이걸</t>
    </r>
    <r>
      <rPr>
        <sz val="11"/>
        <color theme="1"/>
        <rFont val="Times New Roman"/>
        <family val="1"/>
      </rPr>
      <t xml:space="preserve"> </t>
    </r>
    <r>
      <rPr>
        <sz val="11"/>
        <color theme="1"/>
        <rFont val="나눔고딕"/>
        <family val="3"/>
        <charset val="129"/>
      </rPr>
      <t>굳이</t>
    </r>
    <r>
      <rPr>
        <sz val="11"/>
        <color theme="1"/>
        <rFont val="Times New Roman"/>
        <family val="1"/>
      </rPr>
      <t xml:space="preserve"> </t>
    </r>
    <r>
      <rPr>
        <sz val="11"/>
        <color theme="1"/>
        <rFont val="나눔고딕"/>
        <family val="3"/>
        <charset val="129"/>
      </rPr>
      <t>정밀</t>
    </r>
    <r>
      <rPr>
        <sz val="11"/>
        <color theme="1"/>
        <rFont val="Times New Roman"/>
        <family val="1"/>
      </rPr>
      <t xml:space="preserve"> </t>
    </r>
    <r>
      <rPr>
        <sz val="11"/>
        <color theme="1"/>
        <rFont val="나눔고딕"/>
        <family val="3"/>
        <charset val="129"/>
      </rPr>
      <t>분석까지</t>
    </r>
    <r>
      <rPr>
        <sz val="11"/>
        <color theme="1"/>
        <rFont val="Times New Roman"/>
        <family val="1"/>
      </rPr>
      <t xml:space="preserve"> </t>
    </r>
    <r>
      <rPr>
        <sz val="11"/>
        <color theme="1"/>
        <rFont val="나눔고딕"/>
        <family val="3"/>
        <charset val="129"/>
      </rPr>
      <t>갈</t>
    </r>
    <r>
      <rPr>
        <sz val="11"/>
        <color theme="1"/>
        <rFont val="Times New Roman"/>
        <family val="1"/>
      </rPr>
      <t xml:space="preserve"> </t>
    </r>
    <r>
      <rPr>
        <sz val="11"/>
        <color theme="1"/>
        <rFont val="나눔고딕"/>
        <family val="3"/>
        <charset val="129"/>
      </rPr>
      <t>가치가</t>
    </r>
    <r>
      <rPr>
        <sz val="11"/>
        <color theme="1"/>
        <rFont val="Times New Roman"/>
        <family val="1"/>
      </rPr>
      <t xml:space="preserve"> </t>
    </r>
    <r>
      <rPr>
        <sz val="11"/>
        <color theme="1"/>
        <rFont val="나눔고딕"/>
        <family val="3"/>
        <charset val="129"/>
      </rPr>
      <t>있는</t>
    </r>
    <r>
      <rPr>
        <sz val="11"/>
        <color theme="1"/>
        <rFont val="Times New Roman"/>
        <family val="1"/>
      </rPr>
      <t xml:space="preserve"> </t>
    </r>
    <r>
      <rPr>
        <sz val="11"/>
        <color theme="1"/>
        <rFont val="나눔고딕"/>
        <family val="3"/>
        <charset val="129"/>
      </rPr>
      <t>건인지</t>
    </r>
    <r>
      <rPr>
        <sz val="11"/>
        <color theme="1"/>
        <rFont val="Times New Roman"/>
        <family val="1"/>
      </rPr>
      <t xml:space="preserve"> </t>
    </r>
    <r>
      <rPr>
        <sz val="11"/>
        <color theme="1"/>
        <rFont val="나눔고딕"/>
        <family val="3"/>
        <charset val="129"/>
      </rPr>
      <t>필터링</t>
    </r>
    <r>
      <rPr>
        <sz val="11"/>
        <color theme="1"/>
        <rFont val="Times New Roman"/>
        <family val="1"/>
      </rPr>
      <t>)</t>
    </r>
    <r>
      <rPr>
        <sz val="11"/>
        <color theme="1"/>
        <rFont val="나눔고딕"/>
        <family val="3"/>
        <charset val="129"/>
      </rPr>
      <t>하는</t>
    </r>
    <r>
      <rPr>
        <sz val="11"/>
        <color theme="1"/>
        <rFont val="Times New Roman"/>
        <family val="1"/>
      </rPr>
      <t xml:space="preserve"> </t>
    </r>
    <r>
      <rPr>
        <sz val="11"/>
        <color theme="1"/>
        <rFont val="나눔고딕"/>
        <family val="3"/>
        <charset val="129"/>
      </rPr>
      <t>용도</t>
    </r>
    <r>
      <rPr>
        <sz val="11"/>
        <color theme="1"/>
        <rFont val="Times New Roman"/>
        <family val="1"/>
      </rPr>
      <t>. "1</t>
    </r>
    <r>
      <rPr>
        <sz val="11"/>
        <color theme="1"/>
        <rFont val="나눔고딕"/>
        <family val="3"/>
        <charset val="129"/>
      </rPr>
      <t>차</t>
    </r>
    <r>
      <rPr>
        <sz val="11"/>
        <color theme="1"/>
        <rFont val="Times New Roman"/>
        <family val="1"/>
      </rPr>
      <t>"</t>
    </r>
    <r>
      <rPr>
        <sz val="11"/>
        <color theme="1"/>
        <rFont val="나눔고딕"/>
        <family val="3"/>
        <charset val="129"/>
      </rPr>
      <t>라는</t>
    </r>
    <r>
      <rPr>
        <sz val="11"/>
        <color theme="1"/>
        <rFont val="Times New Roman"/>
        <family val="1"/>
      </rPr>
      <t xml:space="preserve"> </t>
    </r>
    <r>
      <rPr>
        <sz val="11"/>
        <color theme="1"/>
        <rFont val="나눔고딕"/>
        <family val="3"/>
        <charset val="129"/>
      </rPr>
      <t>이름</t>
    </r>
    <r>
      <rPr>
        <sz val="11"/>
        <color theme="1"/>
        <rFont val="Times New Roman"/>
        <family val="1"/>
      </rPr>
      <t xml:space="preserve"> </t>
    </r>
    <r>
      <rPr>
        <sz val="11"/>
        <color theme="1"/>
        <rFont val="나눔고딕"/>
        <family val="3"/>
        <charset val="129"/>
      </rPr>
      <t>자체가</t>
    </r>
    <r>
      <rPr>
        <sz val="11"/>
        <color theme="1"/>
        <rFont val="Times New Roman"/>
        <family val="1"/>
      </rPr>
      <t xml:space="preserve"> "</t>
    </r>
    <r>
      <rPr>
        <sz val="11"/>
        <color theme="1"/>
        <rFont val="나눔고딕"/>
        <family val="3"/>
        <charset val="129"/>
      </rPr>
      <t>이건</t>
    </r>
    <r>
      <rPr>
        <sz val="11"/>
        <color theme="1"/>
        <rFont val="Times New Roman"/>
        <family val="1"/>
      </rPr>
      <t xml:space="preserve"> </t>
    </r>
    <r>
      <rPr>
        <sz val="11"/>
        <color theme="1"/>
        <rFont val="나눔고딕"/>
        <family val="3"/>
        <charset val="129"/>
      </rPr>
      <t>최종</t>
    </r>
    <r>
      <rPr>
        <sz val="11"/>
        <color theme="1"/>
        <rFont val="Times New Roman"/>
        <family val="1"/>
      </rPr>
      <t xml:space="preserve"> AFR</t>
    </r>
    <r>
      <rPr>
        <sz val="11"/>
        <color theme="1"/>
        <rFont val="나눔고딕"/>
        <family val="3"/>
        <charset val="129"/>
      </rPr>
      <t>이</t>
    </r>
    <r>
      <rPr>
        <sz val="11"/>
        <color theme="1"/>
        <rFont val="Times New Roman"/>
        <family val="1"/>
      </rPr>
      <t xml:space="preserve"> </t>
    </r>
    <r>
      <rPr>
        <sz val="11"/>
        <color theme="1"/>
        <rFont val="나눔고딕"/>
        <family val="3"/>
        <charset val="129"/>
      </rPr>
      <t>아니다</t>
    </r>
    <r>
      <rPr>
        <sz val="11"/>
        <color theme="1"/>
        <rFont val="Times New Roman"/>
        <family val="1"/>
      </rPr>
      <t>"</t>
    </r>
    <r>
      <rPr>
        <sz val="11"/>
        <color theme="1"/>
        <rFont val="나눔고딕"/>
        <family val="3"/>
        <charset val="129"/>
      </rPr>
      <t>를</t>
    </r>
    <r>
      <rPr>
        <sz val="11"/>
        <color theme="1"/>
        <rFont val="Times New Roman"/>
        <family val="1"/>
      </rPr>
      <t xml:space="preserve"> </t>
    </r>
    <r>
      <rPr>
        <sz val="11"/>
        <color theme="1"/>
        <rFont val="나눔고딕"/>
        <family val="3"/>
        <charset val="129"/>
      </rPr>
      <t>의미합니다</t>
    </r>
  </si>
  <si>
    <r>
      <t xml:space="preserve">AFR_Method (TAGS </t>
    </r>
    <r>
      <rPr>
        <b/>
        <sz val="11"/>
        <color theme="1"/>
        <rFont val="나눔고딕"/>
        <family val="3"/>
        <charset val="129"/>
      </rPr>
      <t>연동</t>
    </r>
    <r>
      <rPr>
        <b/>
        <sz val="11"/>
        <color theme="1"/>
        <rFont val="Times New Roman"/>
        <family val="1"/>
      </rPr>
      <t>)</t>
    </r>
  </si>
  <si>
    <r>
      <rPr>
        <sz val="11"/>
        <color theme="1"/>
        <rFont val="나눔고딕"/>
        <family val="3"/>
        <charset val="129"/>
      </rPr>
      <t>스크리닝을</t>
    </r>
    <r>
      <rPr>
        <sz val="11"/>
        <color theme="1"/>
        <rFont val="Times New Roman"/>
        <family val="1"/>
      </rPr>
      <t xml:space="preserve"> </t>
    </r>
    <r>
      <rPr>
        <sz val="11"/>
        <color theme="1"/>
        <rFont val="나눔고딕"/>
        <family val="3"/>
        <charset val="129"/>
      </rPr>
      <t>통과한</t>
    </r>
    <r>
      <rPr>
        <sz val="11"/>
        <color theme="1"/>
        <rFont val="Times New Roman"/>
        <family val="1"/>
      </rPr>
      <t xml:space="preserve"> </t>
    </r>
    <r>
      <rPr>
        <sz val="11"/>
        <color theme="1"/>
        <rFont val="나눔고딕"/>
        <family val="3"/>
        <charset val="129"/>
      </rPr>
      <t>건에</t>
    </r>
    <r>
      <rPr>
        <sz val="11"/>
        <color theme="1"/>
        <rFont val="Times New Roman"/>
        <family val="1"/>
      </rPr>
      <t xml:space="preserve"> </t>
    </r>
    <r>
      <rPr>
        <sz val="11"/>
        <color theme="1"/>
        <rFont val="나눔고딕"/>
        <family val="3"/>
        <charset val="129"/>
      </rPr>
      <t>대해</t>
    </r>
    <r>
      <rPr>
        <sz val="11"/>
        <color theme="1"/>
        <rFont val="Times New Roman"/>
        <family val="1"/>
      </rPr>
      <t xml:space="preserve"> </t>
    </r>
    <r>
      <rPr>
        <b/>
        <sz val="11"/>
        <color theme="1"/>
        <rFont val="나눔고딕"/>
        <family val="3"/>
        <charset val="129"/>
      </rPr>
      <t>정식으로</t>
    </r>
    <r>
      <rPr>
        <b/>
        <sz val="11"/>
        <color theme="1"/>
        <rFont val="Times New Roman"/>
        <family val="1"/>
      </rPr>
      <t xml:space="preserve"> </t>
    </r>
    <r>
      <rPr>
        <b/>
        <sz val="11"/>
        <color theme="1"/>
        <rFont val="나눔고딕"/>
        <family val="3"/>
        <charset val="129"/>
      </rPr>
      <t>어떤</t>
    </r>
    <r>
      <rPr>
        <b/>
        <sz val="11"/>
        <color theme="1"/>
        <rFont val="Times New Roman"/>
        <family val="1"/>
      </rPr>
      <t xml:space="preserve"> </t>
    </r>
    <r>
      <rPr>
        <b/>
        <sz val="11"/>
        <color theme="1"/>
        <rFont val="나눔고딕"/>
        <family val="3"/>
        <charset val="129"/>
      </rPr>
      <t>방법으로</t>
    </r>
    <r>
      <rPr>
        <b/>
        <sz val="11"/>
        <color theme="1"/>
        <rFont val="Times New Roman"/>
        <family val="1"/>
      </rPr>
      <t xml:space="preserve"> AFR</t>
    </r>
    <r>
      <rPr>
        <b/>
        <sz val="11"/>
        <color theme="1"/>
        <rFont val="나눔고딕"/>
        <family val="3"/>
        <charset val="129"/>
      </rPr>
      <t>을</t>
    </r>
    <r>
      <rPr>
        <b/>
        <sz val="11"/>
        <color theme="1"/>
        <rFont val="Times New Roman"/>
        <family val="1"/>
      </rPr>
      <t xml:space="preserve"> </t>
    </r>
    <r>
      <rPr>
        <b/>
        <sz val="11"/>
        <color theme="1"/>
        <rFont val="나눔고딕"/>
        <family val="3"/>
        <charset val="129"/>
      </rPr>
      <t>산출했는지</t>
    </r>
    <r>
      <rPr>
        <sz val="11"/>
        <color theme="1"/>
        <rFont val="Times New Roman"/>
        <family val="1"/>
      </rPr>
      <t xml:space="preserve"> </t>
    </r>
    <r>
      <rPr>
        <sz val="11"/>
        <color theme="1"/>
        <rFont val="나눔고딕"/>
        <family val="3"/>
        <charset val="129"/>
      </rPr>
      <t>기록</t>
    </r>
    <r>
      <rPr>
        <sz val="11"/>
        <color theme="1"/>
        <rFont val="Times New Roman"/>
        <family val="1"/>
      </rPr>
      <t xml:space="preserve"> — </t>
    </r>
    <r>
      <rPr>
        <sz val="11"/>
        <color theme="1"/>
        <rFont val="나눔고딕"/>
        <family val="3"/>
        <charset val="129"/>
      </rPr>
      <t>기존</t>
    </r>
    <r>
      <rPr>
        <sz val="11"/>
        <color theme="1"/>
        <rFont val="Times New Roman"/>
        <family val="1"/>
      </rPr>
      <t xml:space="preserve"> TARA</t>
    </r>
    <r>
      <rPr>
        <sz val="11"/>
        <color theme="1"/>
        <rFont val="나눔고딕"/>
        <family val="3"/>
        <charset val="129"/>
      </rPr>
      <t>와</t>
    </r>
    <r>
      <rPr>
        <sz val="11"/>
        <color theme="1"/>
        <rFont val="Times New Roman"/>
        <family val="1"/>
      </rPr>
      <t xml:space="preserve"> </t>
    </r>
    <r>
      <rPr>
        <sz val="11"/>
        <color theme="1"/>
        <rFont val="나눔고딕"/>
        <family val="3"/>
        <charset val="129"/>
      </rPr>
      <t>척도</t>
    </r>
    <r>
      <rPr>
        <sz val="11"/>
        <color theme="1"/>
        <rFont val="Times New Roman"/>
        <family val="1"/>
      </rPr>
      <t>/</t>
    </r>
    <r>
      <rPr>
        <sz val="11"/>
        <color theme="1"/>
        <rFont val="나눔고딕"/>
        <family val="3"/>
        <charset val="129"/>
      </rPr>
      <t>방법론을</t>
    </r>
    <r>
      <rPr>
        <sz val="11"/>
        <color theme="1"/>
        <rFont val="Times New Roman"/>
        <family val="1"/>
      </rPr>
      <t xml:space="preserve"> </t>
    </r>
    <r>
      <rPr>
        <sz val="11"/>
        <color theme="1"/>
        <rFont val="나눔고딕"/>
        <family val="3"/>
        <charset val="129"/>
      </rPr>
      <t>일치시켜야</t>
    </r>
    <r>
      <rPr>
        <sz val="11"/>
        <color theme="1"/>
        <rFont val="Times New Roman"/>
        <family val="1"/>
      </rPr>
      <t xml:space="preserve"> </t>
    </r>
    <r>
      <rPr>
        <sz val="11"/>
        <color theme="1"/>
        <rFont val="나눔고딕"/>
        <family val="3"/>
        <charset val="129"/>
      </rPr>
      <t>감사</t>
    </r>
    <r>
      <rPr>
        <sz val="11"/>
        <color theme="1"/>
        <rFont val="Times New Roman"/>
        <family val="1"/>
      </rPr>
      <t xml:space="preserve">(audit) </t>
    </r>
    <r>
      <rPr>
        <sz val="11"/>
        <color theme="1"/>
        <rFont val="나눔고딕"/>
        <family val="3"/>
        <charset val="129"/>
      </rPr>
      <t>시</t>
    </r>
    <r>
      <rPr>
        <sz val="11"/>
        <color theme="1"/>
        <rFont val="Times New Roman"/>
        <family val="1"/>
      </rPr>
      <t xml:space="preserve"> </t>
    </r>
    <r>
      <rPr>
        <sz val="11"/>
        <color theme="1"/>
        <rFont val="나눔고딕"/>
        <family val="3"/>
        <charset val="129"/>
      </rPr>
      <t>일관성이</t>
    </r>
    <r>
      <rPr>
        <sz val="11"/>
        <color theme="1"/>
        <rFont val="Times New Roman"/>
        <family val="1"/>
      </rPr>
      <t xml:space="preserve"> </t>
    </r>
    <r>
      <rPr>
        <sz val="11"/>
        <color theme="1"/>
        <rFont val="나눔고딕"/>
        <family val="3"/>
        <charset val="129"/>
      </rPr>
      <t>유지되기</t>
    </r>
    <r>
      <rPr>
        <sz val="11"/>
        <color theme="1"/>
        <rFont val="Times New Roman"/>
        <family val="1"/>
      </rPr>
      <t xml:space="preserve"> </t>
    </r>
    <r>
      <rPr>
        <sz val="11"/>
        <color theme="1"/>
        <rFont val="나눔고딕"/>
        <family val="3"/>
        <charset val="129"/>
      </rPr>
      <t>때문</t>
    </r>
  </si>
  <si>
    <r>
      <t xml:space="preserve">CVSS </t>
    </r>
    <r>
      <rPr>
        <sz val="11"/>
        <color theme="1"/>
        <rFont val="나눔고딕"/>
        <family val="3"/>
        <charset val="129"/>
      </rPr>
      <t>기반</t>
    </r>
    <r>
      <rPr>
        <sz val="11"/>
        <color theme="1"/>
        <rFont val="Times New Roman"/>
        <family val="1"/>
      </rPr>
      <t xml:space="preserve"> AFR </t>
    </r>
    <r>
      <rPr>
        <sz val="11"/>
        <color theme="1"/>
        <rFont val="나눔고딕"/>
        <family val="3"/>
        <charset val="129"/>
      </rPr>
      <t>산출</t>
    </r>
    <r>
      <rPr>
        <sz val="11"/>
        <color theme="1"/>
        <rFont val="Times New Roman"/>
        <family val="1"/>
      </rPr>
      <t xml:space="preserve"> </t>
    </r>
    <r>
      <rPr>
        <sz val="11"/>
        <color theme="1"/>
        <rFont val="나눔고딕"/>
        <family val="3"/>
        <charset val="129"/>
      </rPr>
      <t>여부만</t>
    </r>
    <r>
      <rPr>
        <sz val="11"/>
        <color theme="1"/>
        <rFont val="Times New Roman"/>
        <family val="1"/>
      </rPr>
      <t xml:space="preserve"> </t>
    </r>
    <r>
      <rPr>
        <sz val="11"/>
        <color theme="1"/>
        <rFont val="나눔고딕"/>
        <family val="3"/>
        <charset val="129"/>
      </rPr>
      <t>참조</t>
    </r>
    <r>
      <rPr>
        <sz val="11"/>
        <color theme="1"/>
        <rFont val="Times New Roman"/>
        <family val="1"/>
      </rPr>
      <t xml:space="preserve">. </t>
    </r>
    <r>
      <rPr>
        <sz val="11"/>
        <color theme="1"/>
        <rFont val="나눔고딕"/>
        <family val="3"/>
        <charset val="129"/>
      </rPr>
      <t>중요도는</t>
    </r>
    <r>
      <rPr>
        <sz val="11"/>
        <color theme="1"/>
        <rFont val="Times New Roman"/>
        <family val="1"/>
      </rPr>
      <t xml:space="preserve"> </t>
    </r>
    <r>
      <rPr>
        <sz val="11"/>
        <color theme="1"/>
        <rFont val="나눔고딕"/>
        <family val="3"/>
        <charset val="129"/>
      </rPr>
      <t>낮음</t>
    </r>
    <phoneticPr fontId="6" type="noConversion"/>
  </si>
  <si>
    <r>
      <t xml:space="preserve">Risk </t>
    </r>
    <r>
      <rPr>
        <sz val="11"/>
        <color theme="1"/>
        <rFont val="나눔고딕"/>
        <family val="3"/>
        <charset val="129"/>
      </rPr>
      <t>산정에</t>
    </r>
    <r>
      <rPr>
        <sz val="11"/>
        <color theme="1"/>
        <rFont val="Times New Roman"/>
        <family val="1"/>
      </rPr>
      <t xml:space="preserve"> </t>
    </r>
    <r>
      <rPr>
        <sz val="11"/>
        <color theme="1"/>
        <rFont val="나눔고딕"/>
        <family val="3"/>
        <charset val="129"/>
      </rPr>
      <t>필요한</t>
    </r>
    <r>
      <rPr>
        <sz val="11"/>
        <color theme="1"/>
        <rFont val="Times New Roman"/>
        <family val="1"/>
      </rPr>
      <t xml:space="preserve"> </t>
    </r>
    <r>
      <rPr>
        <b/>
        <sz val="11"/>
        <color theme="1"/>
        <rFont val="나눔고딕"/>
        <family val="3"/>
        <charset val="129"/>
      </rPr>
      <t>필수</t>
    </r>
    <r>
      <rPr>
        <b/>
        <sz val="11"/>
        <color theme="1"/>
        <rFont val="Times New Roman"/>
        <family val="1"/>
      </rPr>
      <t xml:space="preserve"> </t>
    </r>
    <r>
      <rPr>
        <b/>
        <sz val="11"/>
        <color theme="1"/>
        <rFont val="나눔고딕"/>
        <family val="3"/>
        <charset val="129"/>
      </rPr>
      <t>입력값</t>
    </r>
    <r>
      <rPr>
        <b/>
        <sz val="11"/>
        <color theme="1"/>
        <rFont val="Times New Roman"/>
        <family val="1"/>
      </rPr>
      <t xml:space="preserve"> </t>
    </r>
    <r>
      <rPr>
        <b/>
        <sz val="11"/>
        <color theme="1"/>
        <rFont val="나눔고딕"/>
        <family val="3"/>
        <charset val="129"/>
      </rPr>
      <t>그</t>
    </r>
    <r>
      <rPr>
        <b/>
        <sz val="11"/>
        <color theme="1"/>
        <rFont val="Times New Roman"/>
        <family val="1"/>
      </rPr>
      <t xml:space="preserve"> </t>
    </r>
    <r>
      <rPr>
        <b/>
        <sz val="11"/>
        <color theme="1"/>
        <rFont val="나눔고딕"/>
        <family val="3"/>
        <charset val="129"/>
      </rPr>
      <t>자체</t>
    </r>
    <r>
      <rPr>
        <sz val="11"/>
        <color theme="1"/>
        <rFont val="Times New Roman"/>
        <family val="1"/>
      </rPr>
      <t xml:space="preserve"> — </t>
    </r>
    <r>
      <rPr>
        <sz val="11"/>
        <color theme="1"/>
        <rFont val="나눔고딕"/>
        <family val="3"/>
        <charset val="129"/>
      </rPr>
      <t>이게</t>
    </r>
    <r>
      <rPr>
        <sz val="11"/>
        <color theme="1"/>
        <rFont val="Times New Roman"/>
        <family val="1"/>
      </rPr>
      <t xml:space="preserve"> </t>
    </r>
    <r>
      <rPr>
        <sz val="11"/>
        <color theme="1"/>
        <rFont val="나눔고딕"/>
        <family val="3"/>
        <charset val="129"/>
      </rPr>
      <t>없으면</t>
    </r>
    <r>
      <rPr>
        <sz val="11"/>
        <color theme="1"/>
        <rFont val="Times New Roman"/>
        <family val="1"/>
      </rPr>
      <t xml:space="preserve"> Risk_Classification</t>
    </r>
    <r>
      <rPr>
        <sz val="11"/>
        <color theme="1"/>
        <rFont val="나눔고딕"/>
        <family val="3"/>
        <charset val="129"/>
      </rPr>
      <t>을</t>
    </r>
    <r>
      <rPr>
        <sz val="11"/>
        <color theme="1"/>
        <rFont val="Times New Roman"/>
        <family val="1"/>
      </rPr>
      <t xml:space="preserve"> </t>
    </r>
    <r>
      <rPr>
        <sz val="11"/>
        <color theme="1"/>
        <rFont val="나눔고딕"/>
        <family val="3"/>
        <charset val="129"/>
      </rPr>
      <t>낼</t>
    </r>
    <r>
      <rPr>
        <sz val="11"/>
        <color theme="1"/>
        <rFont val="Times New Roman"/>
        <family val="1"/>
      </rPr>
      <t xml:space="preserve"> </t>
    </r>
    <r>
      <rPr>
        <sz val="11"/>
        <color theme="1"/>
        <rFont val="나눔고딕"/>
        <family val="3"/>
        <charset val="129"/>
      </rPr>
      <t>수</t>
    </r>
    <r>
      <rPr>
        <sz val="11"/>
        <color theme="1"/>
        <rFont val="Times New Roman"/>
        <family val="1"/>
      </rPr>
      <t xml:space="preserve"> </t>
    </r>
    <r>
      <rPr>
        <sz val="11"/>
        <color theme="1"/>
        <rFont val="나눔고딕"/>
        <family val="3"/>
        <charset val="129"/>
      </rPr>
      <t>없음</t>
    </r>
  </si>
  <si>
    <r>
      <rPr>
        <sz val="11"/>
        <color theme="1"/>
        <rFont val="나눔고딕"/>
        <family val="3"/>
        <charset val="129"/>
      </rPr>
      <t>이미</t>
    </r>
    <r>
      <rPr>
        <sz val="11"/>
        <color theme="1"/>
        <rFont val="Times New Roman"/>
        <family val="1"/>
      </rPr>
      <t xml:space="preserve"> </t>
    </r>
    <r>
      <rPr>
        <sz val="11"/>
        <color theme="1"/>
        <rFont val="나눔고딕"/>
        <family val="3"/>
        <charset val="129"/>
      </rPr>
      <t>모델링된</t>
    </r>
    <r>
      <rPr>
        <sz val="11"/>
        <color theme="1"/>
        <rFont val="Times New Roman"/>
        <family val="1"/>
      </rPr>
      <t xml:space="preserve"> </t>
    </r>
    <r>
      <rPr>
        <sz val="11"/>
        <color theme="1"/>
        <rFont val="나눔고딕"/>
        <family val="3"/>
        <charset val="129"/>
      </rPr>
      <t>위협</t>
    </r>
    <r>
      <rPr>
        <sz val="11"/>
        <color theme="1"/>
        <rFont val="Times New Roman"/>
        <family val="1"/>
      </rPr>
      <t xml:space="preserve"> </t>
    </r>
    <r>
      <rPr>
        <sz val="11"/>
        <color theme="1"/>
        <rFont val="나눔고딕"/>
        <family val="3"/>
        <charset val="129"/>
      </rPr>
      <t>시나리오와</t>
    </r>
    <r>
      <rPr>
        <sz val="11"/>
        <color theme="1"/>
        <rFont val="Times New Roman"/>
        <family val="1"/>
      </rPr>
      <t xml:space="preserve"> </t>
    </r>
    <r>
      <rPr>
        <sz val="11"/>
        <color theme="1"/>
        <rFont val="나눔고딕"/>
        <family val="3"/>
        <charset val="129"/>
      </rPr>
      <t>같은</t>
    </r>
    <r>
      <rPr>
        <sz val="11"/>
        <color theme="1"/>
        <rFont val="Times New Roman"/>
        <family val="1"/>
      </rPr>
      <t xml:space="preserve"> </t>
    </r>
    <r>
      <rPr>
        <sz val="11"/>
        <color theme="1"/>
        <rFont val="나눔고딕"/>
        <family val="3"/>
        <charset val="129"/>
      </rPr>
      <t>공격경로라면</t>
    </r>
    <r>
      <rPr>
        <sz val="11"/>
        <color theme="1"/>
        <rFont val="Times New Roman"/>
        <family val="1"/>
      </rPr>
      <t xml:space="preserve"> </t>
    </r>
    <r>
      <rPr>
        <b/>
        <sz val="11"/>
        <color theme="1"/>
        <rFont val="Times New Roman"/>
        <family val="1"/>
      </rPr>
      <t>AFR</t>
    </r>
    <r>
      <rPr>
        <b/>
        <sz val="11"/>
        <color theme="1"/>
        <rFont val="나눔고딕"/>
        <family val="3"/>
        <charset val="129"/>
      </rPr>
      <t>을</t>
    </r>
    <r>
      <rPr>
        <b/>
        <sz val="11"/>
        <color theme="1"/>
        <rFont val="Times New Roman"/>
        <family val="1"/>
      </rPr>
      <t xml:space="preserve"> </t>
    </r>
    <r>
      <rPr>
        <b/>
        <sz val="11"/>
        <color theme="1"/>
        <rFont val="나눔고딕"/>
        <family val="3"/>
        <charset val="129"/>
      </rPr>
      <t>새로</t>
    </r>
    <r>
      <rPr>
        <b/>
        <sz val="11"/>
        <color theme="1"/>
        <rFont val="Times New Roman"/>
        <family val="1"/>
      </rPr>
      <t xml:space="preserve"> </t>
    </r>
    <r>
      <rPr>
        <b/>
        <sz val="11"/>
        <color theme="1"/>
        <rFont val="나눔고딕"/>
        <family val="3"/>
        <charset val="129"/>
      </rPr>
      <t>구하지</t>
    </r>
    <r>
      <rPr>
        <b/>
        <sz val="11"/>
        <color theme="1"/>
        <rFont val="Times New Roman"/>
        <family val="1"/>
      </rPr>
      <t xml:space="preserve"> </t>
    </r>
    <r>
      <rPr>
        <b/>
        <sz val="11"/>
        <color theme="1"/>
        <rFont val="나눔고딕"/>
        <family val="3"/>
        <charset val="129"/>
      </rPr>
      <t>말고</t>
    </r>
    <r>
      <rPr>
        <b/>
        <sz val="11"/>
        <color theme="1"/>
        <rFont val="Times New Roman"/>
        <family val="1"/>
      </rPr>
      <t xml:space="preserve"> </t>
    </r>
    <r>
      <rPr>
        <b/>
        <sz val="11"/>
        <color theme="1"/>
        <rFont val="나눔고딕"/>
        <family val="3"/>
        <charset val="129"/>
      </rPr>
      <t>기존</t>
    </r>
    <r>
      <rPr>
        <b/>
        <sz val="11"/>
        <color theme="1"/>
        <rFont val="Times New Roman"/>
        <family val="1"/>
      </rPr>
      <t xml:space="preserve"> TARA </t>
    </r>
    <r>
      <rPr>
        <b/>
        <sz val="11"/>
        <color theme="1"/>
        <rFont val="나눔고딕"/>
        <family val="3"/>
        <charset val="129"/>
      </rPr>
      <t>값을</t>
    </r>
    <r>
      <rPr>
        <b/>
        <sz val="11"/>
        <color theme="1"/>
        <rFont val="Times New Roman"/>
        <family val="1"/>
      </rPr>
      <t xml:space="preserve"> </t>
    </r>
    <r>
      <rPr>
        <b/>
        <sz val="11"/>
        <color theme="1"/>
        <rFont val="나눔고딕"/>
        <family val="3"/>
        <charset val="129"/>
      </rPr>
      <t>재사용</t>
    </r>
    <r>
      <rPr>
        <sz val="11"/>
        <color theme="1"/>
        <rFont val="Times New Roman"/>
        <family val="1"/>
      </rPr>
      <t xml:space="preserve"> — </t>
    </r>
    <r>
      <rPr>
        <sz val="11"/>
        <color theme="1"/>
        <rFont val="나눔고딕"/>
        <family val="3"/>
        <charset val="129"/>
      </rPr>
      <t>같은</t>
    </r>
    <r>
      <rPr>
        <sz val="11"/>
        <color theme="1"/>
        <rFont val="Times New Roman"/>
        <family val="1"/>
      </rPr>
      <t xml:space="preserve"> </t>
    </r>
    <r>
      <rPr>
        <sz val="11"/>
        <color theme="1"/>
        <rFont val="나눔고딕"/>
        <family val="3"/>
        <charset val="129"/>
      </rPr>
      <t>자산</t>
    </r>
    <r>
      <rPr>
        <sz val="11"/>
        <color theme="1"/>
        <rFont val="Times New Roman"/>
        <family val="1"/>
      </rPr>
      <t>/</t>
    </r>
    <r>
      <rPr>
        <sz val="11"/>
        <color theme="1"/>
        <rFont val="나눔고딕"/>
        <family val="3"/>
        <charset val="129"/>
      </rPr>
      <t>같은</t>
    </r>
    <r>
      <rPr>
        <sz val="11"/>
        <color theme="1"/>
        <rFont val="Times New Roman"/>
        <family val="1"/>
      </rPr>
      <t xml:space="preserve"> </t>
    </r>
    <r>
      <rPr>
        <sz val="11"/>
        <color theme="1"/>
        <rFont val="나눔고딕"/>
        <family val="3"/>
        <charset val="129"/>
      </rPr>
      <t>공격경로인데</t>
    </r>
    <r>
      <rPr>
        <sz val="11"/>
        <color theme="1"/>
        <rFont val="Times New Roman"/>
        <family val="1"/>
      </rPr>
      <t xml:space="preserve"> </t>
    </r>
    <r>
      <rPr>
        <sz val="11"/>
        <color theme="1"/>
        <rFont val="나눔고딕"/>
        <family val="3"/>
        <charset val="129"/>
      </rPr>
      <t>모니터링으로</t>
    </r>
    <r>
      <rPr>
        <sz val="11"/>
        <color theme="1"/>
        <rFont val="Times New Roman"/>
        <family val="1"/>
      </rPr>
      <t xml:space="preserve"> </t>
    </r>
    <r>
      <rPr>
        <sz val="11"/>
        <color theme="1"/>
        <rFont val="나눔고딕"/>
        <family val="3"/>
        <charset val="129"/>
      </rPr>
      <t>발견됐다고</t>
    </r>
    <r>
      <rPr>
        <sz val="11"/>
        <color theme="1"/>
        <rFont val="Times New Roman"/>
        <family val="1"/>
      </rPr>
      <t xml:space="preserve"> </t>
    </r>
    <r>
      <rPr>
        <sz val="11"/>
        <color theme="1"/>
        <rFont val="나눔고딕"/>
        <family val="3"/>
        <charset val="129"/>
      </rPr>
      <t>다른</t>
    </r>
    <r>
      <rPr>
        <sz val="11"/>
        <color theme="1"/>
        <rFont val="Times New Roman"/>
        <family val="1"/>
      </rPr>
      <t xml:space="preserve"> AFR</t>
    </r>
    <r>
      <rPr>
        <sz val="11"/>
        <color theme="1"/>
        <rFont val="나눔고딕"/>
        <family val="3"/>
        <charset val="129"/>
      </rPr>
      <t>이</t>
    </r>
    <r>
      <rPr>
        <sz val="11"/>
        <color theme="1"/>
        <rFont val="Times New Roman"/>
        <family val="1"/>
      </rPr>
      <t xml:space="preserve"> </t>
    </r>
    <r>
      <rPr>
        <sz val="11"/>
        <color theme="1"/>
        <rFont val="나눔고딕"/>
        <family val="3"/>
        <charset val="129"/>
      </rPr>
      <t>나오면</t>
    </r>
    <r>
      <rPr>
        <sz val="11"/>
        <color theme="1"/>
        <rFont val="Times New Roman"/>
        <family val="1"/>
      </rPr>
      <t xml:space="preserve"> </t>
    </r>
    <r>
      <rPr>
        <sz val="11"/>
        <color theme="1"/>
        <rFont val="나눔고딕"/>
        <family val="3"/>
        <charset val="129"/>
      </rPr>
      <t>안</t>
    </r>
    <r>
      <rPr>
        <sz val="11"/>
        <color theme="1"/>
        <rFont val="Times New Roman"/>
        <family val="1"/>
      </rPr>
      <t xml:space="preserve"> </t>
    </r>
    <r>
      <rPr>
        <sz val="11"/>
        <color theme="1"/>
        <rFont val="나눔고딕"/>
        <family val="3"/>
        <charset val="129"/>
      </rPr>
      <t>되기</t>
    </r>
    <r>
      <rPr>
        <sz val="11"/>
        <color theme="1"/>
        <rFont val="Times New Roman"/>
        <family val="1"/>
      </rPr>
      <t xml:space="preserve"> </t>
    </r>
    <r>
      <rPr>
        <sz val="11"/>
        <color theme="1"/>
        <rFont val="나눔고딕"/>
        <family val="3"/>
        <charset val="129"/>
      </rPr>
      <t>때문</t>
    </r>
    <r>
      <rPr>
        <sz val="11"/>
        <color theme="1"/>
        <rFont val="Times New Roman"/>
        <family val="1"/>
      </rPr>
      <t>(</t>
    </r>
    <r>
      <rPr>
        <sz val="11"/>
        <color theme="1"/>
        <rFont val="나눔고딕"/>
        <family val="3"/>
        <charset val="129"/>
      </rPr>
      <t>일관성</t>
    </r>
    <r>
      <rPr>
        <sz val="11"/>
        <color theme="1"/>
        <rFont val="Times New Roman"/>
        <family val="1"/>
      </rPr>
      <t xml:space="preserve"> </t>
    </r>
    <r>
      <rPr>
        <sz val="11"/>
        <color theme="1"/>
        <rFont val="나눔고딕"/>
        <family val="3"/>
        <charset val="129"/>
      </rPr>
      <t>요구사항</t>
    </r>
    <r>
      <rPr>
        <sz val="11"/>
        <color theme="1"/>
        <rFont val="Times New Roman"/>
        <family val="1"/>
      </rPr>
      <t>)</t>
    </r>
  </si>
  <si>
    <r>
      <rPr>
        <sz val="11"/>
        <color theme="1"/>
        <rFont val="나눔고딕"/>
        <family val="3"/>
        <charset val="129"/>
      </rPr>
      <t>약점</t>
    </r>
    <r>
      <rPr>
        <sz val="11"/>
        <color theme="1"/>
        <rFont val="Times New Roman"/>
        <family val="1"/>
      </rPr>
      <t xml:space="preserve"> </t>
    </r>
    <r>
      <rPr>
        <sz val="11"/>
        <color theme="1"/>
        <rFont val="나눔고딕"/>
        <family val="3"/>
        <charset val="129"/>
      </rPr>
      <t>분석</t>
    </r>
    <r>
      <rPr>
        <sz val="11"/>
        <color theme="1"/>
        <rFont val="Times New Roman"/>
        <family val="1"/>
      </rPr>
      <t xml:space="preserve"> </t>
    </r>
    <r>
      <rPr>
        <sz val="11"/>
        <color theme="1"/>
        <rFont val="나눔고딕"/>
        <family val="3"/>
        <charset val="129"/>
      </rPr>
      <t>대상과</t>
    </r>
    <r>
      <rPr>
        <sz val="11"/>
        <color theme="1"/>
        <rFont val="Times New Roman"/>
        <family val="1"/>
      </rPr>
      <t xml:space="preserve"> </t>
    </r>
    <r>
      <rPr>
        <sz val="11"/>
        <color theme="1"/>
        <rFont val="나눔고딕"/>
        <family val="3"/>
        <charset val="129"/>
      </rPr>
      <t>관련된</t>
    </r>
    <r>
      <rPr>
        <sz val="11"/>
        <color theme="1"/>
        <rFont val="Times New Roman"/>
        <family val="1"/>
      </rPr>
      <t xml:space="preserve"> </t>
    </r>
    <r>
      <rPr>
        <sz val="11"/>
        <color theme="1"/>
        <rFont val="나눔고딕"/>
        <family val="3"/>
        <charset val="129"/>
      </rPr>
      <t>공격</t>
    </r>
    <r>
      <rPr>
        <sz val="11"/>
        <color theme="1"/>
        <rFont val="Times New Roman"/>
        <family val="1"/>
      </rPr>
      <t xml:space="preserve"> </t>
    </r>
    <r>
      <rPr>
        <sz val="11"/>
        <color theme="1"/>
        <rFont val="나눔고딕"/>
        <family val="3"/>
        <charset val="129"/>
      </rPr>
      <t>시나리오를</t>
    </r>
    <r>
      <rPr>
        <sz val="11"/>
        <color theme="1"/>
        <rFont val="Times New Roman"/>
        <family val="1"/>
      </rPr>
      <t xml:space="preserve"> </t>
    </r>
    <r>
      <rPr>
        <sz val="11"/>
        <color theme="1"/>
        <rFont val="나눔고딕"/>
        <family val="3"/>
        <charset val="129"/>
      </rPr>
      <t>확인하는</t>
    </r>
    <r>
      <rPr>
        <sz val="11"/>
        <color theme="1"/>
        <rFont val="Times New Roman"/>
        <family val="1"/>
      </rPr>
      <t xml:space="preserve"> </t>
    </r>
    <r>
      <rPr>
        <sz val="11"/>
        <color theme="1"/>
        <rFont val="나눔고딕"/>
        <family val="3"/>
        <charset val="129"/>
      </rPr>
      <t>과정</t>
    </r>
    <phoneticPr fontId="6" type="noConversion"/>
  </si>
  <si>
    <r>
      <t xml:space="preserve">Risk </t>
    </r>
    <r>
      <rPr>
        <sz val="11"/>
        <color theme="1"/>
        <rFont val="나눔고딕"/>
        <family val="3"/>
        <charset val="129"/>
      </rPr>
      <t>공식의</t>
    </r>
    <r>
      <rPr>
        <sz val="11"/>
        <color theme="1"/>
        <rFont val="Times New Roman"/>
        <family val="1"/>
      </rPr>
      <t xml:space="preserve"> </t>
    </r>
    <r>
      <rPr>
        <b/>
        <sz val="11"/>
        <color theme="1"/>
        <rFont val="나눔고딕"/>
        <family val="3"/>
        <charset val="129"/>
      </rPr>
      <t>나머지</t>
    </r>
    <r>
      <rPr>
        <b/>
        <sz val="11"/>
        <color theme="1"/>
        <rFont val="Times New Roman"/>
        <family val="1"/>
      </rPr>
      <t xml:space="preserve"> </t>
    </r>
    <r>
      <rPr>
        <b/>
        <sz val="11"/>
        <color theme="1"/>
        <rFont val="나눔고딕"/>
        <family val="3"/>
        <charset val="129"/>
      </rPr>
      <t>한</t>
    </r>
    <r>
      <rPr>
        <b/>
        <sz val="11"/>
        <color theme="1"/>
        <rFont val="Times New Roman"/>
        <family val="1"/>
      </rPr>
      <t xml:space="preserve"> </t>
    </r>
    <r>
      <rPr>
        <b/>
        <sz val="11"/>
        <color theme="1"/>
        <rFont val="나눔고딕"/>
        <family val="3"/>
        <charset val="129"/>
      </rPr>
      <t>축</t>
    </r>
    <r>
      <rPr>
        <sz val="11"/>
        <color theme="1"/>
        <rFont val="Times New Roman"/>
        <family val="1"/>
      </rPr>
      <t>. CVSS</t>
    </r>
    <r>
      <rPr>
        <sz val="11"/>
        <color theme="1"/>
        <rFont val="나눔고딕"/>
        <family val="3"/>
        <charset val="129"/>
      </rPr>
      <t>의</t>
    </r>
    <r>
      <rPr>
        <sz val="11"/>
        <color theme="1"/>
        <rFont val="Times New Roman"/>
        <family val="1"/>
      </rPr>
      <t xml:space="preserve"> C/I/A </t>
    </r>
    <r>
      <rPr>
        <sz val="11"/>
        <color theme="1"/>
        <rFont val="나눔고딕"/>
        <family val="3"/>
        <charset val="129"/>
      </rPr>
      <t>임팩트는</t>
    </r>
    <r>
      <rPr>
        <sz val="11"/>
        <color theme="1"/>
        <rFont val="Times New Roman"/>
        <family val="1"/>
      </rPr>
      <t xml:space="preserve"> </t>
    </r>
    <r>
      <rPr>
        <sz val="11"/>
        <color theme="1"/>
        <rFont val="나눔고딕"/>
        <family val="3"/>
        <charset val="129"/>
      </rPr>
      <t>기술적</t>
    </r>
    <r>
      <rPr>
        <sz val="11"/>
        <color theme="1"/>
        <rFont val="Times New Roman"/>
        <family val="1"/>
      </rPr>
      <t>/</t>
    </r>
    <r>
      <rPr>
        <sz val="11"/>
        <color theme="1"/>
        <rFont val="나눔고딕"/>
        <family val="3"/>
        <charset val="129"/>
      </rPr>
      <t>일반적</t>
    </r>
    <r>
      <rPr>
        <sz val="11"/>
        <color theme="1"/>
        <rFont val="Times New Roman"/>
        <family val="1"/>
      </rPr>
      <t xml:space="preserve"> </t>
    </r>
    <r>
      <rPr>
        <sz val="11"/>
        <color theme="1"/>
        <rFont val="나눔고딕"/>
        <family val="3"/>
        <charset val="129"/>
      </rPr>
      <t>임팩트일</t>
    </r>
    <r>
      <rPr>
        <sz val="11"/>
        <color theme="1"/>
        <rFont val="Times New Roman"/>
        <family val="1"/>
      </rPr>
      <t xml:space="preserve"> </t>
    </r>
    <r>
      <rPr>
        <sz val="11"/>
        <color theme="1"/>
        <rFont val="나눔고딕"/>
        <family val="3"/>
        <charset val="129"/>
      </rPr>
      <t>뿐</t>
    </r>
    <r>
      <rPr>
        <sz val="11"/>
        <color theme="1"/>
        <rFont val="Times New Roman"/>
        <family val="1"/>
      </rPr>
      <t>, ISO 21434</t>
    </r>
    <r>
      <rPr>
        <sz val="11"/>
        <color theme="1"/>
        <rFont val="나눔고딕"/>
        <family val="3"/>
        <charset val="129"/>
      </rPr>
      <t>가</t>
    </r>
    <r>
      <rPr>
        <sz val="11"/>
        <color theme="1"/>
        <rFont val="Times New Roman"/>
        <family val="1"/>
      </rPr>
      <t xml:space="preserve"> </t>
    </r>
    <r>
      <rPr>
        <sz val="11"/>
        <color theme="1"/>
        <rFont val="나눔고딕"/>
        <family val="3"/>
        <charset val="129"/>
      </rPr>
      <t>요구하는</t>
    </r>
    <r>
      <rPr>
        <sz val="11"/>
        <color theme="1"/>
        <rFont val="Times New Roman"/>
        <family val="1"/>
      </rPr>
      <t xml:space="preserve"> </t>
    </r>
    <r>
      <rPr>
        <sz val="11"/>
        <color theme="1"/>
        <rFont val="나눔고딕"/>
        <family val="3"/>
        <charset val="129"/>
      </rPr>
      <t>차량</t>
    </r>
    <r>
      <rPr>
        <sz val="11"/>
        <color theme="1"/>
        <rFont val="Times New Roman"/>
        <family val="1"/>
      </rPr>
      <t xml:space="preserve"> </t>
    </r>
    <r>
      <rPr>
        <sz val="11"/>
        <color theme="1"/>
        <rFont val="나눔고딕"/>
        <family val="3"/>
        <charset val="129"/>
      </rPr>
      <t>수준의</t>
    </r>
    <r>
      <rPr>
        <sz val="11"/>
        <color theme="1"/>
        <rFont val="Times New Roman"/>
        <family val="1"/>
      </rPr>
      <t xml:space="preserve"> Safety/Financial/Operational/Privacy(S/F/O/P) </t>
    </r>
    <r>
      <rPr>
        <sz val="11"/>
        <color theme="1"/>
        <rFont val="나눔고딕"/>
        <family val="3"/>
        <charset val="129"/>
      </rPr>
      <t>임팩트와는</t>
    </r>
    <r>
      <rPr>
        <sz val="11"/>
        <color theme="1"/>
        <rFont val="Times New Roman"/>
        <family val="1"/>
      </rPr>
      <t xml:space="preserve"> </t>
    </r>
    <r>
      <rPr>
        <sz val="11"/>
        <color theme="1"/>
        <rFont val="나눔고딕"/>
        <family val="3"/>
        <charset val="129"/>
      </rPr>
      <t>다른</t>
    </r>
    <r>
      <rPr>
        <sz val="11"/>
        <color theme="1"/>
        <rFont val="Times New Roman"/>
        <family val="1"/>
      </rPr>
      <t xml:space="preserve"> </t>
    </r>
    <r>
      <rPr>
        <sz val="11"/>
        <color theme="1"/>
        <rFont val="나눔고딕"/>
        <family val="3"/>
        <charset val="129"/>
      </rPr>
      <t>개념이라</t>
    </r>
    <r>
      <rPr>
        <sz val="11"/>
        <color theme="1"/>
        <rFont val="Times New Roman"/>
        <family val="1"/>
      </rPr>
      <t xml:space="preserve"> </t>
    </r>
    <r>
      <rPr>
        <sz val="11"/>
        <color theme="1"/>
        <rFont val="나눔고딕"/>
        <family val="3"/>
        <charset val="129"/>
      </rPr>
      <t>별도로</t>
    </r>
    <r>
      <rPr>
        <sz val="11"/>
        <color theme="1"/>
        <rFont val="Times New Roman"/>
        <family val="1"/>
      </rPr>
      <t xml:space="preserve"> </t>
    </r>
    <r>
      <rPr>
        <sz val="11"/>
        <color theme="1"/>
        <rFont val="나눔고딕"/>
        <family val="3"/>
        <charset val="129"/>
      </rPr>
      <t>필요</t>
    </r>
  </si>
  <si>
    <r>
      <t xml:space="preserve">(mCVSS.bas </t>
    </r>
    <r>
      <rPr>
        <b/>
        <sz val="12"/>
        <color rgb="FF1F4E78"/>
        <rFont val="나눔고딕"/>
        <family val="3"/>
        <charset val="129"/>
      </rPr>
      <t>매크로를</t>
    </r>
    <r>
      <rPr>
        <b/>
        <sz val="12"/>
        <color rgb="FF1F4E78"/>
        <rFont val="Times New Roman"/>
        <family val="1"/>
      </rPr>
      <t xml:space="preserve"> </t>
    </r>
    <r>
      <rPr>
        <b/>
        <sz val="12"/>
        <color rgb="FF1F4E78"/>
        <rFont val="나눔고딕"/>
        <family val="3"/>
        <charset val="129"/>
      </rPr>
      <t>이</t>
    </r>
    <r>
      <rPr>
        <b/>
        <sz val="12"/>
        <color rgb="FF1F4E78"/>
        <rFont val="Times New Roman"/>
        <family val="1"/>
      </rPr>
      <t xml:space="preserve"> </t>
    </r>
    <r>
      <rPr>
        <b/>
        <sz val="12"/>
        <color rgb="FF1F4E78"/>
        <rFont val="나눔고딕"/>
        <family val="3"/>
        <charset val="129"/>
      </rPr>
      <t>통합문서에</t>
    </r>
    <r>
      <rPr>
        <b/>
        <sz val="12"/>
        <color rgb="FF1F4E78"/>
        <rFont val="Times New Roman"/>
        <family val="1"/>
      </rPr>
      <t xml:space="preserve"> </t>
    </r>
    <r>
      <rPr>
        <b/>
        <sz val="12"/>
        <color rgb="FF1F4E78"/>
        <rFont val="나눔고딕"/>
        <family val="3"/>
        <charset val="129"/>
      </rPr>
      <t>임포트하고</t>
    </r>
    <r>
      <rPr>
        <b/>
        <sz val="12"/>
        <color rgb="FF1F4E78"/>
        <rFont val="Times New Roman"/>
        <family val="1"/>
      </rPr>
      <t xml:space="preserve"> .xlsm</t>
    </r>
    <r>
      <rPr>
        <b/>
        <sz val="12"/>
        <color rgb="FF1F4E78"/>
        <rFont val="나눔고딕"/>
        <family val="3"/>
        <charset val="129"/>
      </rPr>
      <t>으로</t>
    </r>
    <r>
      <rPr>
        <b/>
        <sz val="12"/>
        <color rgb="FF1F4E78"/>
        <rFont val="Times New Roman"/>
        <family val="1"/>
      </rPr>
      <t xml:space="preserve"> </t>
    </r>
    <r>
      <rPr>
        <b/>
        <sz val="12"/>
        <color rgb="FF1F4E78"/>
        <rFont val="나눔고딕"/>
        <family val="3"/>
        <charset val="129"/>
      </rPr>
      <t>저장하세요</t>
    </r>
    <r>
      <rPr>
        <b/>
        <sz val="12"/>
        <color rgb="FF1F4E78"/>
        <rFont val="Times New Roman"/>
        <family val="1"/>
      </rPr>
      <t>)</t>
    </r>
  </si>
  <si>
    <r>
      <t>6</t>
    </r>
    <r>
      <rPr>
        <i/>
        <sz val="9"/>
        <color rgb="FF666666"/>
        <rFont val="나눔고딕"/>
        <family val="3"/>
        <charset val="129"/>
      </rPr>
      <t>자리</t>
    </r>
    <r>
      <rPr>
        <i/>
        <sz val="9"/>
        <color rgb="FF666666"/>
        <rFont val="Times New Roman"/>
        <family val="1"/>
      </rPr>
      <t xml:space="preserve"> </t>
    </r>
    <r>
      <rPr>
        <i/>
        <sz val="9"/>
        <color rgb="FF666666"/>
        <rFont val="나눔고딕"/>
        <family val="3"/>
        <charset val="129"/>
      </rPr>
      <t>코드</t>
    </r>
    <r>
      <rPr>
        <i/>
        <sz val="9"/>
        <color rgb="FF666666"/>
        <rFont val="Times New Roman"/>
        <family val="1"/>
      </rPr>
      <t xml:space="preserve">(EQ1EQ2EQ3EQ4EQ5EQ6) </t>
    </r>
    <r>
      <rPr>
        <i/>
        <sz val="9"/>
        <color rgb="FF666666"/>
        <rFont val="나눔고딕"/>
        <family val="3"/>
        <charset val="129"/>
      </rPr>
      <t>→</t>
    </r>
    <r>
      <rPr>
        <i/>
        <sz val="9"/>
        <color rgb="FF666666"/>
        <rFont val="Times New Roman"/>
        <family val="1"/>
      </rPr>
      <t xml:space="preserve"> </t>
    </r>
    <r>
      <rPr>
        <i/>
        <sz val="9"/>
        <color rgb="FF666666"/>
        <rFont val="나눔고딕"/>
        <family val="3"/>
        <charset val="129"/>
      </rPr>
      <t>대표</t>
    </r>
    <r>
      <rPr>
        <i/>
        <sz val="9"/>
        <color rgb="FF666666"/>
        <rFont val="Times New Roman"/>
        <family val="1"/>
      </rPr>
      <t xml:space="preserve"> </t>
    </r>
    <r>
      <rPr>
        <i/>
        <sz val="9"/>
        <color rgb="FF666666"/>
        <rFont val="나눔고딕"/>
        <family val="3"/>
        <charset val="129"/>
      </rPr>
      <t>점수</t>
    </r>
    <r>
      <rPr>
        <i/>
        <sz val="9"/>
        <color rgb="FF666666"/>
        <rFont val="Times New Roman"/>
        <family val="1"/>
      </rPr>
      <t>. mCVSS.CVSS4ApproxScore()</t>
    </r>
    <r>
      <rPr>
        <i/>
        <sz val="9"/>
        <color rgb="FF666666"/>
        <rFont val="나눔고딕"/>
        <family val="3"/>
        <charset val="129"/>
      </rPr>
      <t>가</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표를</t>
    </r>
    <r>
      <rPr>
        <i/>
        <sz val="9"/>
        <color rgb="FF666666"/>
        <rFont val="Times New Roman"/>
        <family val="1"/>
      </rPr>
      <t xml:space="preserve"> </t>
    </r>
    <r>
      <rPr>
        <i/>
        <sz val="9"/>
        <color rgb="FF666666"/>
        <rFont val="나눔고딕"/>
        <family val="3"/>
        <charset val="129"/>
      </rPr>
      <t>참조합니다</t>
    </r>
    <r>
      <rPr>
        <i/>
        <sz val="9"/>
        <color rgb="FF666666"/>
        <rFont val="Times New Roman"/>
        <family val="1"/>
      </rPr>
      <t xml:space="preserve">. </t>
    </r>
    <r>
      <rPr>
        <i/>
        <sz val="9"/>
        <color rgb="FF666666"/>
        <rFont val="나눔고딕"/>
        <family val="3"/>
        <charset val="129"/>
      </rPr>
      <t>이</t>
    </r>
    <r>
      <rPr>
        <i/>
        <sz val="9"/>
        <color rgb="FF666666"/>
        <rFont val="Times New Roman"/>
        <family val="1"/>
      </rPr>
      <t xml:space="preserve"> </t>
    </r>
    <r>
      <rPr>
        <i/>
        <sz val="9"/>
        <color rgb="FF666666"/>
        <rFont val="나눔고딕"/>
        <family val="3"/>
        <charset val="129"/>
      </rPr>
      <t>표만으로는</t>
    </r>
    <r>
      <rPr>
        <i/>
        <sz val="9"/>
        <color rgb="FF666666"/>
        <rFont val="Times New Roman"/>
        <family val="1"/>
      </rPr>
      <t xml:space="preserve"> </t>
    </r>
    <r>
      <rPr>
        <i/>
        <sz val="9"/>
        <color rgb="FF666666"/>
        <rFont val="나눔고딕"/>
        <family val="3"/>
        <charset val="129"/>
      </rPr>
      <t>근사치</t>
    </r>
    <r>
      <rPr>
        <i/>
        <sz val="9"/>
        <color rgb="FF666666"/>
        <rFont val="Times New Roman"/>
        <family val="1"/>
      </rPr>
      <t>(</t>
    </r>
    <r>
      <rPr>
        <i/>
        <sz val="9"/>
        <color rgb="FF666666"/>
        <rFont val="나눔고딕"/>
        <family val="3"/>
        <charset val="129"/>
      </rPr>
      <t>미세보간</t>
    </r>
    <r>
      <rPr>
        <i/>
        <sz val="9"/>
        <color rgb="FF666666"/>
        <rFont val="Times New Roman"/>
        <family val="1"/>
      </rPr>
      <t xml:space="preserve"> </t>
    </r>
    <r>
      <rPr>
        <i/>
        <sz val="9"/>
        <color rgb="FF666666"/>
        <rFont val="나눔고딕"/>
        <family val="3"/>
        <charset val="129"/>
      </rPr>
      <t>미반영</t>
    </r>
    <r>
      <rPr>
        <i/>
        <sz val="9"/>
        <color rgb="FF666666"/>
        <rFont val="Times New Roman"/>
        <family val="1"/>
      </rPr>
      <t>)</t>
    </r>
    <r>
      <rPr>
        <i/>
        <sz val="9"/>
        <color rgb="FF666666"/>
        <rFont val="나눔고딕"/>
        <family val="3"/>
        <charset val="129"/>
      </rPr>
      <t>이며</t>
    </r>
    <r>
      <rPr>
        <i/>
        <sz val="9"/>
        <color rgb="FF666666"/>
        <rFont val="Times New Roman"/>
        <family val="1"/>
      </rPr>
      <t xml:space="preserve">, </t>
    </r>
    <r>
      <rPr>
        <i/>
        <sz val="9"/>
        <color rgb="FF666666"/>
        <rFont val="나눔고딕"/>
        <family val="3"/>
        <charset val="129"/>
      </rPr>
      <t>정확한</t>
    </r>
    <r>
      <rPr>
        <i/>
        <sz val="9"/>
        <color rgb="FF666666"/>
        <rFont val="Times New Roman"/>
        <family val="1"/>
      </rPr>
      <t xml:space="preserve"> </t>
    </r>
    <r>
      <rPr>
        <i/>
        <sz val="9"/>
        <color rgb="FF666666"/>
        <rFont val="나눔고딕"/>
        <family val="3"/>
        <charset val="129"/>
      </rPr>
      <t>값은</t>
    </r>
    <r>
      <rPr>
        <i/>
        <sz val="9"/>
        <color rgb="FF666666"/>
        <rFont val="Times New Roman"/>
        <family val="1"/>
      </rPr>
      <t xml:space="preserve"> cvss_calc.py</t>
    </r>
    <r>
      <rPr>
        <i/>
        <sz val="9"/>
        <color rgb="FF666666"/>
        <rFont val="나눔고딕"/>
        <family val="3"/>
        <charset val="129"/>
      </rPr>
      <t>를</t>
    </r>
    <r>
      <rPr>
        <i/>
        <sz val="9"/>
        <color rgb="FF666666"/>
        <rFont val="Times New Roman"/>
        <family val="1"/>
      </rPr>
      <t xml:space="preserve"> </t>
    </r>
    <r>
      <rPr>
        <i/>
        <sz val="9"/>
        <color rgb="FF666666"/>
        <rFont val="나눔고딕"/>
        <family val="3"/>
        <charset val="129"/>
      </rPr>
      <t>쓰세요</t>
    </r>
    <r>
      <rPr>
        <i/>
        <sz val="9"/>
        <color rgb="FF666666"/>
        <rFont val="Times New Roman"/>
        <family val="1"/>
      </rPr>
      <t>.</t>
    </r>
    <phoneticPr fontId="6" type="noConversion"/>
  </si>
  <si>
    <t>Discussion</t>
  </si>
  <si>
    <r>
      <t xml:space="preserve">CVSS V3.1 </t>
    </r>
    <r>
      <rPr>
        <sz val="10"/>
        <color theme="1"/>
        <rFont val="나눔고딕"/>
        <family val="3"/>
        <charset val="129"/>
      </rPr>
      <t>벡터</t>
    </r>
    <r>
      <rPr>
        <sz val="10"/>
        <color theme="1"/>
        <rFont val="Times New Roman"/>
        <family val="1"/>
      </rPr>
      <t xml:space="preserve"> </t>
    </r>
    <r>
      <rPr>
        <sz val="10"/>
        <color theme="1"/>
        <rFont val="나눔고딕"/>
        <family val="3"/>
        <charset val="129"/>
      </rPr>
      <t>생성</t>
    </r>
    <r>
      <rPr>
        <sz val="10"/>
        <color theme="1"/>
        <rFont val="Times New Roman"/>
        <family val="1"/>
      </rPr>
      <t xml:space="preserve"> </t>
    </r>
    <r>
      <rPr>
        <sz val="10"/>
        <color theme="1"/>
        <rFont val="나눔고딕"/>
        <family val="3"/>
        <charset val="129"/>
      </rPr>
      <t>및</t>
    </r>
    <r>
      <rPr>
        <sz val="10"/>
        <color theme="1"/>
        <rFont val="Times New Roman"/>
        <family val="1"/>
      </rPr>
      <t xml:space="preserve"> </t>
    </r>
    <r>
      <rPr>
        <sz val="10"/>
        <color theme="1"/>
        <rFont val="나눔고딕"/>
        <family val="3"/>
        <charset val="129"/>
      </rPr>
      <t>계산</t>
    </r>
  </si>
  <si>
    <r>
      <t xml:space="preserve">CVSS V3.1 </t>
    </r>
    <r>
      <rPr>
        <sz val="10"/>
        <color theme="1"/>
        <rFont val="나눔고딕"/>
        <family val="3"/>
        <charset val="129"/>
      </rPr>
      <t>벡터</t>
    </r>
    <r>
      <rPr>
        <sz val="10"/>
        <color theme="1"/>
        <rFont val="Times New Roman"/>
        <family val="1"/>
      </rPr>
      <t xml:space="preserve"> </t>
    </r>
    <r>
      <rPr>
        <sz val="10"/>
        <color theme="1"/>
        <rFont val="나눔고딕"/>
        <family val="3"/>
        <charset val="129"/>
      </rPr>
      <t>생성</t>
    </r>
    <r>
      <rPr>
        <sz val="10"/>
        <color theme="1"/>
        <rFont val="Times New Roman"/>
        <family val="1"/>
      </rPr>
      <t xml:space="preserve"> </t>
    </r>
    <r>
      <rPr>
        <sz val="10"/>
        <color theme="1"/>
        <rFont val="나눔고딕"/>
        <family val="3"/>
        <charset val="129"/>
      </rPr>
      <t>및</t>
    </r>
    <r>
      <rPr>
        <sz val="10"/>
        <color theme="1"/>
        <rFont val="Times New Roman"/>
        <family val="1"/>
      </rPr>
      <t xml:space="preserve"> </t>
    </r>
    <r>
      <rPr>
        <sz val="10"/>
        <color theme="1"/>
        <rFont val="나눔고딕"/>
        <family val="3"/>
        <charset val="129"/>
      </rPr>
      <t>계산</t>
    </r>
    <r>
      <rPr>
        <sz val="10"/>
        <color theme="1"/>
        <rFont val="Times New Roman"/>
        <family val="1"/>
      </rPr>
      <t xml:space="preserve"> </t>
    </r>
    <r>
      <rPr>
        <sz val="10"/>
        <color theme="1"/>
        <rFont val="나눔고딕"/>
        <family val="3"/>
        <charset val="129"/>
      </rPr>
      <t>참조</t>
    </r>
    <r>
      <rPr>
        <sz val="10"/>
        <color theme="1"/>
        <rFont val="Times New Roman"/>
        <family val="1"/>
      </rPr>
      <t xml:space="preserve"> </t>
    </r>
    <r>
      <rPr>
        <sz val="10"/>
        <color theme="1"/>
        <rFont val="나눔고딕"/>
        <family val="3"/>
        <charset val="129"/>
      </rPr>
      <t>자료</t>
    </r>
  </si>
  <si>
    <r>
      <t xml:space="preserve">CVSS V4.0 </t>
    </r>
    <r>
      <rPr>
        <sz val="10"/>
        <color theme="1"/>
        <rFont val="나눔고딕"/>
        <family val="3"/>
        <charset val="129"/>
      </rPr>
      <t>벡터</t>
    </r>
    <r>
      <rPr>
        <sz val="10"/>
        <color theme="1"/>
        <rFont val="Times New Roman"/>
        <family val="1"/>
      </rPr>
      <t xml:space="preserve"> </t>
    </r>
    <r>
      <rPr>
        <sz val="10"/>
        <color theme="1"/>
        <rFont val="나눔고딕"/>
        <family val="3"/>
        <charset val="129"/>
      </rPr>
      <t>생성</t>
    </r>
    <r>
      <rPr>
        <sz val="10"/>
        <color theme="1"/>
        <rFont val="Times New Roman"/>
        <family val="1"/>
      </rPr>
      <t xml:space="preserve"> </t>
    </r>
    <r>
      <rPr>
        <sz val="10"/>
        <color theme="1"/>
        <rFont val="나눔고딕"/>
        <family val="3"/>
        <charset val="129"/>
      </rPr>
      <t>및</t>
    </r>
    <r>
      <rPr>
        <sz val="10"/>
        <color theme="1"/>
        <rFont val="Times New Roman"/>
        <family val="1"/>
      </rPr>
      <t xml:space="preserve"> </t>
    </r>
    <r>
      <rPr>
        <sz val="10"/>
        <color theme="1"/>
        <rFont val="나눔고딕"/>
        <family val="3"/>
        <charset val="129"/>
      </rPr>
      <t>계산</t>
    </r>
  </si>
  <si>
    <r>
      <t xml:space="preserve">CVSS V4.0 </t>
    </r>
    <r>
      <rPr>
        <sz val="10"/>
        <color theme="1"/>
        <rFont val="나눔고딕"/>
        <family val="3"/>
        <charset val="129"/>
      </rPr>
      <t>벡터</t>
    </r>
    <r>
      <rPr>
        <sz val="10"/>
        <color theme="1"/>
        <rFont val="Times New Roman"/>
        <family val="1"/>
      </rPr>
      <t xml:space="preserve"> </t>
    </r>
    <r>
      <rPr>
        <sz val="10"/>
        <color theme="1"/>
        <rFont val="나눔고딕"/>
        <family val="3"/>
        <charset val="129"/>
      </rPr>
      <t>생성</t>
    </r>
    <r>
      <rPr>
        <sz val="10"/>
        <color theme="1"/>
        <rFont val="Times New Roman"/>
        <family val="1"/>
      </rPr>
      <t xml:space="preserve"> </t>
    </r>
    <r>
      <rPr>
        <sz val="10"/>
        <color theme="1"/>
        <rFont val="나눔고딕"/>
        <family val="3"/>
        <charset val="129"/>
      </rPr>
      <t>및</t>
    </r>
    <r>
      <rPr>
        <sz val="10"/>
        <color theme="1"/>
        <rFont val="Times New Roman"/>
        <family val="1"/>
      </rPr>
      <t xml:space="preserve"> </t>
    </r>
    <r>
      <rPr>
        <sz val="10"/>
        <color theme="1"/>
        <rFont val="나눔고딕"/>
        <family val="3"/>
        <charset val="129"/>
      </rPr>
      <t>계산</t>
    </r>
    <r>
      <rPr>
        <sz val="10"/>
        <color theme="1"/>
        <rFont val="Times New Roman"/>
        <family val="1"/>
      </rPr>
      <t xml:space="preserve"> </t>
    </r>
    <r>
      <rPr>
        <sz val="10"/>
        <color theme="1"/>
        <rFont val="나눔고딕"/>
        <family val="3"/>
        <charset val="129"/>
      </rPr>
      <t>참조</t>
    </r>
    <r>
      <rPr>
        <sz val="10"/>
        <color theme="1"/>
        <rFont val="Times New Roman"/>
        <family val="1"/>
      </rPr>
      <t xml:space="preserve"> </t>
    </r>
    <r>
      <rPr>
        <sz val="10"/>
        <color theme="1"/>
        <rFont val="나눔고딕"/>
        <family val="3"/>
        <charset val="129"/>
      </rPr>
      <t>자료</t>
    </r>
  </si>
  <si>
    <t>Weakness_Vulnerability</t>
    <phoneticPr fontId="6" type="noConversion"/>
  </si>
  <si>
    <t>Weakness_Vulnerability 시트의 필드 설계에 대한 검토 의견</t>
    <phoneticPr fontId="6" type="noConversion"/>
  </si>
  <si>
    <r>
      <rPr>
        <sz val="11"/>
        <color theme="1"/>
        <rFont val="나눔고딕"/>
        <family val="3"/>
        <charset val="129"/>
      </rPr>
      <t>①</t>
    </r>
    <r>
      <rPr>
        <sz val="11"/>
        <color theme="1"/>
        <rFont val="Times New Roman"/>
        <family val="1"/>
      </rPr>
      <t xml:space="preserve"> </t>
    </r>
    <r>
      <rPr>
        <sz val="11"/>
        <color theme="1"/>
        <rFont val="나눔고딕"/>
        <family val="3"/>
        <charset val="129"/>
      </rPr>
      <t>공격</t>
    </r>
    <r>
      <rPr>
        <sz val="11"/>
        <color theme="1"/>
        <rFont val="Times New Roman"/>
        <family val="1"/>
      </rPr>
      <t xml:space="preserve"> </t>
    </r>
    <r>
      <rPr>
        <sz val="11"/>
        <color theme="1"/>
        <rFont val="나눔고딕"/>
        <family val="3"/>
        <charset val="129"/>
      </rPr>
      <t>잠재력</t>
    </r>
    <r>
      <rPr>
        <sz val="11"/>
        <color theme="1"/>
        <rFont val="Times New Roman"/>
        <family val="1"/>
      </rPr>
      <t xml:space="preserve"> </t>
    </r>
    <r>
      <rPr>
        <sz val="11"/>
        <color theme="1"/>
        <rFont val="나눔고딕"/>
        <family val="3"/>
        <charset val="129"/>
      </rPr>
      <t>기반</t>
    </r>
    <r>
      <rPr>
        <sz val="11"/>
        <color theme="1"/>
        <rFont val="Times New Roman"/>
        <family val="1"/>
      </rPr>
      <t xml:space="preserve">(Attack Potential-based) — TAGS/HEAVENS4 </t>
    </r>
    <r>
      <rPr>
        <sz val="11"/>
        <color theme="1"/>
        <rFont val="나눔고딕"/>
        <family val="3"/>
        <charset val="129"/>
      </rPr>
      <t>등</t>
    </r>
    <r>
      <rPr>
        <sz val="11"/>
        <color theme="1"/>
        <rFont val="Times New Roman"/>
        <family val="1"/>
      </rPr>
      <t xml:space="preserve"> </t>
    </r>
    <r>
      <rPr>
        <sz val="11"/>
        <color theme="1"/>
        <rFont val="나눔고딕"/>
        <family val="3"/>
        <charset val="129"/>
      </rPr>
      <t>기존</t>
    </r>
    <r>
      <rPr>
        <sz val="11"/>
        <color theme="1"/>
        <rFont val="Times New Roman"/>
        <family val="1"/>
      </rPr>
      <t xml:space="preserve"> TARA </t>
    </r>
    <r>
      <rPr>
        <sz val="11"/>
        <color theme="1"/>
        <rFont val="나눔고딕"/>
        <family val="3"/>
        <charset val="129"/>
      </rPr>
      <t>방식</t>
    </r>
    <phoneticPr fontId="6" type="noConversion"/>
  </si>
  <si>
    <r>
      <rPr>
        <sz val="11"/>
        <color theme="1"/>
        <rFont val="나눔고딕"/>
        <family val="3"/>
        <charset val="129"/>
      </rPr>
      <t>②</t>
    </r>
    <r>
      <rPr>
        <sz val="11"/>
        <color theme="1"/>
        <rFont val="Times New Roman"/>
        <family val="1"/>
      </rPr>
      <t xml:space="preserve"> CVSS </t>
    </r>
    <r>
      <rPr>
        <sz val="11"/>
        <color theme="1"/>
        <rFont val="나눔고딕"/>
        <family val="3"/>
        <charset val="129"/>
      </rPr>
      <t>기반</t>
    </r>
    <r>
      <rPr>
        <sz val="11"/>
        <color theme="1"/>
        <rFont val="Times New Roman"/>
        <family val="1"/>
      </rPr>
      <t xml:space="preserve">(CVSS-based) — Exploitability </t>
    </r>
    <r>
      <rPr>
        <sz val="11"/>
        <color theme="1"/>
        <rFont val="나눔고딕"/>
        <family val="3"/>
        <charset val="129"/>
      </rPr>
      <t>서브메트릭</t>
    </r>
    <r>
      <rPr>
        <sz val="11"/>
        <color theme="1"/>
        <rFont val="Times New Roman"/>
        <family val="1"/>
      </rPr>
      <t>(AV/AC/PR/UI)</t>
    </r>
    <r>
      <rPr>
        <sz val="11"/>
        <color theme="1"/>
        <rFont val="나눔고딕"/>
        <family val="3"/>
        <charset val="129"/>
      </rPr>
      <t>만</t>
    </r>
    <r>
      <rPr>
        <sz val="11"/>
        <color theme="1"/>
        <rFont val="Times New Roman"/>
        <family val="1"/>
      </rPr>
      <t xml:space="preserve"> </t>
    </r>
    <r>
      <rPr>
        <sz val="11"/>
        <color theme="1"/>
        <rFont val="나눔고딕"/>
        <family val="3"/>
        <charset val="129"/>
      </rPr>
      <t>사용</t>
    </r>
    <phoneticPr fontId="6" type="noConversion"/>
  </si>
  <si>
    <r>
      <rPr>
        <sz val="11"/>
        <color theme="1"/>
        <rFont val="나눔고딕"/>
        <family val="3"/>
        <charset val="129"/>
      </rPr>
      <t>③</t>
    </r>
    <r>
      <rPr>
        <sz val="11"/>
        <color theme="1"/>
        <rFont val="Times New Roman"/>
        <family val="1"/>
      </rPr>
      <t xml:space="preserve"> </t>
    </r>
    <r>
      <rPr>
        <sz val="11"/>
        <color theme="1"/>
        <rFont val="나눔고딕"/>
        <family val="3"/>
        <charset val="129"/>
      </rPr>
      <t>공격벡터</t>
    </r>
    <r>
      <rPr>
        <sz val="11"/>
        <color theme="1"/>
        <rFont val="Times New Roman"/>
        <family val="1"/>
      </rPr>
      <t xml:space="preserve"> </t>
    </r>
    <r>
      <rPr>
        <sz val="11"/>
        <color theme="1"/>
        <rFont val="나눔고딕"/>
        <family val="3"/>
        <charset val="129"/>
      </rPr>
      <t>기반</t>
    </r>
    <r>
      <rPr>
        <sz val="11"/>
        <color theme="1"/>
        <rFont val="Times New Roman"/>
        <family val="1"/>
      </rPr>
      <t>(Attack Vector-based)</t>
    </r>
    <phoneticPr fontId="6" type="noConversion"/>
  </si>
  <si>
    <t>S</t>
    <phoneticPr fontId="6" type="noConversion"/>
  </si>
  <si>
    <t>T</t>
    <phoneticPr fontId="6" type="noConversion"/>
  </si>
  <si>
    <t>U:V</t>
    <phoneticPr fontId="6" type="noConversion"/>
  </si>
  <si>
    <t>Y</t>
    <phoneticPr fontId="6" type="noConversion"/>
  </si>
  <si>
    <t>Z</t>
    <phoneticPr fontId="6" type="noConversion"/>
  </si>
  <si>
    <r>
      <t xml:space="preserve">AFR </t>
    </r>
    <r>
      <rPr>
        <sz val="11"/>
        <color theme="1"/>
        <rFont val="나눔고딕"/>
        <family val="3"/>
        <charset val="129"/>
      </rPr>
      <t>산정이</t>
    </r>
    <r>
      <rPr>
        <sz val="11"/>
        <color theme="1"/>
        <rFont val="Times New Roman"/>
        <family val="1"/>
      </rPr>
      <t xml:space="preserve"> </t>
    </r>
    <r>
      <rPr>
        <sz val="11"/>
        <color theme="1"/>
        <rFont val="나눔고딕"/>
        <family val="3"/>
        <charset val="129"/>
      </rPr>
      <t>약점분석에</t>
    </r>
    <r>
      <rPr>
        <sz val="11"/>
        <color theme="1"/>
        <rFont val="Times New Roman"/>
        <family val="1"/>
      </rPr>
      <t xml:space="preserve"> </t>
    </r>
    <r>
      <rPr>
        <sz val="11"/>
        <color theme="1"/>
        <rFont val="나눔고딕"/>
        <family val="3"/>
        <charset val="129"/>
      </rPr>
      <t>선행하므로</t>
    </r>
    <r>
      <rPr>
        <sz val="11"/>
        <color theme="1"/>
        <rFont val="Times New Roman"/>
        <family val="1"/>
      </rPr>
      <t xml:space="preserve">, </t>
    </r>
    <r>
      <rPr>
        <sz val="11"/>
        <color theme="1"/>
        <rFont val="나눔고딕"/>
        <family val="3"/>
        <charset val="129"/>
      </rPr>
      <t>잘못된</t>
    </r>
    <r>
      <rPr>
        <sz val="11"/>
        <color theme="1"/>
        <rFont val="Times New Roman"/>
        <family val="1"/>
      </rPr>
      <t xml:space="preserve"> </t>
    </r>
    <r>
      <rPr>
        <sz val="11"/>
        <color theme="1"/>
        <rFont val="나눔고딕"/>
        <family val="3"/>
        <charset val="129"/>
      </rPr>
      <t xml:space="preserve">판단
</t>
    </r>
    <r>
      <rPr>
        <b/>
        <sz val="11"/>
        <color rgb="FF0000FF"/>
        <rFont val="나눔고딕"/>
        <family val="3"/>
        <charset val="129"/>
      </rPr>
      <t>단</t>
    </r>
    <r>
      <rPr>
        <b/>
        <sz val="11"/>
        <color rgb="FF0000FF"/>
        <rFont val="Times New Roman"/>
        <family val="1"/>
      </rPr>
      <t xml:space="preserve">, </t>
    </r>
    <r>
      <rPr>
        <b/>
        <sz val="11"/>
        <color rgb="FF0000FF"/>
        <rFont val="나눔고딕"/>
        <family val="3"/>
        <charset val="129"/>
      </rPr>
      <t>최종</t>
    </r>
    <r>
      <rPr>
        <b/>
        <sz val="11"/>
        <color rgb="FF0000FF"/>
        <rFont val="Times New Roman"/>
        <family val="1"/>
      </rPr>
      <t xml:space="preserve"> </t>
    </r>
    <r>
      <rPr>
        <b/>
        <sz val="11"/>
        <color rgb="FF0000FF"/>
        <rFont val="나눔고딕"/>
        <family val="3"/>
        <charset val="129"/>
      </rPr>
      <t>결과인</t>
    </r>
    <r>
      <rPr>
        <b/>
        <sz val="11"/>
        <color rgb="FF0000FF"/>
        <rFont val="Times New Roman"/>
        <family val="1"/>
      </rPr>
      <t xml:space="preserve"> Disposition(AC</t>
    </r>
    <r>
      <rPr>
        <b/>
        <sz val="11"/>
        <color rgb="FF0000FF"/>
        <rFont val="나눔고딕"/>
        <family val="3"/>
        <charset val="129"/>
      </rPr>
      <t>열</t>
    </r>
    <r>
      <rPr>
        <b/>
        <sz val="11"/>
        <color rgb="FF0000FF"/>
        <rFont val="Times New Roman"/>
        <family val="1"/>
      </rPr>
      <t xml:space="preserve">) </t>
    </r>
    <r>
      <rPr>
        <b/>
        <sz val="11"/>
        <color rgb="FF0000FF"/>
        <rFont val="나눔고딕"/>
        <family val="3"/>
        <charset val="129"/>
      </rPr>
      <t>결정을</t>
    </r>
    <r>
      <rPr>
        <b/>
        <sz val="11"/>
        <color rgb="FF0000FF"/>
        <rFont val="Times New Roman"/>
        <family val="1"/>
      </rPr>
      <t xml:space="preserve"> </t>
    </r>
    <r>
      <rPr>
        <b/>
        <sz val="11"/>
        <color rgb="FF0000FF"/>
        <rFont val="나눔고딕"/>
        <family val="3"/>
        <charset val="129"/>
      </rPr>
      <t>위한</t>
    </r>
    <r>
      <rPr>
        <b/>
        <sz val="11"/>
        <color rgb="FF0000FF"/>
        <rFont val="Times New Roman"/>
        <family val="1"/>
      </rPr>
      <t xml:space="preserve"> </t>
    </r>
    <r>
      <rPr>
        <b/>
        <sz val="11"/>
        <color rgb="FF0000FF"/>
        <rFont val="나눔고딕"/>
        <family val="3"/>
        <charset val="129"/>
      </rPr>
      <t>참조로</t>
    </r>
    <r>
      <rPr>
        <b/>
        <sz val="11"/>
        <color rgb="FF0000FF"/>
        <rFont val="Times New Roman"/>
        <family val="1"/>
      </rPr>
      <t xml:space="preserve"> </t>
    </r>
    <r>
      <rPr>
        <b/>
        <sz val="11"/>
        <color rgb="FF0000FF"/>
        <rFont val="나눔고딕"/>
        <family val="3"/>
        <charset val="129"/>
      </rPr>
      <t>사용</t>
    </r>
    <phoneticPr fontId="6" type="noConversion"/>
  </si>
  <si>
    <r>
      <t>TARA</t>
    </r>
    <r>
      <rPr>
        <sz val="11"/>
        <color theme="1"/>
        <rFont val="나눔고딕"/>
        <family val="3"/>
        <charset val="129"/>
      </rPr>
      <t>에서</t>
    </r>
    <r>
      <rPr>
        <sz val="11"/>
        <color theme="1"/>
        <rFont val="Times New Roman"/>
        <family val="1"/>
      </rPr>
      <t xml:space="preserve"> </t>
    </r>
    <r>
      <rPr>
        <sz val="11"/>
        <color theme="1"/>
        <rFont val="나눔고딕"/>
        <family val="3"/>
        <charset val="129"/>
      </rPr>
      <t>수행</t>
    </r>
    <r>
      <rPr>
        <sz val="11"/>
        <color theme="1"/>
        <rFont val="Times New Roman"/>
        <family val="1"/>
      </rPr>
      <t xml:space="preserve"> </t>
    </r>
    <r>
      <rPr>
        <sz val="11"/>
        <color theme="1"/>
        <rFont val="나눔고딕"/>
        <family val="3"/>
        <charset val="129"/>
      </rPr>
      <t>완료</t>
    </r>
    <r>
      <rPr>
        <sz val="11"/>
        <color theme="1"/>
        <rFont val="Times New Roman"/>
        <family val="1"/>
      </rPr>
      <t xml:space="preserve">. </t>
    </r>
    <r>
      <rPr>
        <sz val="11"/>
        <color theme="1"/>
        <rFont val="나눔고딕"/>
        <family val="3"/>
        <charset val="129"/>
      </rPr>
      <t>약점</t>
    </r>
    <r>
      <rPr>
        <sz val="11"/>
        <color theme="1"/>
        <rFont val="Times New Roman"/>
        <family val="1"/>
      </rPr>
      <t xml:space="preserve"> </t>
    </r>
    <r>
      <rPr>
        <sz val="11"/>
        <color theme="1"/>
        <rFont val="나눔고딕"/>
        <family val="3"/>
        <charset val="129"/>
      </rPr>
      <t>분석에서</t>
    </r>
    <r>
      <rPr>
        <sz val="11"/>
        <color theme="1"/>
        <rFont val="Times New Roman"/>
        <family val="1"/>
      </rPr>
      <t xml:space="preserve"> </t>
    </r>
    <r>
      <rPr>
        <sz val="11"/>
        <color theme="1"/>
        <rFont val="나눔고딕"/>
        <family val="3"/>
        <charset val="129"/>
      </rPr>
      <t>다시</t>
    </r>
    <r>
      <rPr>
        <sz val="11"/>
        <color theme="1"/>
        <rFont val="Times New Roman"/>
        <family val="1"/>
      </rPr>
      <t xml:space="preserve"> </t>
    </r>
    <r>
      <rPr>
        <sz val="11"/>
        <color theme="1"/>
        <rFont val="나눔고딕"/>
        <family val="3"/>
        <charset val="129"/>
      </rPr>
      <t>계산하는</t>
    </r>
    <r>
      <rPr>
        <sz val="11"/>
        <color theme="1"/>
        <rFont val="Times New Roman"/>
        <family val="1"/>
      </rPr>
      <t xml:space="preserve"> </t>
    </r>
    <r>
      <rPr>
        <sz val="11"/>
        <color theme="1"/>
        <rFont val="나눔고딕"/>
        <family val="3"/>
        <charset val="129"/>
      </rPr>
      <t>것은</t>
    </r>
    <r>
      <rPr>
        <sz val="11"/>
        <color theme="1"/>
        <rFont val="Times New Roman"/>
        <family val="1"/>
      </rPr>
      <t xml:space="preserve"> </t>
    </r>
    <r>
      <rPr>
        <sz val="11"/>
        <color theme="1"/>
        <rFont val="나눔고딕"/>
        <family val="3"/>
        <charset val="129"/>
      </rPr>
      <t>적정하지</t>
    </r>
    <r>
      <rPr>
        <sz val="11"/>
        <color theme="1"/>
        <rFont val="Times New Roman"/>
        <family val="1"/>
      </rPr>
      <t xml:space="preserve"> </t>
    </r>
    <r>
      <rPr>
        <sz val="11"/>
        <color theme="1"/>
        <rFont val="나눔고딕"/>
        <family val="3"/>
        <charset val="129"/>
      </rPr>
      <t>못함</t>
    </r>
    <r>
      <rPr>
        <sz val="11"/>
        <color theme="1"/>
        <rFont val="Times New Roman"/>
        <family val="1"/>
      </rPr>
      <t>.
U</t>
    </r>
    <r>
      <rPr>
        <sz val="11"/>
        <color theme="1"/>
        <rFont val="나눔고딕"/>
        <family val="3"/>
        <charset val="129"/>
      </rPr>
      <t>열은</t>
    </r>
    <r>
      <rPr>
        <sz val="11"/>
        <color theme="1"/>
        <rFont val="Times New Roman"/>
        <family val="1"/>
      </rPr>
      <t xml:space="preserve"> Risk treatment(TARA)</t>
    </r>
    <r>
      <rPr>
        <sz val="11"/>
        <color theme="1"/>
        <rFont val="나눔고딕"/>
        <family val="3"/>
        <charset val="129"/>
      </rPr>
      <t>로</t>
    </r>
    <r>
      <rPr>
        <sz val="11"/>
        <color theme="1"/>
        <rFont val="Times New Roman"/>
        <family val="1"/>
      </rPr>
      <t xml:space="preserve"> </t>
    </r>
    <r>
      <rPr>
        <sz val="11"/>
        <color theme="1"/>
        <rFont val="나눔고딕"/>
        <family val="3"/>
        <charset val="129"/>
      </rPr>
      <t>변경해서</t>
    </r>
    <r>
      <rPr>
        <sz val="11"/>
        <color theme="1"/>
        <rFont val="Times New Roman"/>
        <family val="1"/>
      </rPr>
      <t xml:space="preserve"> </t>
    </r>
    <r>
      <rPr>
        <sz val="11"/>
        <color theme="1"/>
        <rFont val="나눔고딕"/>
        <family val="3"/>
        <charset val="129"/>
      </rPr>
      <t>사용</t>
    </r>
    <r>
      <rPr>
        <sz val="11"/>
        <color theme="1"/>
        <rFont val="Times New Roman"/>
        <family val="1"/>
      </rPr>
      <t xml:space="preserve">
TARA</t>
    </r>
    <r>
      <rPr>
        <sz val="11"/>
        <color theme="1"/>
        <rFont val="나눔고딕"/>
        <family val="3"/>
        <charset val="129"/>
      </rPr>
      <t>의</t>
    </r>
    <r>
      <rPr>
        <sz val="11"/>
        <color theme="1"/>
        <rFont val="Times New Roman"/>
        <family val="1"/>
      </rPr>
      <t xml:space="preserve"> </t>
    </r>
    <r>
      <rPr>
        <sz val="11"/>
        <color theme="1"/>
        <rFont val="나눔고딕"/>
        <family val="3"/>
        <charset val="129"/>
      </rPr>
      <t>위험처리</t>
    </r>
    <r>
      <rPr>
        <sz val="11"/>
        <color theme="1"/>
        <rFont val="Times New Roman"/>
        <family val="1"/>
      </rPr>
      <t xml:space="preserve"> </t>
    </r>
    <r>
      <rPr>
        <sz val="11"/>
        <color theme="1"/>
        <rFont val="나눔고딕"/>
        <family val="3"/>
        <charset val="129"/>
      </rPr>
      <t>결과를</t>
    </r>
    <r>
      <rPr>
        <sz val="11"/>
        <color theme="1"/>
        <rFont val="Times New Roman"/>
        <family val="1"/>
      </rPr>
      <t xml:space="preserve"> </t>
    </r>
    <r>
      <rPr>
        <sz val="11"/>
        <color theme="1"/>
        <rFont val="나눔고딕"/>
        <family val="3"/>
        <charset val="129"/>
      </rPr>
      <t>이미</t>
    </r>
    <r>
      <rPr>
        <sz val="11"/>
        <color theme="1"/>
        <rFont val="Times New Roman"/>
        <family val="1"/>
      </rPr>
      <t xml:space="preserve"> </t>
    </r>
    <r>
      <rPr>
        <sz val="11"/>
        <color theme="1"/>
        <rFont val="나눔고딕"/>
        <family val="3"/>
        <charset val="129"/>
      </rPr>
      <t>참조하므로</t>
    </r>
    <r>
      <rPr>
        <sz val="11"/>
        <color theme="1"/>
        <rFont val="Times New Roman"/>
        <family val="1"/>
      </rPr>
      <t xml:space="preserve">, </t>
    </r>
    <r>
      <rPr>
        <sz val="11"/>
        <color theme="1"/>
        <rFont val="나눔고딕"/>
        <family val="3"/>
        <charset val="129"/>
      </rPr>
      <t>위험처리에</t>
    </r>
    <r>
      <rPr>
        <sz val="11"/>
        <color theme="1"/>
        <rFont val="Times New Roman"/>
        <family val="1"/>
      </rPr>
      <t xml:space="preserve"> </t>
    </r>
    <r>
      <rPr>
        <sz val="11"/>
        <color theme="1"/>
        <rFont val="나눔고딕"/>
        <family val="3"/>
        <charset val="129"/>
      </rPr>
      <t>사용되는</t>
    </r>
    <r>
      <rPr>
        <sz val="11"/>
        <color theme="1"/>
        <rFont val="Times New Roman"/>
        <family val="1"/>
      </rPr>
      <t xml:space="preserve"> AFR </t>
    </r>
    <r>
      <rPr>
        <sz val="11"/>
        <color theme="1"/>
        <rFont val="나눔고딕"/>
        <family val="3"/>
        <charset val="129"/>
      </rPr>
      <t>점수와</t>
    </r>
    <r>
      <rPr>
        <sz val="11"/>
        <color theme="1"/>
        <rFont val="Times New Roman"/>
        <family val="1"/>
      </rPr>
      <t xml:space="preserve"> </t>
    </r>
    <r>
      <rPr>
        <sz val="11"/>
        <color theme="1"/>
        <rFont val="나눔고딕"/>
        <family val="3"/>
        <charset val="129"/>
      </rPr>
      <t>등급은</t>
    </r>
    <r>
      <rPr>
        <sz val="11"/>
        <color theme="1"/>
        <rFont val="Times New Roman"/>
        <family val="1"/>
      </rPr>
      <t xml:space="preserve"> </t>
    </r>
    <r>
      <rPr>
        <sz val="11"/>
        <color theme="1"/>
        <rFont val="나눔고딕"/>
        <family val="3"/>
        <charset val="129"/>
      </rPr>
      <t>참조할</t>
    </r>
    <r>
      <rPr>
        <sz val="11"/>
        <color theme="1"/>
        <rFont val="Times New Roman"/>
        <family val="1"/>
      </rPr>
      <t xml:space="preserve"> </t>
    </r>
    <r>
      <rPr>
        <sz val="11"/>
        <color theme="1"/>
        <rFont val="나눔고딕"/>
        <family val="3"/>
        <charset val="129"/>
      </rPr>
      <t>필요가</t>
    </r>
    <r>
      <rPr>
        <sz val="11"/>
        <color theme="1"/>
        <rFont val="Times New Roman"/>
        <family val="1"/>
      </rPr>
      <t xml:space="preserve"> </t>
    </r>
    <r>
      <rPr>
        <sz val="11"/>
        <color theme="1"/>
        <rFont val="나눔고딕"/>
        <family val="3"/>
        <charset val="129"/>
      </rPr>
      <t xml:space="preserve">없음
</t>
    </r>
    <r>
      <rPr>
        <b/>
        <sz val="11"/>
        <color rgb="FF0000FF"/>
        <rFont val="Times New Roman"/>
        <family val="1"/>
      </rPr>
      <t>U</t>
    </r>
    <r>
      <rPr>
        <b/>
        <sz val="11"/>
        <color rgb="FF0000FF"/>
        <rFont val="나눔고딕"/>
        <family val="3"/>
        <charset val="129"/>
      </rPr>
      <t>열은</t>
    </r>
    <r>
      <rPr>
        <b/>
        <sz val="11"/>
        <color rgb="FF0000FF"/>
        <rFont val="Times New Roman"/>
        <family val="1"/>
      </rPr>
      <t xml:space="preserve"> Risk treatment (TARA)</t>
    </r>
    <r>
      <rPr>
        <b/>
        <sz val="11"/>
        <color rgb="FF0000FF"/>
        <rFont val="나눔고딕"/>
        <family val="3"/>
        <charset val="129"/>
      </rPr>
      <t>로</t>
    </r>
    <r>
      <rPr>
        <b/>
        <sz val="11"/>
        <color rgb="FF0000FF"/>
        <rFont val="Times New Roman"/>
        <family val="1"/>
      </rPr>
      <t xml:space="preserve"> </t>
    </r>
    <r>
      <rPr>
        <b/>
        <sz val="11"/>
        <color rgb="FF0000FF"/>
        <rFont val="나눔고딕"/>
        <family val="3"/>
        <charset val="129"/>
      </rPr>
      <t>변경하여</t>
    </r>
    <r>
      <rPr>
        <b/>
        <sz val="11"/>
        <color rgb="FF0000FF"/>
        <rFont val="Times New Roman"/>
        <family val="1"/>
      </rPr>
      <t xml:space="preserve"> </t>
    </r>
    <r>
      <rPr>
        <b/>
        <sz val="11"/>
        <color rgb="FF0000FF"/>
        <rFont val="나눔고딕"/>
        <family val="3"/>
        <charset val="129"/>
      </rPr>
      <t xml:space="preserve">사용
</t>
    </r>
    <r>
      <rPr>
        <b/>
        <sz val="11"/>
        <color rgb="FF0000FF"/>
        <rFont val="Times New Roman"/>
        <family val="1"/>
      </rPr>
      <t>V</t>
    </r>
    <r>
      <rPr>
        <b/>
        <sz val="11"/>
        <color rgb="FF0000FF"/>
        <rFont val="나눔고딕"/>
        <family val="3"/>
        <charset val="129"/>
      </rPr>
      <t>열은</t>
    </r>
    <r>
      <rPr>
        <b/>
        <sz val="11"/>
        <color rgb="FF0000FF"/>
        <rFont val="Times New Roman"/>
        <family val="1"/>
      </rPr>
      <t xml:space="preserve"> </t>
    </r>
    <r>
      <rPr>
        <b/>
        <sz val="11"/>
        <color rgb="FF0000FF"/>
        <rFont val="나눔고딕"/>
        <family val="3"/>
        <charset val="129"/>
      </rPr>
      <t>숨기기함</t>
    </r>
    <phoneticPr fontId="6" type="noConversion"/>
  </si>
  <si>
    <r>
      <rPr>
        <sz val="11"/>
        <color theme="1"/>
        <rFont val="나눔고딕"/>
        <family val="3"/>
        <charset val="129"/>
      </rPr>
      <t>여기서</t>
    </r>
    <r>
      <rPr>
        <sz val="11"/>
        <color theme="1"/>
        <rFont val="Times New Roman"/>
        <family val="1"/>
      </rPr>
      <t>, Impact rating</t>
    </r>
    <r>
      <rPr>
        <sz val="11"/>
        <color theme="1"/>
        <rFont val="나눔고딕"/>
        <family val="3"/>
        <charset val="129"/>
      </rPr>
      <t>은</t>
    </r>
    <r>
      <rPr>
        <sz val="11"/>
        <color theme="1"/>
        <rFont val="Times New Roman"/>
        <family val="1"/>
      </rPr>
      <t xml:space="preserve"> CVSS </t>
    </r>
    <r>
      <rPr>
        <sz val="11"/>
        <color theme="1"/>
        <rFont val="나눔고딕"/>
        <family val="3"/>
        <charset val="129"/>
      </rPr>
      <t>벡터를</t>
    </r>
    <r>
      <rPr>
        <sz val="11"/>
        <color theme="1"/>
        <rFont val="Times New Roman"/>
        <family val="1"/>
      </rPr>
      <t xml:space="preserve"> </t>
    </r>
    <r>
      <rPr>
        <sz val="11"/>
        <color theme="1"/>
        <rFont val="나눔고딕"/>
        <family val="3"/>
        <charset val="129"/>
      </rPr>
      <t>구성하는</t>
    </r>
    <r>
      <rPr>
        <sz val="11"/>
        <color theme="1"/>
        <rFont val="Times New Roman"/>
        <family val="1"/>
      </rPr>
      <t xml:space="preserve"> CIA</t>
    </r>
    <r>
      <rPr>
        <sz val="11"/>
        <color theme="1"/>
        <rFont val="나눔고딕"/>
        <family val="3"/>
        <charset val="129"/>
      </rPr>
      <t>항목에</t>
    </r>
    <r>
      <rPr>
        <sz val="11"/>
        <color theme="1"/>
        <rFont val="Times New Roman"/>
        <family val="1"/>
      </rPr>
      <t xml:space="preserve"> </t>
    </r>
    <r>
      <rPr>
        <sz val="11"/>
        <color theme="1"/>
        <rFont val="나눔고딕"/>
        <family val="3"/>
        <charset val="129"/>
      </rPr>
      <t>관련되어</t>
    </r>
    <r>
      <rPr>
        <sz val="11"/>
        <color theme="1"/>
        <rFont val="Times New Roman"/>
        <family val="1"/>
      </rPr>
      <t xml:space="preserve"> </t>
    </r>
    <r>
      <rPr>
        <sz val="11"/>
        <color theme="1"/>
        <rFont val="나눔고딕"/>
        <family val="3"/>
        <charset val="129"/>
      </rPr>
      <t>있으므로</t>
    </r>
    <r>
      <rPr>
        <sz val="11"/>
        <color theme="1"/>
        <rFont val="Times New Roman"/>
        <family val="1"/>
      </rPr>
      <t>,  TARA</t>
    </r>
    <r>
      <rPr>
        <sz val="11"/>
        <color theme="1"/>
        <rFont val="나눔고딕"/>
        <family val="3"/>
        <charset val="129"/>
      </rPr>
      <t>의</t>
    </r>
    <r>
      <rPr>
        <sz val="11"/>
        <color theme="1"/>
        <rFont val="Times New Roman"/>
        <family val="1"/>
      </rPr>
      <t xml:space="preserve"> IR</t>
    </r>
    <r>
      <rPr>
        <sz val="11"/>
        <color theme="1"/>
        <rFont val="나눔고딕"/>
        <family val="3"/>
        <charset val="129"/>
      </rPr>
      <t>과는</t>
    </r>
    <r>
      <rPr>
        <sz val="11"/>
        <color theme="1"/>
        <rFont val="Times New Roman"/>
        <family val="1"/>
      </rPr>
      <t xml:space="preserve"> </t>
    </r>
    <r>
      <rPr>
        <sz val="11"/>
        <color theme="1"/>
        <rFont val="나눔고딕"/>
        <family val="3"/>
        <charset val="129"/>
      </rPr>
      <t>무관</t>
    </r>
    <r>
      <rPr>
        <sz val="11"/>
        <color theme="1"/>
        <rFont val="Times New Roman"/>
        <family val="1"/>
      </rPr>
      <t xml:space="preserve">.
</t>
    </r>
    <r>
      <rPr>
        <b/>
        <sz val="11"/>
        <color rgb="FF0000FF"/>
        <rFont val="나눔고딕"/>
        <family val="3"/>
        <charset val="129"/>
      </rPr>
      <t>열</t>
    </r>
    <r>
      <rPr>
        <b/>
        <sz val="11"/>
        <color rgb="FF0000FF"/>
        <rFont val="Times New Roman"/>
        <family val="1"/>
      </rPr>
      <t xml:space="preserve"> </t>
    </r>
    <r>
      <rPr>
        <b/>
        <sz val="11"/>
        <color rgb="FF0000FF"/>
        <rFont val="나눔고딕"/>
        <family val="3"/>
        <charset val="129"/>
      </rPr>
      <t>숨기기함</t>
    </r>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</si>
</sst>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h:mm:ss"/>
  </numFmts>
  <fonts count="51">
    <font>
      <sz val="11"/>
      <color theme="1"/>
      <name val="Calibri"/>
      <family val="2"/>
      <charset val="1"/>
    </font>
    <font>
      <sz val="11"/>
      <color theme="1"/>
      <name val="맑은 고딕"/>
      <family val="2"/>
      <charset val="129"/>
      <scheme val="minor"/>
    </font>
    <font>
      <sz val="10"/>
      <name val="Arial"/>
      <family val="2"/>
    </font>
    <font>
      <sz val="10"/>
      <name val="Noto Sans CJK SC"/>
      <family val="2"/>
    </font>
    <font>
      <sz val="11"/>
      <color theme="1"/>
      <name val="Calibri"/>
      <family val="2"/>
      <charset val="1"/>
    </font>
    <font>
      <sz val="9"/>
      <color theme="1"/>
      <name val="Times New Roman"/>
      <family val="1"/>
    </font>
    <font>
      <sz val="8"/>
      <name val="돋움"/>
      <family val="3"/>
      <charset val="129"/>
    </font>
    <font>
      <sz val="9"/>
      <name val="Times New Roman"/>
      <family val="1"/>
    </font>
    <font>
      <sz val="9"/>
      <color indexed="81"/>
      <name val="Tahoma"/>
      <family val="2"/>
    </font>
    <font>
      <b/>
      <sz val="9"/>
      <color indexed="81"/>
      <name val="Tahoma"/>
      <family val="2"/>
    </font>
    <font>
      <sz val="9"/>
      <color indexed="81"/>
      <name val="돋움"/>
      <family val="3"/>
      <charset val="129"/>
    </font>
    <font>
      <sz val="11"/>
      <color theme="1"/>
      <name val="Times New Roman"/>
      <family val="1"/>
    </font>
    <font>
      <sz val="11"/>
      <color rgb="FFFF0000"/>
      <name val="Times New Roman"/>
      <family val="1"/>
    </font>
    <font>
      <sz val="11"/>
      <color rgb="FFFF0000"/>
      <name val="나눔고딕"/>
      <family val="3"/>
      <charset val="129"/>
    </font>
    <font>
      <sz val="10"/>
      <color theme="1"/>
      <name val="Times New Roman"/>
      <family val="1"/>
    </font>
    <font>
      <sz val="10"/>
      <color theme="1"/>
      <name val="나눔고딕"/>
      <family val="3"/>
      <charset val="129"/>
    </font>
    <font>
      <sz val="8"/>
      <name val="맑은 고딕"/>
      <family val="2"/>
      <charset val="129"/>
      <scheme val="minor"/>
    </font>
    <font>
      <sz val="10"/>
      <color rgb="FFFF0000"/>
      <name val="Times New Roman"/>
      <family val="1"/>
    </font>
    <font>
      <sz val="10"/>
      <color rgb="FFFF0000"/>
      <name val="나눔고딕"/>
      <family val="3"/>
      <charset val="129"/>
    </font>
    <font>
      <sz val="9"/>
      <color rgb="FFFF0000"/>
      <name val="Times New Roman"/>
      <family val="1"/>
    </font>
    <font>
      <sz val="9"/>
      <color rgb="FFFF0000"/>
      <name val="나눔고딕"/>
      <family val="3"/>
      <charset val="129"/>
    </font>
    <font>
      <sz val="10"/>
      <name val="Times New Roman"/>
      <family val="1"/>
    </font>
    <font>
      <b/>
      <sz val="10"/>
      <color rgb="FFFFFFFF"/>
      <name val="Times New Roman"/>
      <family val="1"/>
    </font>
    <font>
      <b/>
      <sz val="10"/>
      <color rgb="FFFFFFFF"/>
      <name val="나눔고딕"/>
      <family val="3"/>
      <charset val="129"/>
    </font>
    <font>
      <sz val="10"/>
      <name val="나눔고딕"/>
      <family val="3"/>
      <charset val="129"/>
    </font>
    <font>
      <sz val="11"/>
      <color theme="1"/>
      <name val="맑은 고딕"/>
      <family val="2"/>
      <scheme val="minor"/>
    </font>
    <font>
      <sz val="11"/>
      <color theme="1"/>
      <name val="나눔고딕"/>
      <family val="3"/>
      <charset val="129"/>
    </font>
    <font>
      <b/>
      <sz val="11"/>
      <color rgb="FF1F4E78"/>
      <name val="나눔고딕"/>
      <family val="3"/>
      <charset val="129"/>
    </font>
    <font>
      <i/>
      <sz val="9"/>
      <color rgb="FF666666"/>
      <name val="나눔고딕"/>
      <family val="3"/>
      <charset val="129"/>
    </font>
    <font>
      <b/>
      <sz val="11"/>
      <color rgb="FF1F4E78"/>
      <name val="Times New Roman"/>
      <family val="1"/>
    </font>
    <font>
      <i/>
      <sz val="9"/>
      <color rgb="FF666666"/>
      <name val="Times New Roman"/>
      <family val="1"/>
    </font>
    <font>
      <b/>
      <sz val="12"/>
      <color rgb="FF1F4E78"/>
      <name val="나눔고딕"/>
      <family val="3"/>
      <charset val="129"/>
    </font>
    <font>
      <b/>
      <sz val="11"/>
      <name val="나눔고딕"/>
      <family val="3"/>
      <charset val="129"/>
    </font>
    <font>
      <b/>
      <sz val="12"/>
      <color rgb="FF1F4E78"/>
      <name val="Times New Roman"/>
      <family val="1"/>
    </font>
    <font>
      <b/>
      <sz val="10"/>
      <name val="Times New Roman"/>
      <family val="1"/>
    </font>
    <font>
      <b/>
      <sz val="11"/>
      <name val="Times New Roman"/>
      <family val="1"/>
    </font>
    <font>
      <i/>
      <sz val="10"/>
      <color rgb="FF808080"/>
      <name val="나눔고딕"/>
      <family val="3"/>
      <charset val="129"/>
    </font>
    <font>
      <i/>
      <sz val="10"/>
      <color rgb="FF808080"/>
      <name val="Times New Roman"/>
      <family val="1"/>
    </font>
    <font>
      <sz val="11"/>
      <color theme="1"/>
      <name val="돋움"/>
      <family val="3"/>
      <charset val="129"/>
    </font>
    <font>
      <b/>
      <sz val="10"/>
      <color rgb="FF0000FF"/>
      <name val="나눔고딕"/>
      <family val="3"/>
      <charset val="129"/>
    </font>
    <font>
      <b/>
      <sz val="10"/>
      <color rgb="FF0000FF"/>
      <name val="Times New Roman"/>
      <family val="1"/>
    </font>
    <font>
      <b/>
      <sz val="18"/>
      <color theme="1"/>
      <name val="나눔고딕"/>
      <family val="3"/>
      <charset val="129"/>
    </font>
    <font>
      <sz val="12"/>
      <color theme="1"/>
      <name val="나눔고딕"/>
      <family val="3"/>
      <charset val="129"/>
    </font>
    <font>
      <b/>
      <sz val="11"/>
      <color theme="1"/>
      <name val="나눔고딕"/>
      <family val="3"/>
      <charset val="129"/>
    </font>
    <font>
      <b/>
      <sz val="12"/>
      <color theme="1"/>
      <name val="나눔고딕"/>
      <family val="3"/>
      <charset val="129"/>
    </font>
    <font>
      <b/>
      <sz val="18"/>
      <color theme="1"/>
      <name val="Times New Roman"/>
      <family val="1"/>
    </font>
    <font>
      <sz val="12"/>
      <color theme="1"/>
      <name val="Times New Roman"/>
      <family val="1"/>
    </font>
    <font>
      <b/>
      <sz val="11"/>
      <color theme="1"/>
      <name val="Times New Roman"/>
      <family val="1"/>
    </font>
    <font>
      <b/>
      <sz val="12"/>
      <color theme="1"/>
      <name val="Times New Roman"/>
      <family val="1"/>
    </font>
    <font>
      <b/>
      <sz val="11"/>
      <color rgb="FF0000FF"/>
      <name val="Times New Roman"/>
      <family val="1"/>
    </font>
    <font>
      <b/>
      <sz val="11"/>
      <color rgb="FF0000FF"/>
      <name val="나눔고딕"/>
      <family val="3"/>
      <charset val="129"/>
    </font>
  </fonts>
  <fills count="19">
    <fill>
      <patternFill patternType="none"/>
    </fill>
    <fill>
      <patternFill patternType="gray125"/>
    </fill>
    <fill>
      <patternFill patternType="solid">
        <fgColor rgb="FF1F4E78"/>
        <bgColor rgb="FF003366"/>
      </patternFill>
    </fill>
    <fill>
      <patternFill patternType="solid">
        <fgColor rgb="FFE2EFDA"/>
        <bgColor rgb="FFDDEBF7"/>
      </patternFill>
    </fill>
    <fill>
      <patternFill patternType="solid">
        <fgColor rgb="FFFFF2CC"/>
        <bgColor rgb="FFE2EFDA"/>
      </patternFill>
    </fill>
    <fill>
      <patternFill patternType="solid">
        <fgColor rgb="FFD9D9D9"/>
        <bgColor rgb="FFDDEBF7"/>
      </patternFill>
    </fill>
    <fill>
      <patternFill patternType="solid">
        <fgColor rgb="FFDDEBF7"/>
        <bgColor rgb="FFE2EFDA"/>
      </patternFill>
    </fill>
    <fill>
      <patternFill patternType="solid">
        <fgColor theme="9" tint="0.79998168889431442"/>
        <bgColor indexed="64"/>
      </patternFill>
    </fill>
    <fill>
      <patternFill patternType="solid">
        <fgColor rgb="FFE6E6E6"/>
        <bgColor indexed="64"/>
      </patternFill>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1F4E78"/>
      </patternFill>
    </fill>
    <fill>
      <patternFill patternType="solid">
        <fgColor rgb="FFE2EFDA"/>
        <bgColor rgb="FFFFF2CC"/>
      </patternFill>
    </fill>
    <fill>
      <patternFill patternType="solid">
        <fgColor theme="9" tint="0.79998168889431442"/>
        <bgColor rgb="FFFFF2CC"/>
      </patternFill>
    </fill>
    <fill>
      <patternFill patternType="solid">
        <fgColor theme="6" tint="0.79998168889431442"/>
        <bgColor indexed="64"/>
      </patternFill>
    </fill>
    <fill>
      <patternFill patternType="solid">
        <fgColor theme="4" tint="0.79998168889431442"/>
        <bgColor rgb="FFDDEBF7"/>
      </patternFill>
    </fill>
    <fill>
      <patternFill patternType="solid">
        <fgColor theme="9" tint="-0.249977111117893"/>
        <bgColor rgb="FF003366"/>
      </patternFill>
    </fill>
    <fill>
      <patternFill patternType="solid">
        <fgColor rgb="FFFFFFBD"/>
        <bgColor indexed="64"/>
      </patternFill>
    </fill>
  </fills>
  <borders count="11">
    <border>
      <left/>
      <right/>
      <top/>
      <bottom/>
      <diagonal/>
    </border>
    <border>
      <left style="thin">
        <color rgb="FFBFBFBF"/>
      </left>
      <right style="thin">
        <color rgb="FFBFBFBF"/>
      </right>
      <top style="thin">
        <color rgb="FFBFBFBF"/>
      </top>
      <bottom style="thin">
        <color rgb="FFBFBFBF"/>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right/>
      <top style="thin">
        <color theme="0" tint="-0.34998626667073579"/>
      </top>
      <bottom/>
      <diagonal/>
    </border>
    <border>
      <left style="thin">
        <color indexed="64"/>
      </left>
      <right style="thin">
        <color indexed="64"/>
      </right>
      <top style="thin">
        <color indexed="64"/>
      </top>
      <bottom style="thin">
        <color indexed="64"/>
      </bottom>
      <diagonal/>
    </border>
    <border>
      <left style="thin">
        <color rgb="FF808080"/>
      </left>
      <right style="thin">
        <color rgb="FF808080"/>
      </right>
      <top style="thin">
        <color rgb="FF808080"/>
      </top>
      <bottom style="thin">
        <color rgb="FF808080"/>
      </bottom>
      <diagonal/>
    </border>
    <border>
      <left style="thin">
        <color rgb="FFC8C8C8"/>
      </left>
      <right style="thin">
        <color rgb="FFC8C8C8"/>
      </right>
      <top style="thin">
        <color rgb="FFC8C8C8"/>
      </top>
      <bottom style="thin">
        <color rgb="FFC8C8C8"/>
      </bottom>
      <diagonal/>
    </border>
    <border>
      <left/>
      <right/>
      <top/>
      <bottom style="thin">
        <color indexed="64"/>
      </bottom>
      <diagonal/>
    </border>
    <border>
      <left style="thin">
        <color indexed="64"/>
      </left>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4">
    <xf numFmtId="0" fontId="0" fillId="0" borderId="0"/>
    <xf numFmtId="0" fontId="1" fillId="0" borderId="0">
      <alignment vertical="center"/>
    </xf>
    <xf numFmtId="0" fontId="4" fillId="0" borderId="0"/>
    <xf numFmtId="0" fontId="25" fillId="0" borderId="0"/>
  </cellStyleXfs>
  <cellXfs count="102">
    <xf numFmtId="0" fontId="0" fillId="0" borderId="0" xfId="0"/>
    <xf numFmtId="0" fontId="5" fillId="0" borderId="0" xfId="1" applyFont="1" applyAlignment="1">
      <alignment horizontal="center" vertical="center"/>
    </xf>
    <xf numFmtId="0" fontId="5" fillId="0" borderId="0" xfId="1" applyFont="1" applyAlignment="1">
      <alignment horizontal="center" vertical="center" wrapText="1"/>
    </xf>
    <xf numFmtId="0" fontId="5" fillId="7" borderId="5" xfId="1" applyFont="1" applyFill="1" applyBorder="1" applyAlignment="1">
      <alignment horizontal="center" vertical="center"/>
    </xf>
    <xf numFmtId="0" fontId="5" fillId="7" borderId="5" xfId="1" applyFont="1" applyFill="1" applyBorder="1" applyAlignment="1">
      <alignment horizontal="center" vertical="center" wrapText="1"/>
    </xf>
    <xf numFmtId="0" fontId="7" fillId="0" borderId="6" xfId="1" applyFont="1" applyBorder="1" applyAlignment="1">
      <alignment horizontal="center" vertical="top"/>
    </xf>
    <xf numFmtId="0" fontId="7" fillId="0" borderId="6" xfId="1" applyFont="1" applyBorder="1" applyAlignment="1">
      <alignment horizontal="left" vertical="top" wrapText="1"/>
    </xf>
    <xf numFmtId="0" fontId="5" fillId="0" borderId="0" xfId="1" applyFont="1" applyAlignment="1"/>
    <xf numFmtId="0" fontId="5" fillId="0" borderId="0" xfId="1" applyFont="1" applyAlignment="1">
      <alignment wrapText="1"/>
    </xf>
    <xf numFmtId="0" fontId="11" fillId="0" borderId="0" xfId="1" applyFont="1" applyProtection="1">
      <alignment vertical="center"/>
    </xf>
    <xf numFmtId="0" fontId="12" fillId="0" borderId="0" xfId="1" applyFont="1" applyProtection="1">
      <alignment vertical="center"/>
    </xf>
    <xf numFmtId="0" fontId="14" fillId="0" borderId="7" xfId="1" applyFont="1" applyFill="1" applyBorder="1" applyAlignment="1" applyProtection="1">
      <alignment horizontal="center" vertical="center"/>
    </xf>
    <xf numFmtId="0" fontId="14" fillId="8" borderId="7" xfId="1" applyFont="1" applyFill="1" applyBorder="1" applyAlignment="1" applyProtection="1">
      <alignment horizontal="center" vertical="center"/>
    </xf>
    <xf numFmtId="0" fontId="14" fillId="0" borderId="7" xfId="1" applyFont="1" applyBorder="1" applyAlignment="1" applyProtection="1">
      <alignment horizontal="center" vertical="center"/>
    </xf>
    <xf numFmtId="0" fontId="14" fillId="0" borderId="0" xfId="1" applyFont="1" applyAlignment="1" applyProtection="1">
      <alignment horizontal="center" vertical="center"/>
    </xf>
    <xf numFmtId="0" fontId="14" fillId="0" borderId="0" xfId="1" applyFont="1" applyProtection="1">
      <alignment vertical="center"/>
    </xf>
    <xf numFmtId="0" fontId="19" fillId="0" borderId="0" xfId="1" applyFont="1" applyAlignment="1" applyProtection="1">
      <alignment horizontal="center" vertical="center"/>
    </xf>
    <xf numFmtId="0" fontId="14" fillId="10" borderId="5" xfId="1" applyFont="1" applyFill="1" applyBorder="1" applyAlignment="1" applyProtection="1">
      <alignment horizontal="center" vertical="center"/>
    </xf>
    <xf numFmtId="0" fontId="14" fillId="10" borderId="9" xfId="1" applyFont="1" applyFill="1" applyBorder="1" applyAlignment="1" applyProtection="1">
      <alignment horizontal="center" vertical="center"/>
    </xf>
    <xf numFmtId="0" fontId="21" fillId="10" borderId="5" xfId="2" applyFont="1" applyFill="1" applyBorder="1" applyAlignment="1" applyProtection="1">
      <alignment horizontal="center" vertical="center" wrapText="1"/>
    </xf>
    <xf numFmtId="0" fontId="22" fillId="2" borderId="5" xfId="2" applyFont="1" applyFill="1" applyBorder="1" applyAlignment="1" applyProtection="1">
      <alignment horizontal="center" vertical="center" wrapText="1"/>
    </xf>
    <xf numFmtId="0" fontId="14" fillId="0" borderId="7" xfId="1" applyFont="1" applyFill="1" applyBorder="1" applyAlignment="1" applyProtection="1">
      <alignment horizontal="left" vertical="center" wrapText="1"/>
    </xf>
    <xf numFmtId="0" fontId="5" fillId="9" borderId="7" xfId="1" applyFont="1" applyFill="1" applyBorder="1" applyAlignment="1" applyProtection="1">
      <alignment horizontal="center" vertical="center"/>
      <protection locked="0"/>
    </xf>
    <xf numFmtId="0" fontId="14" fillId="11" borderId="7" xfId="1" applyFont="1" applyFill="1" applyBorder="1" applyAlignment="1" applyProtection="1">
      <alignment horizontal="center" vertical="center"/>
    </xf>
    <xf numFmtId="0" fontId="21" fillId="0" borderId="5" xfId="2" applyFont="1" applyBorder="1" applyAlignment="1" applyProtection="1">
      <alignment horizontal="left" vertical="top" wrapText="1"/>
    </xf>
    <xf numFmtId="0" fontId="21" fillId="0" borderId="5" xfId="2" applyFont="1" applyBorder="1" applyAlignment="1" applyProtection="1">
      <alignment horizontal="center" vertical="top" wrapText="1"/>
    </xf>
    <xf numFmtId="0" fontId="21" fillId="0" borderId="5" xfId="2" applyFont="1" applyFill="1" applyBorder="1" applyAlignment="1" applyProtection="1">
      <alignment horizontal="center" vertical="top" wrapText="1"/>
    </xf>
    <xf numFmtId="0" fontId="5" fillId="9" borderId="7" xfId="1" applyFont="1" applyFill="1" applyBorder="1" applyAlignment="1" applyProtection="1">
      <alignment horizontal="center" vertical="center"/>
    </xf>
    <xf numFmtId="0" fontId="14" fillId="0" borderId="7" xfId="1" applyFont="1" applyBorder="1" applyAlignment="1" applyProtection="1">
      <alignment horizontal="left" vertical="center" wrapText="1"/>
    </xf>
    <xf numFmtId="0" fontId="14" fillId="0" borderId="0" xfId="1" applyFont="1" applyBorder="1" applyAlignment="1" applyProtection="1">
      <alignment horizontal="center" vertical="center"/>
    </xf>
    <xf numFmtId="0" fontId="14" fillId="0" borderId="0" xfId="1" applyFont="1" applyBorder="1" applyProtection="1">
      <alignment vertical="center"/>
    </xf>
    <xf numFmtId="0" fontId="14" fillId="0" borderId="0" xfId="1" applyFont="1" applyFill="1" applyBorder="1" applyAlignment="1" applyProtection="1">
      <alignment horizontal="center" vertical="center"/>
    </xf>
    <xf numFmtId="0" fontId="14" fillId="0" borderId="0" xfId="1" applyFont="1" applyFill="1" applyBorder="1" applyProtection="1">
      <alignment vertical="center"/>
    </xf>
    <xf numFmtId="0" fontId="14" fillId="0" borderId="7" xfId="0" applyFont="1" applyBorder="1" applyAlignment="1">
      <alignment horizontal="center" vertical="center"/>
    </xf>
    <xf numFmtId="0" fontId="5" fillId="9" borderId="7" xfId="0" applyFont="1" applyFill="1" applyBorder="1" applyAlignment="1">
      <alignment horizontal="center" vertical="center"/>
    </xf>
    <xf numFmtId="0" fontId="11" fillId="0" borderId="0" xfId="0" applyFont="1"/>
    <xf numFmtId="0" fontId="11" fillId="0" borderId="0" xfId="1" applyFont="1" applyAlignment="1">
      <alignment horizontal="center" vertical="center"/>
    </xf>
    <xf numFmtId="0" fontId="11" fillId="0" borderId="0" xfId="1" applyFont="1" applyAlignment="1">
      <alignment vertical="center"/>
    </xf>
    <xf numFmtId="0" fontId="11" fillId="0" borderId="0" xfId="1" applyFont="1" applyAlignment="1">
      <alignment wrapText="1"/>
    </xf>
    <xf numFmtId="0" fontId="29" fillId="0" borderId="0" xfId="0" applyFont="1" applyBorder="1" applyAlignment="1"/>
    <xf numFmtId="0" fontId="30" fillId="0" borderId="0" xfId="0" applyFont="1" applyBorder="1" applyAlignment="1"/>
    <xf numFmtId="0" fontId="22" fillId="2" borderId="1" xfId="0" applyFont="1" applyFill="1" applyBorder="1" applyAlignment="1">
      <alignment horizontal="center" vertical="center" wrapText="1"/>
    </xf>
    <xf numFmtId="0" fontId="21" fillId="3" borderId="1" xfId="0" applyFont="1" applyFill="1" applyBorder="1"/>
    <xf numFmtId="0" fontId="21" fillId="4" borderId="1" xfId="0" applyFont="1" applyFill="1" applyBorder="1"/>
    <xf numFmtId="176" fontId="21" fillId="4" borderId="1" xfId="0" applyNumberFormat="1" applyFont="1" applyFill="1" applyBorder="1"/>
    <xf numFmtId="0" fontId="21" fillId="5" borderId="1" xfId="0" applyFont="1" applyFill="1" applyBorder="1"/>
    <xf numFmtId="0" fontId="21" fillId="6" borderId="1" xfId="0" applyFont="1" applyFill="1" applyBorder="1"/>
    <xf numFmtId="0" fontId="11" fillId="0" borderId="0" xfId="0" applyFont="1" applyAlignment="1">
      <alignment vertical="center"/>
    </xf>
    <xf numFmtId="0" fontId="34" fillId="0" borderId="1" xfId="0" applyFont="1" applyBorder="1" applyAlignment="1">
      <alignment vertical="center"/>
    </xf>
    <xf numFmtId="0" fontId="21" fillId="0" borderId="1" xfId="0" applyFont="1" applyBorder="1" applyAlignment="1">
      <alignment vertical="center"/>
    </xf>
    <xf numFmtId="0" fontId="21" fillId="4" borderId="1" xfId="0" applyFont="1" applyFill="1" applyBorder="1" applyAlignment="1">
      <alignment vertical="center"/>
    </xf>
    <xf numFmtId="0" fontId="34" fillId="0" borderId="1" xfId="0" applyFont="1" applyBorder="1" applyAlignment="1">
      <alignment horizontal="center" vertical="center"/>
    </xf>
    <xf numFmtId="0" fontId="35" fillId="0" borderId="0" xfId="0" applyFont="1" applyAlignment="1">
      <alignment vertical="center"/>
    </xf>
    <xf numFmtId="0" fontId="11" fillId="0" borderId="0" xfId="3" applyFont="1"/>
    <xf numFmtId="0" fontId="22" fillId="12" borderId="0" xfId="3" applyFont="1" applyFill="1"/>
    <xf numFmtId="0" fontId="21" fillId="0" borderId="0" xfId="3" applyFont="1"/>
    <xf numFmtId="0" fontId="29" fillId="0" borderId="0" xfId="3" applyFont="1" applyAlignment="1"/>
    <xf numFmtId="0" fontId="11" fillId="0" borderId="0" xfId="3" applyFont="1" applyAlignment="1"/>
    <xf numFmtId="0" fontId="30" fillId="0" borderId="0" xfId="3" applyFont="1" applyAlignment="1"/>
    <xf numFmtId="0" fontId="22" fillId="12" borderId="1" xfId="3" applyFont="1" applyFill="1" applyBorder="1" applyAlignment="1">
      <alignment horizontal="center" vertical="center"/>
    </xf>
    <xf numFmtId="0" fontId="21" fillId="0" borderId="1" xfId="0" applyFont="1" applyBorder="1"/>
    <xf numFmtId="0" fontId="21" fillId="0" borderId="0" xfId="0" applyFont="1"/>
    <xf numFmtId="0" fontId="37" fillId="4" borderId="1" xfId="0" applyFont="1" applyFill="1" applyBorder="1"/>
    <xf numFmtId="0" fontId="5" fillId="7" borderId="2" xfId="1" applyFont="1" applyFill="1" applyBorder="1" applyAlignment="1">
      <alignment horizontal="center" vertical="center" wrapText="1"/>
    </xf>
    <xf numFmtId="0" fontId="11" fillId="0" borderId="0" xfId="3" applyFont="1"/>
    <xf numFmtId="0" fontId="14" fillId="0" borderId="0" xfId="0" applyFont="1"/>
    <xf numFmtId="0" fontId="21" fillId="16" borderId="1" xfId="0" applyFont="1" applyFill="1" applyBorder="1"/>
    <xf numFmtId="0" fontId="11" fillId="0" borderId="0" xfId="0" applyFont="1" applyAlignment="1">
      <alignment horizontal="center"/>
    </xf>
    <xf numFmtId="0" fontId="22" fillId="17" borderId="1" xfId="0" applyFont="1" applyFill="1" applyBorder="1" applyAlignment="1">
      <alignment horizontal="center" vertical="center" wrapText="1"/>
    </xf>
    <xf numFmtId="0" fontId="40" fillId="0" borderId="0" xfId="0" applyFont="1" applyBorder="1" applyAlignment="1">
      <alignment horizontal="center" vertical="center"/>
    </xf>
    <xf numFmtId="0" fontId="14" fillId="0" borderId="0" xfId="0" applyFont="1" applyAlignment="1">
      <alignment horizontal="center"/>
    </xf>
    <xf numFmtId="0" fontId="45" fillId="0" borderId="0" xfId="0" applyFont="1" applyAlignment="1">
      <alignment vertical="center"/>
    </xf>
    <xf numFmtId="0" fontId="46" fillId="0" borderId="0" xfId="0" applyFont="1"/>
    <xf numFmtId="0" fontId="11" fillId="0" borderId="0" xfId="0" applyFont="1" applyAlignment="1">
      <alignment horizontal="left" vertical="center" indent="1"/>
    </xf>
    <xf numFmtId="0" fontId="47" fillId="0" borderId="0" xfId="0" applyFont="1" applyAlignment="1">
      <alignment horizontal="left" vertical="center" indent="1"/>
    </xf>
    <xf numFmtId="0" fontId="48" fillId="0" borderId="0" xfId="0" applyFont="1" applyAlignment="1">
      <alignment vertical="center"/>
    </xf>
    <xf numFmtId="0" fontId="14" fillId="0" borderId="7" xfId="0" applyFont="1" applyBorder="1" applyAlignment="1">
      <alignment horizontal="center" vertical="center" wrapText="1"/>
    </xf>
    <xf numFmtId="0" fontId="15" fillId="0" borderId="7" xfId="0" applyFont="1" applyBorder="1" applyAlignment="1">
      <alignment horizontal="center" vertical="center" wrapText="1"/>
    </xf>
    <xf numFmtId="0" fontId="14" fillId="0" borderId="7" xfId="1" applyFont="1" applyBorder="1" applyAlignment="1" applyProtection="1">
      <alignment horizontal="center" vertical="center" wrapText="1"/>
    </xf>
    <xf numFmtId="0" fontId="47" fillId="15" borderId="10" xfId="0" applyFont="1" applyFill="1" applyBorder="1" applyAlignment="1">
      <alignment horizontal="center" vertical="center" wrapText="1"/>
    </xf>
    <xf numFmtId="0" fontId="47" fillId="11" borderId="10" xfId="0" applyFont="1" applyFill="1" applyBorder="1" applyAlignment="1">
      <alignment horizontal="center" vertical="center"/>
    </xf>
    <xf numFmtId="0" fontId="47" fillId="0" borderId="10" xfId="0" applyFont="1" applyBorder="1" applyAlignment="1">
      <alignment vertical="center" wrapText="1"/>
    </xf>
    <xf numFmtId="0" fontId="11" fillId="0" borderId="10" xfId="0" applyFont="1" applyBorder="1" applyAlignment="1">
      <alignment vertical="center" wrapText="1"/>
    </xf>
    <xf numFmtId="0" fontId="11" fillId="9" borderId="10" xfId="0" applyFont="1" applyFill="1" applyBorder="1" applyAlignment="1">
      <alignment horizontal="left" vertical="center" wrapText="1"/>
    </xf>
    <xf numFmtId="0" fontId="11" fillId="18" borderId="10" xfId="0" applyFont="1" applyFill="1" applyBorder="1" applyAlignment="1">
      <alignment horizontal="left" vertical="center" wrapText="1"/>
    </xf>
    <xf numFmtId="0" fontId="11" fillId="0" borderId="10" xfId="0" applyFont="1" applyBorder="1" applyAlignment="1">
      <alignment horizontal="left" vertical="center" wrapText="1"/>
    </xf>
    <xf numFmtId="0" fontId="11" fillId="0" borderId="10" xfId="0" applyFont="1" applyBorder="1" applyAlignment="1">
      <alignment horizontal="center" vertical="center"/>
    </xf>
    <xf numFmtId="0" fontId="17" fillId="0" borderId="8" xfId="1" applyFont="1" applyBorder="1" applyAlignment="1" applyProtection="1">
      <alignment horizontal="left" vertical="center"/>
    </xf>
    <xf numFmtId="0" fontId="5" fillId="7" borderId="2" xfId="1" applyFont="1" applyFill="1" applyBorder="1" applyAlignment="1">
      <alignment horizontal="center" vertical="center"/>
    </xf>
    <xf numFmtId="0" fontId="11" fillId="0" borderId="3" xfId="1" applyFont="1" applyBorder="1" applyAlignment="1"/>
    <xf numFmtId="0" fontId="11" fillId="0" borderId="4" xfId="1" applyFont="1" applyBorder="1" applyAlignment="1"/>
    <xf numFmtId="0" fontId="5" fillId="7" borderId="2" xfId="1" applyFont="1" applyFill="1" applyBorder="1" applyAlignment="1">
      <alignment horizontal="center" vertical="center" wrapText="1"/>
    </xf>
    <xf numFmtId="0" fontId="29" fillId="0" borderId="0" xfId="0" applyFont="1" applyBorder="1"/>
    <xf numFmtId="0" fontId="30" fillId="0" borderId="0" xfId="0" applyFont="1" applyBorder="1"/>
    <xf numFmtId="0" fontId="47" fillId="15" borderId="10" xfId="0" applyFont="1" applyFill="1" applyBorder="1" applyAlignment="1">
      <alignment horizontal="center" vertical="center" wrapText="1"/>
    </xf>
    <xf numFmtId="0" fontId="30" fillId="0" borderId="0" xfId="0" applyFont="1" applyBorder="1" applyAlignment="1">
      <alignment vertical="center"/>
    </xf>
    <xf numFmtId="0" fontId="33" fillId="0" borderId="0" xfId="0" applyFont="1" applyBorder="1" applyAlignment="1">
      <alignment vertical="center"/>
    </xf>
    <xf numFmtId="0" fontId="33" fillId="13" borderId="0" xfId="0" applyFont="1" applyFill="1" applyBorder="1" applyAlignment="1">
      <alignment horizontal="left" vertical="center"/>
    </xf>
    <xf numFmtId="0" fontId="33" fillId="14" borderId="0" xfId="0" applyFont="1" applyFill="1" applyBorder="1" applyAlignment="1">
      <alignment horizontal="left" vertical="center"/>
    </xf>
    <xf numFmtId="0" fontId="29" fillId="0" borderId="0" xfId="3" applyFont="1"/>
    <xf numFmtId="0" fontId="11" fillId="0" borderId="0" xfId="3" applyFont="1"/>
    <xf numFmtId="0" fontId="30" fillId="0" borderId="0" xfId="3" applyFont="1"/>
  </cellXfs>
  <cellStyles count="4">
    <cellStyle name="표준" xfId="0" builtinId="0"/>
    <cellStyle name="표준 2" xfId="1"/>
    <cellStyle name="표준 2 2" xfId="2"/>
    <cellStyle name="표준 3" xfId="3"/>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FF2CC"/>
      <rgbColor rgb="FFDDEBF7"/>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E2EFDA"/>
      <rgbColor rgb="FFFFFF99"/>
      <rgbColor rgb="FF99CCFF"/>
      <rgbColor rgb="FFFF99CC"/>
      <rgbColor rgb="FFCC99FF"/>
      <rgbColor rgb="FFFFCC99"/>
      <rgbColor rgb="FF3366FF"/>
      <rgbColor rgb="FF33CCCC"/>
      <rgbColor rgb="FF99CC00"/>
      <rgbColor rgb="FFFFCC00"/>
      <rgbColor rgb="FFFF9900"/>
      <rgbColor rgb="FFFF6600"/>
      <rgbColor rgb="FF666666"/>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mruColors>
      <color rgb="FFFFFFBD"/>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0</xdr:rowOff>
    </xdr:from>
    <xdr:to>
      <xdr:col>3</xdr:col>
      <xdr:colOff>0</xdr:colOff>
      <xdr:row>1</xdr:row>
      <xdr:rowOff>0</xdr:rowOff>
    </xdr:to>
    <xdr:sp macro="[0]!ListUpWorksheetsInSelectedXlFile" textlink="">
      <xdr:nvSpPr>
        <xdr:cNvPr id="2" name="btnListWorksheet"/>
        <xdr:cNvSpPr/>
      </xdr:nvSpPr>
      <xdr:spPr>
        <a:xfrm>
          <a:off x="660400" y="0"/>
          <a:ext cx="3276600" cy="2159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Times New Roman" panose="02020603050405020304" pitchFamily="18" charset="0"/>
            </a:rPr>
            <a:t>wsList </a:t>
          </a:r>
          <a:r>
            <a:rPr lang="ko-KR" altLang="en-US" sz="1000" b="1">
              <a:latin typeface="Times New Roman" panose="02020603050405020304" pitchFamily="18" charset="0"/>
            </a:rPr>
            <a:t>목록 업데이트</a:t>
          </a:r>
        </a:p>
      </xdr:txBody>
    </xdr:sp>
    <xdr:clientData/>
  </xdr:twoCellAnchor>
  <xdr:twoCellAnchor>
    <xdr:from>
      <xdr:col>1</xdr:col>
      <xdr:colOff>0</xdr:colOff>
      <xdr:row>1</xdr:row>
      <xdr:rowOff>0</xdr:rowOff>
    </xdr:from>
    <xdr:to>
      <xdr:col>3</xdr:col>
      <xdr:colOff>0</xdr:colOff>
      <xdr:row>2</xdr:row>
      <xdr:rowOff>0</xdr:rowOff>
    </xdr:to>
    <xdr:sp macro="[0]!ActivateWorkbookAndWorksheet_FromWsList" textlink="">
      <xdr:nvSpPr>
        <xdr:cNvPr id="3" name="btnGoToWorksheet"/>
        <xdr:cNvSpPr/>
      </xdr:nvSpPr>
      <xdr:spPr>
        <a:xfrm>
          <a:off x="660400" y="215900"/>
          <a:ext cx="3276600" cy="2159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1">
              <a:latin typeface="Times New Roman" panose="02020603050405020304" pitchFamily="18" charset="0"/>
            </a:rPr>
            <a:t>워크시트 찾아가기</a:t>
          </a:r>
        </a:p>
      </xdr:txBody>
    </xdr:sp>
    <xdr:clientData/>
  </xdr:twoCellAnchor>
  <xdr:twoCellAnchor>
    <xdr:from>
      <xdr:col>10</xdr:col>
      <xdr:colOff>0</xdr:colOff>
      <xdr:row>0</xdr:row>
      <xdr:rowOff>0</xdr:rowOff>
    </xdr:from>
    <xdr:to>
      <xdr:col>11</xdr:col>
      <xdr:colOff>0</xdr:colOff>
      <xdr:row>3</xdr:row>
      <xdr:rowOff>0</xdr:rowOff>
    </xdr:to>
    <xdr:sp macro="[0]!SetFontAllSheets_시트보호제외" textlink="">
      <xdr:nvSpPr>
        <xdr:cNvPr id="4" name="btnFontWorkbook"/>
        <xdr:cNvSpPr/>
      </xdr:nvSpPr>
      <xdr:spPr>
        <a:xfrm>
          <a:off x="11899900" y="0"/>
          <a:ext cx="1263650" cy="6477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Times New Roman" panose="02020603050405020304" pitchFamily="18" charset="0"/>
            </a:rPr>
            <a:t>Font/Size </a:t>
          </a:r>
          <a:r>
            <a:rPr lang="ko-KR" altLang="en-US" sz="1000" b="1">
              <a:latin typeface="Times New Roman" panose="02020603050405020304" pitchFamily="18" charset="0"/>
            </a:rPr>
            <a:t>설정</a:t>
          </a:r>
        </a:p>
      </xdr:txBody>
    </xdr:sp>
    <xdr:clientData/>
  </xdr:twoCellAnchor>
  <xdr:twoCellAnchor>
    <xdr:from>
      <xdr:col>6</xdr:col>
      <xdr:colOff>0</xdr:colOff>
      <xdr:row>0</xdr:row>
      <xdr:rowOff>0</xdr:rowOff>
    </xdr:from>
    <xdr:to>
      <xdr:col>10</xdr:col>
      <xdr:colOff>0</xdr:colOff>
      <xdr:row>1</xdr:row>
      <xdr:rowOff>0</xdr:rowOff>
    </xdr:to>
    <xdr:sp macro="[0]!AddGotoNaviBoxToAllSheets" textlink="">
      <xdr:nvSpPr>
        <xdr:cNvPr id="5" name="btnCreateWorksheet"/>
        <xdr:cNvSpPr/>
      </xdr:nvSpPr>
      <xdr:spPr>
        <a:xfrm>
          <a:off x="9258300" y="0"/>
          <a:ext cx="2641600" cy="2159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Times New Roman" panose="02020603050405020304" pitchFamily="18" charset="0"/>
            </a:rPr>
            <a:t>ws(A1)</a:t>
          </a:r>
          <a:r>
            <a:rPr lang="ko-KR" altLang="en-US" sz="1000" b="1">
              <a:latin typeface="Times New Roman" panose="02020603050405020304" pitchFamily="18" charset="0"/>
            </a:rPr>
            <a:t>에 </a:t>
          </a:r>
          <a:r>
            <a:rPr lang="en-US" altLang="ko-KR" sz="1000" b="1">
              <a:latin typeface="Times New Roman" panose="02020603050405020304" pitchFamily="18" charset="0"/>
            </a:rPr>
            <a:t>Goto wsList </a:t>
          </a:r>
          <a:r>
            <a:rPr lang="ko-KR" altLang="en-US" sz="1000" b="1">
              <a:latin typeface="Times New Roman" panose="02020603050405020304" pitchFamily="18" charset="0"/>
            </a:rPr>
            <a:t>함수 버튼 추가</a:t>
          </a:r>
        </a:p>
      </xdr:txBody>
    </xdr:sp>
    <xdr:clientData/>
  </xdr:twoCellAnchor>
  <xdr:twoCellAnchor>
    <xdr:from>
      <xdr:col>6</xdr:col>
      <xdr:colOff>0</xdr:colOff>
      <xdr:row>1</xdr:row>
      <xdr:rowOff>0</xdr:rowOff>
    </xdr:from>
    <xdr:to>
      <xdr:col>10</xdr:col>
      <xdr:colOff>0</xdr:colOff>
      <xdr:row>2</xdr:row>
      <xdr:rowOff>0</xdr:rowOff>
    </xdr:to>
    <xdr:sp macro="[0]!FixOnAction_AllSheets" textlink="">
      <xdr:nvSpPr>
        <xdr:cNvPr id="6" name="btnModOnAction"/>
        <xdr:cNvSpPr/>
      </xdr:nvSpPr>
      <xdr:spPr>
        <a:xfrm>
          <a:off x="9258300" y="215900"/>
          <a:ext cx="2641600" cy="2159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Times New Roman" panose="02020603050405020304" pitchFamily="18" charset="0"/>
            </a:rPr>
            <a:t>onAction </a:t>
          </a:r>
          <a:r>
            <a:rPr lang="ko-KR" altLang="en-US" sz="1000" b="1">
              <a:latin typeface="Times New Roman" panose="02020603050405020304" pitchFamily="18" charset="0"/>
            </a:rPr>
            <a:t>함수명을 현재 파일에 연결</a:t>
          </a:r>
        </a:p>
      </xdr:txBody>
    </xdr:sp>
    <xdr:clientData/>
  </xdr:twoCellAnchor>
  <xdr:twoCellAnchor>
    <xdr:from>
      <xdr:col>6</xdr:col>
      <xdr:colOff>0</xdr:colOff>
      <xdr:row>2</xdr:row>
      <xdr:rowOff>0</xdr:rowOff>
    </xdr:from>
    <xdr:to>
      <xdr:col>10</xdr:col>
      <xdr:colOff>0</xdr:colOff>
      <xdr:row>3</xdr:row>
      <xdr:rowOff>0</xdr:rowOff>
    </xdr:to>
    <xdr:sp macro="[0]!MacroDispatcher" textlink="">
      <xdr:nvSpPr>
        <xdr:cNvPr id="7" name="Preliminary"/>
        <xdr:cNvSpPr/>
      </xdr:nvSpPr>
      <xdr:spPr>
        <a:xfrm>
          <a:off x="9258300" y="431800"/>
          <a:ext cx="2641600" cy="2159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b="1">
              <a:latin typeface="Times New Roman" panose="02020603050405020304" pitchFamily="18" charset="0"/>
            </a:rPr>
            <a:t>목록에서 선택한 함수를 실행</a:t>
          </a:r>
        </a:p>
      </xdr:txBody>
    </xdr:sp>
    <xdr:clientData/>
  </xdr:twoCellAnchor>
  <xdr:twoCellAnchor>
    <xdr:from>
      <xdr:col>6</xdr:col>
      <xdr:colOff>0</xdr:colOff>
      <xdr:row>4</xdr:row>
      <xdr:rowOff>0</xdr:rowOff>
    </xdr:from>
    <xdr:to>
      <xdr:col>10</xdr:col>
      <xdr:colOff>0</xdr:colOff>
      <xdr:row>5</xdr:row>
      <xdr:rowOff>0</xdr:rowOff>
    </xdr:to>
    <xdr:sp macro="[0]!외부참조_셀_전체점검" textlink="">
      <xdr:nvSpPr>
        <xdr:cNvPr id="8" name="직사각형 7"/>
        <xdr:cNvSpPr/>
      </xdr:nvSpPr>
      <xdr:spPr>
        <a:xfrm>
          <a:off x="9258300" y="863600"/>
          <a:ext cx="2641600" cy="215900"/>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50" b="1">
              <a:latin typeface="나눔고딕" panose="020D0604000000000000" pitchFamily="50" charset="-127"/>
              <a:ea typeface="나눔고딕" panose="020D0604000000000000" pitchFamily="50" charset="-127"/>
            </a:rPr>
            <a:t>(</a:t>
          </a:r>
          <a:r>
            <a:rPr lang="ko-KR" altLang="en-US" sz="1050" b="1">
              <a:latin typeface="나눔고딕" panose="020D0604000000000000" pitchFamily="50" charset="-127"/>
              <a:ea typeface="나눔고딕" panose="020D0604000000000000" pitchFamily="50" charset="-127"/>
            </a:rPr>
            <a:t>선</a:t>
          </a:r>
          <a:r>
            <a:rPr lang="en-US" altLang="ko-KR" sz="1050" b="1">
              <a:latin typeface="나눔고딕" panose="020D0604000000000000" pitchFamily="50" charset="-127"/>
              <a:ea typeface="나눔고딕" panose="020D0604000000000000" pitchFamily="50" charset="-127"/>
            </a:rPr>
            <a:t>) </a:t>
          </a:r>
          <a:r>
            <a:rPr lang="ko-KR" altLang="en-US" sz="1050" b="1">
              <a:latin typeface="나눔고딕" panose="020D0604000000000000" pitchFamily="50" charset="-127"/>
              <a:ea typeface="나눔고딕" panose="020D0604000000000000" pitchFamily="50" charset="-127"/>
            </a:rPr>
            <a:t>다른 파일을 참조하는 셀 점검 하기</a:t>
          </a:r>
        </a:p>
      </xdr:txBody>
    </xdr:sp>
    <xdr:clientData/>
  </xdr:twoCellAnchor>
  <xdr:twoCellAnchor>
    <xdr:from>
      <xdr:col>6</xdr:col>
      <xdr:colOff>0</xdr:colOff>
      <xdr:row>5</xdr:row>
      <xdr:rowOff>0</xdr:rowOff>
    </xdr:from>
    <xdr:to>
      <xdr:col>10</xdr:col>
      <xdr:colOff>0</xdr:colOff>
      <xdr:row>6</xdr:row>
      <xdr:rowOff>0</xdr:rowOff>
    </xdr:to>
    <xdr:sp macro="[0]!외부참조_셀_로직제거" textlink="">
      <xdr:nvSpPr>
        <xdr:cNvPr id="9" name="직사각형 8"/>
        <xdr:cNvSpPr/>
      </xdr:nvSpPr>
      <xdr:spPr>
        <a:xfrm>
          <a:off x="9258300" y="1079500"/>
          <a:ext cx="2641600" cy="215900"/>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50" b="1">
              <a:latin typeface="나눔고딕" panose="020D0604000000000000" pitchFamily="50" charset="-127"/>
              <a:ea typeface="나눔고딕" panose="020D0604000000000000" pitchFamily="50" charset="-127"/>
            </a:rPr>
            <a:t>(</a:t>
          </a:r>
          <a:r>
            <a:rPr lang="ko-KR" altLang="en-US" sz="1050" b="1">
              <a:latin typeface="나눔고딕" panose="020D0604000000000000" pitchFamily="50" charset="-127"/>
              <a:ea typeface="나눔고딕" panose="020D0604000000000000" pitchFamily="50" charset="-127"/>
            </a:rPr>
            <a:t>후</a:t>
          </a:r>
          <a:r>
            <a:rPr lang="en-US" altLang="ko-KR" sz="1050" b="1">
              <a:latin typeface="나눔고딕" panose="020D0604000000000000" pitchFamily="50" charset="-127"/>
              <a:ea typeface="나눔고딕" panose="020D0604000000000000" pitchFamily="50" charset="-127"/>
            </a:rPr>
            <a:t>) </a:t>
          </a:r>
          <a:r>
            <a:rPr lang="ko-KR" altLang="en-US" sz="1050" b="1">
              <a:latin typeface="나눔고딕" panose="020D0604000000000000" pitchFamily="50" charset="-127"/>
              <a:ea typeface="나눔고딕" panose="020D0604000000000000" pitchFamily="50" charset="-127"/>
            </a:rPr>
            <a:t>다른 파일을 참조하는 셀 로직 제거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2</xdr:row>
      <xdr:rowOff>0</xdr:rowOff>
    </xdr:to>
    <xdr:sp macro="[0]!createWsList" textlink="">
      <xdr:nvSpPr>
        <xdr:cNvPr id="2" name="직사각형 1"/>
        <xdr:cNvSpPr/>
      </xdr:nvSpPr>
      <xdr:spPr>
        <a:xfrm>
          <a:off x="660400" y="203200"/>
          <a:ext cx="2647950" cy="2032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t>(</a:t>
          </a:r>
          <a:r>
            <a:rPr lang="ko-KR" altLang="en-US" sz="1100" b="1"/>
            <a:t>암호 해제 상태</a:t>
          </a:r>
          <a:r>
            <a:rPr lang="en-US" altLang="ko-KR" sz="1100" b="1"/>
            <a:t>) </a:t>
          </a:r>
          <a:r>
            <a:rPr lang="ko-KR" altLang="en-US" sz="1100" b="1"/>
            <a:t>워크시트 목록 만들기</a:t>
          </a:r>
        </a:p>
      </xdr:txBody>
    </xdr:sp>
    <xdr:clientData/>
  </xdr:twoCellAnchor>
  <xdr:twoCellAnchor>
    <xdr:from>
      <xdr:col>4</xdr:col>
      <xdr:colOff>0</xdr:colOff>
      <xdr:row>1</xdr:row>
      <xdr:rowOff>0</xdr:rowOff>
    </xdr:from>
    <xdr:to>
      <xdr:col>6</xdr:col>
      <xdr:colOff>0</xdr:colOff>
      <xdr:row>2</xdr:row>
      <xdr:rowOff>0</xdr:rowOff>
    </xdr:to>
    <xdr:sp macro="[0]!wsProtect_Execute" textlink="">
      <xdr:nvSpPr>
        <xdr:cNvPr id="3" name="직사각형 2"/>
        <xdr:cNvSpPr/>
      </xdr:nvSpPr>
      <xdr:spPr>
        <a:xfrm>
          <a:off x="3308350" y="203200"/>
          <a:ext cx="2501900" cy="2032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워크시트 암호 설정</a:t>
          </a:r>
          <a:r>
            <a:rPr lang="en-US" altLang="ko-KR" sz="1100" b="1"/>
            <a:t>/</a:t>
          </a:r>
          <a:r>
            <a:rPr lang="ko-KR" altLang="en-US" sz="1100" b="1"/>
            <a:t>해제</a:t>
          </a:r>
        </a:p>
      </xdr:txBody>
    </xdr:sp>
    <xdr:clientData/>
  </xdr:twoCellAnchor>
  <xdr:twoCellAnchor>
    <xdr:from>
      <xdr:col>0</xdr:col>
      <xdr:colOff>0</xdr:colOff>
      <xdr:row>0</xdr:row>
      <xdr:rowOff>0</xdr:rowOff>
    </xdr:from>
    <xdr:to>
      <xdr:col>1</xdr:col>
      <xdr:colOff>0</xdr:colOff>
      <xdr:row>1</xdr:row>
      <xdr:rowOff>0</xdr:rowOff>
    </xdr:to>
    <xdr:sp macro="[0]!Goto_wsList" textlink="">
      <xdr:nvSpPr>
        <xdr:cNvPr id="4" name="btnGotoNavi"/>
        <xdr:cNvSpPr txBox="1"/>
      </xdr:nvSpPr>
      <xdr:spPr>
        <a:xfrm>
          <a:off x="0" y="0"/>
          <a:ext cx="660400" cy="20320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9600" cy="17780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0</xdr:row>
      <xdr:rowOff>0</xdr:rowOff>
    </xdr:from>
    <xdr:to>
      <xdr:col>12</xdr:col>
      <xdr:colOff>0</xdr:colOff>
      <xdr:row>2</xdr:row>
      <xdr:rowOff>0</xdr:rowOff>
    </xdr:to>
    <xdr:sp macro="[0]!RunApplicabilityAndScreening" textlink="">
      <xdr:nvSpPr>
        <xdr:cNvPr id="2" name="직사각형 1"/>
        <xdr:cNvSpPr/>
      </xdr:nvSpPr>
      <xdr:spPr>
        <a:xfrm>
          <a:off x="11493500" y="0"/>
          <a:ext cx="5721350" cy="444500"/>
        </a:xfrm>
        <a:prstGeom prst="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b="1"/>
            <a:t>① </a:t>
          </a:r>
          <a:r>
            <a:rPr lang="en-US" altLang="ko-KR" b="1"/>
            <a:t>RunApplicabilityAndScreening </a:t>
          </a:r>
          <a:r>
            <a:rPr lang="en-US" altLang="ko-KR" sz="1050" b="1"/>
            <a:t>(Config </a:t>
          </a:r>
          <a:r>
            <a:rPr lang="ko-KR" altLang="en-US" sz="1050" b="1"/>
            <a:t>시트와 </a:t>
          </a:r>
          <a:r>
            <a:rPr lang="en-US" altLang="ko-KR" sz="1050" b="1"/>
            <a:t>Vender</a:t>
          </a:r>
          <a:r>
            <a:rPr lang="ko-KR" altLang="en-US" sz="1050" b="1"/>
            <a:t>명으로 일치 여부 확인</a:t>
          </a:r>
          <a:r>
            <a:rPr lang="en-US" altLang="ko-KR" sz="1050" b="1"/>
            <a:t>)</a:t>
          </a:r>
          <a:endParaRPr lang="ko-KR" altLang="en-US" sz="1100" b="1"/>
        </a:p>
      </xdr:txBody>
    </xdr:sp>
    <xdr:clientData/>
  </xdr:twoCellAnchor>
  <xdr:twoCellAnchor>
    <xdr:from>
      <xdr:col>12</xdr:col>
      <xdr:colOff>0</xdr:colOff>
      <xdr:row>0</xdr:row>
      <xdr:rowOff>0</xdr:rowOff>
    </xdr:from>
    <xdr:to>
      <xdr:col>15</xdr:col>
      <xdr:colOff>0</xdr:colOff>
      <xdr:row>2</xdr:row>
      <xdr:rowOff>0</xdr:rowOff>
    </xdr:to>
    <xdr:sp macro="[0]!RunSemanticMatch" textlink="">
      <xdr:nvSpPr>
        <xdr:cNvPr id="5" name="직사각형 4"/>
        <xdr:cNvSpPr/>
      </xdr:nvSpPr>
      <xdr:spPr>
        <a:xfrm>
          <a:off x="17214850" y="0"/>
          <a:ext cx="4514850" cy="444500"/>
        </a:xfrm>
        <a:prstGeom prst="rect">
          <a:avLst/>
        </a:prstGeom>
        <a:solidFill>
          <a:srgbClr val="00B05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b="1"/>
            <a:t>② </a:t>
          </a:r>
          <a:r>
            <a:rPr lang="en-US" altLang="ko-KR" b="1"/>
            <a:t>RunSemanticMatch </a:t>
          </a:r>
          <a:r>
            <a:rPr lang="en-US" altLang="ko-KR" sz="1050" b="1"/>
            <a:t>(</a:t>
          </a:r>
          <a:r>
            <a:rPr lang="ko-KR" altLang="en-US" sz="1050" b="1"/>
            <a:t>파이썬 </a:t>
          </a:r>
          <a:r>
            <a:rPr lang="en-US" altLang="ko-KR" sz="1050" b="1"/>
            <a:t>AI/</a:t>
          </a:r>
          <a:r>
            <a:rPr lang="ko-KR" altLang="en-US" sz="1050" b="1"/>
            <a:t>임베딩 기반으로 매칭 수행</a:t>
          </a:r>
          <a:r>
            <a:rPr lang="en-US" altLang="ko-KR" sz="1050" b="1"/>
            <a:t>)</a:t>
          </a:r>
          <a:endParaRPr lang="ko-KR" altLang="en-US" sz="1100" b="1"/>
        </a:p>
      </xdr:txBody>
    </xdr:sp>
    <xdr:clientData/>
  </xdr:twoCellAnchor>
  <xdr:twoCellAnchor>
    <xdr:from>
      <xdr:col>15</xdr:col>
      <xdr:colOff>0</xdr:colOff>
      <xdr:row>0</xdr:row>
      <xdr:rowOff>0</xdr:rowOff>
    </xdr:from>
    <xdr:to>
      <xdr:col>16</xdr:col>
      <xdr:colOff>0</xdr:colOff>
      <xdr:row>2</xdr:row>
      <xdr:rowOff>0</xdr:rowOff>
    </xdr:to>
    <xdr:sp macro="[0]!RunEPSSKEVLookup" textlink="">
      <xdr:nvSpPr>
        <xdr:cNvPr id="6" name="직사각형 5"/>
        <xdr:cNvSpPr/>
      </xdr:nvSpPr>
      <xdr:spPr>
        <a:xfrm>
          <a:off x="21729700" y="0"/>
          <a:ext cx="4083050" cy="444500"/>
        </a:xfrm>
        <a:prstGeom prst="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b="1"/>
            <a:t>③ </a:t>
          </a:r>
          <a:r>
            <a:rPr lang="en-US" altLang="ko-KR" b="1"/>
            <a:t>RunEPSSKEVLookup (FIRST</a:t>
          </a:r>
          <a:r>
            <a:rPr lang="en-US" altLang="ko-KR" b="1" baseline="0"/>
            <a:t> EPSS API </a:t>
          </a:r>
          <a:r>
            <a:rPr lang="ko-KR" altLang="en-US" b="1" baseline="0"/>
            <a:t>사용</a:t>
          </a:r>
          <a:r>
            <a:rPr lang="en-US" altLang="ko-KR" b="1" baseline="0"/>
            <a:t>)</a:t>
          </a:r>
          <a:endParaRPr lang="ko-KR" altLang="en-US" sz="1100" b="1"/>
        </a:p>
      </xdr:txBody>
    </xdr:sp>
    <xdr:clientData/>
  </xdr:twoCellAnchor>
  <xdr:twoCellAnchor>
    <xdr:from>
      <xdr:col>17</xdr:col>
      <xdr:colOff>0</xdr:colOff>
      <xdr:row>0</xdr:row>
      <xdr:rowOff>0</xdr:rowOff>
    </xdr:from>
    <xdr:to>
      <xdr:col>18</xdr:col>
      <xdr:colOff>0</xdr:colOff>
      <xdr:row>2</xdr:row>
      <xdr:rowOff>0</xdr:rowOff>
    </xdr:to>
    <xdr:sp macro="[0]!RunCVSSCalc" textlink="">
      <xdr:nvSpPr>
        <xdr:cNvPr id="7" name="직사각형 6"/>
        <xdr:cNvSpPr/>
      </xdr:nvSpPr>
      <xdr:spPr>
        <a:xfrm>
          <a:off x="26460450" y="0"/>
          <a:ext cx="3289300" cy="444500"/>
        </a:xfrm>
        <a:prstGeom prst="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t>CVSS (R</a:t>
          </a:r>
          <a:r>
            <a:rPr lang="ko-KR" altLang="en-US" sz="1100" b="1"/>
            <a:t>열</a:t>
          </a:r>
          <a:r>
            <a:rPr lang="en-US" altLang="ko-KR" sz="1100" b="1"/>
            <a:t>-V3.1, Q</a:t>
          </a:r>
          <a:r>
            <a:rPr lang="ko-KR" altLang="en-US" sz="1100" b="1"/>
            <a:t>열</a:t>
          </a:r>
          <a:r>
            <a:rPr lang="en-US" altLang="ko-KR" sz="1100" b="1"/>
            <a:t>-V4.0) </a:t>
          </a:r>
          <a:r>
            <a:rPr lang="ko-KR" altLang="en-US" sz="1100" b="1"/>
            <a:t>계산하기</a:t>
          </a:r>
        </a:p>
      </xdr:txBody>
    </xdr:sp>
    <xdr:clientData/>
  </xdr:twoCellAnchor>
  <xdr:twoCellAnchor>
    <xdr:from>
      <xdr:col>0</xdr:col>
      <xdr:colOff>0</xdr:colOff>
      <xdr:row>0</xdr:row>
      <xdr:rowOff>0</xdr:rowOff>
    </xdr:from>
    <xdr:to>
      <xdr:col>1</xdr:col>
      <xdr:colOff>0</xdr:colOff>
      <xdr:row>1</xdr:row>
      <xdr:rowOff>0</xdr:rowOff>
    </xdr:to>
    <xdr:sp macro="Goto_wsList" textlink="">
      <xdr:nvSpPr>
        <xdr:cNvPr id="3" name="btnGotoNavi"/>
        <xdr:cNvSpPr txBox="1"/>
      </xdr:nvSpPr>
      <xdr:spPr>
        <a:xfrm>
          <a:off x="0" y="0"/>
          <a:ext cx="603250" cy="24765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3250" cy="24765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3250" cy="27305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9600" cy="25400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3250" cy="27305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9600" cy="25400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1</xdr:row>
      <xdr:rowOff>0</xdr:rowOff>
    </xdr:to>
    <xdr:sp macro="Goto_wsList" textlink="">
      <xdr:nvSpPr>
        <xdr:cNvPr id="2" name="btnGotoNavi"/>
        <xdr:cNvSpPr txBox="1"/>
      </xdr:nvSpPr>
      <xdr:spPr>
        <a:xfrm>
          <a:off x="0" y="0"/>
          <a:ext cx="603250" cy="247650"/>
        </a:xfrm>
        <a:prstGeom prst="rect">
          <a:avLst/>
        </a:prstGeom>
        <a:solidFill>
          <a:srgbClr val="E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altLang="ko-KR" sz="1000">
              <a:latin typeface="나눔고딕" panose="020D0604000000000000" pitchFamily="50" charset="-127"/>
            </a:rPr>
            <a:t>Goto Navi</a:t>
          </a:r>
          <a:endParaRPr lang="ko-KR" altLang="en-US" sz="1000">
            <a:latin typeface="나눔고딕" panose="020D0604000000000000" pitchFamily="50" charset="-127"/>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Work/vulnerabilityAnalysis/Weakness_Vulnerability_Test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akness_Vulnerability"/>
      <sheetName val="Reference_Lists"/>
      <sheetName val="Config"/>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M15"/>
  <sheetViews>
    <sheetView showGridLines="0" workbookViewId="0">
      <selection activeCell="G23" sqref="G23"/>
    </sheetView>
  </sheetViews>
  <sheetFormatPr defaultRowHeight="14"/>
  <cols>
    <col min="1" max="1" width="8.7265625" style="9"/>
    <col min="2" max="2" width="8.08984375" style="9" bestFit="1" customWidth="1"/>
    <col min="3" max="3" width="35.6328125" style="9" customWidth="1"/>
    <col min="4" max="4" width="50.6328125" style="9" customWidth="1"/>
    <col min="5" max="5" width="10.6328125" style="9" customWidth="1"/>
    <col min="6" max="10" width="8.7265625" style="9"/>
    <col min="11" max="12" width="16.6328125" style="9" customWidth="1"/>
    <col min="13" max="16384" width="8.7265625" style="9"/>
  </cols>
  <sheetData>
    <row r="1" spans="2:13">
      <c r="D1" s="10" t="s">
        <v>325</v>
      </c>
      <c r="L1" s="11" t="s">
        <v>326</v>
      </c>
      <c r="M1" s="11"/>
    </row>
    <row r="2" spans="2:13">
      <c r="D2" s="10" t="s">
        <v>900</v>
      </c>
      <c r="L2" s="11" t="s">
        <v>327</v>
      </c>
      <c r="M2" s="11"/>
    </row>
    <row r="3" spans="2:13">
      <c r="B3" s="12" t="s">
        <v>328</v>
      </c>
      <c r="C3" s="13" t="s">
        <v>879</v>
      </c>
      <c r="D3" s="13"/>
      <c r="E3" s="13"/>
      <c r="L3" s="11">
        <v>10</v>
      </c>
      <c r="M3" s="11" t="s">
        <v>329</v>
      </c>
    </row>
    <row r="4" spans="2:13">
      <c r="B4" s="12" t="s">
        <v>330</v>
      </c>
      <c r="C4" s="12" t="s">
        <v>331</v>
      </c>
      <c r="D4" s="12" t="s">
        <v>332</v>
      </c>
      <c r="E4" s="12" t="s">
        <v>333</v>
      </c>
    </row>
    <row r="5" spans="2:13" ht="14.5">
      <c r="B5" s="33">
        <v>1</v>
      </c>
      <c r="C5" s="33" t="s">
        <v>334</v>
      </c>
      <c r="D5" s="76" t="s">
        <v>335</v>
      </c>
      <c r="E5" s="34"/>
      <c r="F5"/>
    </row>
    <row r="6" spans="2:13" ht="14.5">
      <c r="B6" s="33">
        <v>2</v>
      </c>
      <c r="C6" s="33" t="s">
        <v>336</v>
      </c>
      <c r="D6" s="76" t="s">
        <v>337</v>
      </c>
      <c r="E6" s="34"/>
      <c r="F6"/>
    </row>
    <row r="7" spans="2:13" ht="14.5">
      <c r="B7" s="33">
        <v>3</v>
      </c>
      <c r="C7" s="33" t="s">
        <v>388</v>
      </c>
      <c r="D7" s="76" t="s">
        <v>880</v>
      </c>
      <c r="E7" s="34"/>
      <c r="F7"/>
    </row>
    <row r="8" spans="2:13" ht="14.5">
      <c r="B8" s="33">
        <v>4</v>
      </c>
      <c r="C8" s="33" t="s">
        <v>958</v>
      </c>
      <c r="D8" s="76" t="s">
        <v>881</v>
      </c>
      <c r="E8" s="34"/>
      <c r="F8"/>
    </row>
    <row r="9" spans="2:13" ht="14.5">
      <c r="B9" s="33">
        <v>5</v>
      </c>
      <c r="C9" s="33" t="s">
        <v>389</v>
      </c>
      <c r="D9" s="76" t="s">
        <v>886</v>
      </c>
      <c r="E9" s="34"/>
      <c r="F9"/>
    </row>
    <row r="10" spans="2:13" ht="14.5">
      <c r="B10" s="33">
        <v>6</v>
      </c>
      <c r="C10" s="33" t="s">
        <v>953</v>
      </c>
      <c r="D10" s="77" t="s">
        <v>959</v>
      </c>
      <c r="E10" s="34"/>
      <c r="F10"/>
    </row>
    <row r="11" spans="2:13" ht="14.5">
      <c r="B11" s="33">
        <v>7</v>
      </c>
      <c r="C11" s="33" t="s">
        <v>882</v>
      </c>
      <c r="D11" s="76" t="s">
        <v>954</v>
      </c>
      <c r="E11" s="34"/>
      <c r="F11"/>
    </row>
    <row r="12" spans="2:13" ht="14.5">
      <c r="B12" s="33">
        <v>8</v>
      </c>
      <c r="C12" s="33" t="s">
        <v>883</v>
      </c>
      <c r="D12" s="76" t="s">
        <v>955</v>
      </c>
      <c r="E12" s="34"/>
      <c r="F12"/>
    </row>
    <row r="13" spans="2:13" ht="14.5">
      <c r="B13" s="33">
        <v>9</v>
      </c>
      <c r="C13" s="33" t="s">
        <v>884</v>
      </c>
      <c r="D13" s="76" t="s">
        <v>956</v>
      </c>
      <c r="E13" s="34"/>
      <c r="F13"/>
    </row>
    <row r="14" spans="2:13" ht="14.5">
      <c r="B14" s="33">
        <v>10</v>
      </c>
      <c r="C14" s="33" t="s">
        <v>885</v>
      </c>
      <c r="D14" s="76" t="s">
        <v>957</v>
      </c>
      <c r="E14" s="34"/>
      <c r="F14"/>
    </row>
    <row r="15" spans="2:13" ht="26">
      <c r="B15" s="13">
        <v>11</v>
      </c>
      <c r="C15" s="13" t="s">
        <v>390</v>
      </c>
      <c r="D15" s="78" t="s">
        <v>887</v>
      </c>
      <c r="E15" s="27"/>
    </row>
  </sheetData>
  <sheetProtection formatCells="0" formatColumns="0" formatRows="0"/>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W29"/>
  <sheetViews>
    <sheetView showGridLines="0" workbookViewId="0"/>
  </sheetViews>
  <sheetFormatPr defaultRowHeight="13"/>
  <cols>
    <col min="1" max="1" width="8.7265625" style="15"/>
    <col min="2" max="2" width="11.54296875" style="14" customWidth="1"/>
    <col min="3" max="3" width="11.54296875" style="15" customWidth="1"/>
    <col min="4" max="4" width="14.81640625" style="15" bestFit="1" customWidth="1"/>
    <col min="5" max="5" width="12.81640625" style="15" bestFit="1" customWidth="1"/>
    <col min="6" max="6" width="23" style="15" bestFit="1" customWidth="1"/>
    <col min="7" max="7" width="14.6328125" style="15" bestFit="1" customWidth="1"/>
    <col min="8" max="8" width="13.81640625" style="15" bestFit="1" customWidth="1"/>
    <col min="9" max="9" width="12.1796875" style="15" bestFit="1" customWidth="1"/>
    <col min="10" max="10" width="12.08984375" style="15" bestFit="1" customWidth="1"/>
    <col min="11" max="11" width="11.08984375" style="15" bestFit="1" customWidth="1"/>
    <col min="12" max="12" width="12.1796875" style="15" bestFit="1" customWidth="1"/>
    <col min="13" max="13" width="9.90625" style="15" bestFit="1" customWidth="1"/>
    <col min="14" max="14" width="13.90625" style="15" bestFit="1" customWidth="1"/>
    <col min="15" max="17" width="8.7265625" style="15"/>
    <col min="18" max="18" width="24.26953125" style="15" bestFit="1" customWidth="1"/>
    <col min="19" max="19" width="9.36328125" style="14" bestFit="1" customWidth="1"/>
    <col min="20" max="20" width="6.7265625" style="14" bestFit="1" customWidth="1"/>
    <col min="21" max="21" width="8.54296875" style="14" bestFit="1" customWidth="1"/>
    <col min="22" max="22" width="84.453125" style="15" customWidth="1"/>
    <col min="23" max="23" width="44.08984375" style="15" bestFit="1" customWidth="1"/>
    <col min="24" max="16384" width="8.7265625" style="15"/>
  </cols>
  <sheetData>
    <row r="2" spans="2:23">
      <c r="H2" s="87" t="s">
        <v>901</v>
      </c>
      <c r="I2" s="87"/>
      <c r="J2" s="87"/>
      <c r="K2" s="87"/>
      <c r="L2" s="87"/>
      <c r="M2" s="87"/>
      <c r="N2" s="87"/>
    </row>
    <row r="3" spans="2:23">
      <c r="D3" s="16" t="s">
        <v>902</v>
      </c>
      <c r="E3" s="17" t="s">
        <v>338</v>
      </c>
      <c r="F3" s="17" t="s">
        <v>339</v>
      </c>
      <c r="G3" s="17" t="s">
        <v>340</v>
      </c>
      <c r="H3" s="17" t="s">
        <v>339</v>
      </c>
      <c r="I3" s="17" t="s">
        <v>340</v>
      </c>
      <c r="J3" s="17" t="s">
        <v>340</v>
      </c>
      <c r="K3" s="17" t="s">
        <v>339</v>
      </c>
      <c r="L3" s="17" t="s">
        <v>340</v>
      </c>
      <c r="M3" s="17" t="s">
        <v>339</v>
      </c>
      <c r="N3" s="17" t="s">
        <v>339</v>
      </c>
    </row>
    <row r="4" spans="2:23" s="14" customFormat="1">
      <c r="B4" s="17" t="s">
        <v>341</v>
      </c>
      <c r="C4" s="17" t="s">
        <v>342</v>
      </c>
      <c r="D4" s="18" t="s">
        <v>343</v>
      </c>
      <c r="E4" s="17" t="s">
        <v>344</v>
      </c>
      <c r="F4" s="17" t="s">
        <v>345</v>
      </c>
      <c r="G4" s="17" t="s">
        <v>346</v>
      </c>
      <c r="H4" s="19" t="s">
        <v>903</v>
      </c>
      <c r="I4" s="19" t="s">
        <v>904</v>
      </c>
      <c r="J4" s="19" t="s">
        <v>905</v>
      </c>
      <c r="K4" s="19" t="s">
        <v>906</v>
      </c>
      <c r="L4" s="19" t="s">
        <v>907</v>
      </c>
      <c r="M4" s="19" t="s">
        <v>908</v>
      </c>
      <c r="N4" s="19" t="s">
        <v>909</v>
      </c>
      <c r="R4" s="20" t="s">
        <v>347</v>
      </c>
      <c r="S4" s="20" t="s">
        <v>348</v>
      </c>
      <c r="T4" s="20" t="s">
        <v>349</v>
      </c>
      <c r="U4" s="20" t="s">
        <v>350</v>
      </c>
      <c r="V4" s="20" t="s">
        <v>351</v>
      </c>
      <c r="W4" s="20" t="s">
        <v>352</v>
      </c>
    </row>
    <row r="5" spans="2:23">
      <c r="B5" s="11">
        <v>1</v>
      </c>
      <c r="C5" s="21" t="s">
        <v>334</v>
      </c>
      <c r="D5" s="22"/>
      <c r="E5" s="11">
        <v>65535</v>
      </c>
      <c r="F5" s="11" t="b">
        <v>0</v>
      </c>
      <c r="G5" s="11" t="b">
        <v>0</v>
      </c>
      <c r="H5" s="23" t="b">
        <v>1</v>
      </c>
      <c r="I5" s="11" t="b">
        <v>0</v>
      </c>
      <c r="J5" s="11" t="b">
        <v>0</v>
      </c>
      <c r="K5" s="11" t="b">
        <v>0</v>
      </c>
      <c r="L5" s="11" t="b">
        <v>0</v>
      </c>
      <c r="M5" s="11" t="b">
        <v>1</v>
      </c>
      <c r="N5" s="11" t="b">
        <v>1</v>
      </c>
      <c r="R5" s="24" t="s">
        <v>353</v>
      </c>
      <c r="S5" s="25" t="s">
        <v>354</v>
      </c>
      <c r="T5" s="25" t="s">
        <v>355</v>
      </c>
      <c r="U5" s="26"/>
      <c r="V5" s="24" t="s">
        <v>356</v>
      </c>
      <c r="W5" s="24" t="s">
        <v>357</v>
      </c>
    </row>
    <row r="6" spans="2:23">
      <c r="B6" s="11">
        <v>2</v>
      </c>
      <c r="C6" s="21" t="s">
        <v>336</v>
      </c>
      <c r="D6" s="22"/>
      <c r="E6" s="11">
        <v>65535</v>
      </c>
      <c r="F6" s="11" t="b">
        <v>0</v>
      </c>
      <c r="G6" s="11" t="b">
        <v>0</v>
      </c>
      <c r="H6" s="23" t="b">
        <v>1</v>
      </c>
      <c r="I6" s="11" t="b">
        <v>0</v>
      </c>
      <c r="J6" s="11" t="b">
        <v>0</v>
      </c>
      <c r="K6" s="11" t="b">
        <v>0</v>
      </c>
      <c r="L6" s="11" t="b">
        <v>0</v>
      </c>
      <c r="M6" s="11" t="b">
        <v>1</v>
      </c>
      <c r="N6" s="11" t="b">
        <v>1</v>
      </c>
      <c r="R6" s="24" t="s">
        <v>358</v>
      </c>
      <c r="S6" s="25" t="s">
        <v>359</v>
      </c>
      <c r="T6" s="25" t="s">
        <v>355</v>
      </c>
      <c r="U6" s="25" t="s">
        <v>360</v>
      </c>
      <c r="V6" s="24" t="s">
        <v>361</v>
      </c>
      <c r="W6" s="24" t="s">
        <v>362</v>
      </c>
    </row>
    <row r="7" spans="2:23" ht="26">
      <c r="B7" s="11"/>
      <c r="C7" s="21"/>
      <c r="D7" s="22"/>
      <c r="E7" s="11"/>
      <c r="F7" s="11"/>
      <c r="G7" s="11"/>
      <c r="H7" s="11"/>
      <c r="I7" s="11"/>
      <c r="J7" s="11"/>
      <c r="K7" s="11"/>
      <c r="L7" s="11"/>
      <c r="M7" s="11"/>
      <c r="N7" s="11"/>
      <c r="R7" s="24" t="s">
        <v>363</v>
      </c>
      <c r="S7" s="25" t="s">
        <v>364</v>
      </c>
      <c r="T7" s="25" t="s">
        <v>365</v>
      </c>
      <c r="U7" s="25" t="s">
        <v>366</v>
      </c>
      <c r="V7" s="24" t="s">
        <v>367</v>
      </c>
      <c r="W7" s="24" t="s">
        <v>368</v>
      </c>
    </row>
    <row r="8" spans="2:23" ht="26">
      <c r="B8" s="11"/>
      <c r="C8" s="21"/>
      <c r="D8" s="27"/>
      <c r="E8" s="11"/>
      <c r="F8" s="11"/>
      <c r="G8" s="11"/>
      <c r="H8" s="11"/>
      <c r="I8" s="11"/>
      <c r="J8" s="11"/>
      <c r="K8" s="11"/>
      <c r="L8" s="11"/>
      <c r="M8" s="11"/>
      <c r="N8" s="11"/>
      <c r="R8" s="24" t="s">
        <v>345</v>
      </c>
      <c r="S8" s="25" t="s">
        <v>369</v>
      </c>
      <c r="T8" s="25" t="s">
        <v>370</v>
      </c>
      <c r="U8" s="25" t="s">
        <v>366</v>
      </c>
      <c r="V8" s="24" t="s">
        <v>371</v>
      </c>
      <c r="W8" s="24" t="s">
        <v>372</v>
      </c>
    </row>
    <row r="9" spans="2:23" ht="26">
      <c r="B9" s="13"/>
      <c r="C9" s="28"/>
      <c r="D9" s="27"/>
      <c r="E9" s="13"/>
      <c r="F9" s="13"/>
      <c r="G9" s="13"/>
      <c r="H9" s="13"/>
      <c r="I9" s="13"/>
      <c r="J9" s="13"/>
      <c r="K9" s="13"/>
      <c r="L9" s="13"/>
      <c r="M9" s="13"/>
      <c r="N9" s="13"/>
      <c r="R9" s="24" t="s">
        <v>346</v>
      </c>
      <c r="S9" s="25" t="s">
        <v>369</v>
      </c>
      <c r="T9" s="25" t="s">
        <v>370</v>
      </c>
      <c r="U9" s="25" t="s">
        <v>366</v>
      </c>
      <c r="V9" s="24" t="s">
        <v>910</v>
      </c>
      <c r="W9" s="24" t="s">
        <v>373</v>
      </c>
    </row>
    <row r="10" spans="2:23">
      <c r="B10" s="29"/>
      <c r="C10" s="30"/>
      <c r="D10" s="30"/>
      <c r="E10" s="30"/>
      <c r="F10" s="30"/>
      <c r="G10" s="30"/>
      <c r="H10" s="30"/>
      <c r="I10" s="30"/>
      <c r="J10" s="30"/>
      <c r="K10" s="30"/>
      <c r="L10" s="30"/>
      <c r="M10" s="30"/>
      <c r="N10" s="30"/>
      <c r="R10" s="24" t="s">
        <v>911</v>
      </c>
      <c r="S10" s="25" t="s">
        <v>369</v>
      </c>
      <c r="T10" s="25" t="s">
        <v>370</v>
      </c>
      <c r="U10" s="25" t="s">
        <v>366</v>
      </c>
      <c r="V10" s="24" t="s">
        <v>912</v>
      </c>
      <c r="W10" s="24" t="s">
        <v>374</v>
      </c>
    </row>
    <row r="11" spans="2:23">
      <c r="B11" s="29"/>
      <c r="C11" s="30"/>
      <c r="D11" s="30"/>
      <c r="E11" s="30"/>
      <c r="F11" s="30"/>
      <c r="G11" s="30"/>
      <c r="H11" s="30"/>
      <c r="I11" s="30"/>
      <c r="J11" s="30"/>
      <c r="K11" s="30"/>
      <c r="L11" s="30"/>
      <c r="M11" s="30"/>
      <c r="N11" s="30"/>
      <c r="R11" s="24" t="s">
        <v>702</v>
      </c>
      <c r="S11" s="25" t="s">
        <v>369</v>
      </c>
      <c r="T11" s="25" t="s">
        <v>370</v>
      </c>
      <c r="U11" s="25" t="s">
        <v>366</v>
      </c>
      <c r="V11" s="24" t="s">
        <v>375</v>
      </c>
      <c r="W11" s="24" t="s">
        <v>376</v>
      </c>
    </row>
    <row r="12" spans="2:23">
      <c r="B12" s="29"/>
      <c r="C12" s="30"/>
      <c r="D12" s="30"/>
      <c r="E12" s="30"/>
      <c r="F12" s="30"/>
      <c r="G12" s="30"/>
      <c r="H12" s="30"/>
      <c r="I12" s="30"/>
      <c r="J12" s="30"/>
      <c r="K12" s="30"/>
      <c r="L12" s="30"/>
      <c r="M12" s="30"/>
      <c r="N12" s="30"/>
      <c r="R12" s="24" t="s">
        <v>913</v>
      </c>
      <c r="S12" s="25" t="s">
        <v>369</v>
      </c>
      <c r="T12" s="25" t="s">
        <v>370</v>
      </c>
      <c r="U12" s="25" t="s">
        <v>366</v>
      </c>
      <c r="V12" s="24" t="s">
        <v>377</v>
      </c>
      <c r="W12" s="24" t="s">
        <v>378</v>
      </c>
    </row>
    <row r="13" spans="2:23">
      <c r="B13" s="29"/>
      <c r="C13" s="30"/>
      <c r="D13" s="30"/>
      <c r="E13" s="30"/>
      <c r="F13" s="30"/>
      <c r="G13" s="30"/>
      <c r="H13" s="30"/>
      <c r="I13" s="30"/>
      <c r="J13" s="30"/>
      <c r="K13" s="30"/>
      <c r="L13" s="30"/>
      <c r="M13" s="30"/>
      <c r="N13" s="30"/>
      <c r="R13" s="24" t="s">
        <v>914</v>
      </c>
      <c r="S13" s="25" t="s">
        <v>369</v>
      </c>
      <c r="T13" s="25" t="s">
        <v>370</v>
      </c>
      <c r="U13" s="25" t="s">
        <v>366</v>
      </c>
      <c r="V13" s="24" t="s">
        <v>379</v>
      </c>
      <c r="W13" s="24" t="s">
        <v>380</v>
      </c>
    </row>
    <row r="14" spans="2:23">
      <c r="R14" s="24" t="s">
        <v>915</v>
      </c>
      <c r="S14" s="25" t="s">
        <v>369</v>
      </c>
      <c r="T14" s="25" t="s">
        <v>370</v>
      </c>
      <c r="U14" s="25" t="s">
        <v>366</v>
      </c>
      <c r="V14" s="24" t="s">
        <v>381</v>
      </c>
      <c r="W14" s="24" t="s">
        <v>382</v>
      </c>
    </row>
    <row r="15" spans="2:23" ht="26">
      <c r="R15" s="24" t="s">
        <v>908</v>
      </c>
      <c r="S15" s="25" t="s">
        <v>369</v>
      </c>
      <c r="T15" s="25" t="s">
        <v>383</v>
      </c>
      <c r="U15" s="25" t="s">
        <v>366</v>
      </c>
      <c r="V15" s="24" t="s">
        <v>384</v>
      </c>
      <c r="W15" s="24" t="s">
        <v>385</v>
      </c>
    </row>
    <row r="16" spans="2:23">
      <c r="R16" s="24" t="s">
        <v>916</v>
      </c>
      <c r="S16" s="25" t="s">
        <v>369</v>
      </c>
      <c r="T16" s="25" t="s">
        <v>383</v>
      </c>
      <c r="U16" s="25" t="s">
        <v>366</v>
      </c>
      <c r="V16" s="24" t="s">
        <v>386</v>
      </c>
      <c r="W16" s="24" t="s">
        <v>387</v>
      </c>
    </row>
    <row r="19" spans="16:17">
      <c r="P19" s="31"/>
      <c r="Q19" s="31"/>
    </row>
    <row r="20" spans="16:17">
      <c r="P20" s="31"/>
      <c r="Q20" s="31"/>
    </row>
    <row r="21" spans="16:17">
      <c r="P21" s="31"/>
      <c r="Q21" s="31"/>
    </row>
    <row r="22" spans="16:17">
      <c r="P22" s="31"/>
      <c r="Q22" s="31"/>
    </row>
    <row r="23" spans="16:17">
      <c r="P23" s="31"/>
      <c r="Q23" s="31"/>
    </row>
    <row r="24" spans="16:17">
      <c r="P24" s="31"/>
      <c r="Q24" s="31"/>
    </row>
    <row r="25" spans="16:17">
      <c r="P25" s="31"/>
      <c r="Q25" s="31"/>
    </row>
    <row r="26" spans="16:17">
      <c r="P26" s="31"/>
      <c r="Q26" s="31"/>
    </row>
    <row r="27" spans="16:17">
      <c r="P27" s="31"/>
      <c r="Q27" s="31"/>
    </row>
    <row r="28" spans="16:17">
      <c r="P28" s="31"/>
      <c r="Q28" s="31"/>
    </row>
    <row r="29" spans="16:17">
      <c r="P29" s="32"/>
      <c r="Q29" s="32"/>
    </row>
  </sheetData>
  <sheetProtection formatCells="0" formatColumns="0" formatRows="0"/>
  <mergeCells count="1">
    <mergeCell ref="H2:N2"/>
  </mergeCells>
  <phoneticPr fontId="6" type="noConversion"/>
  <dataValidations count="1">
    <dataValidation type="list" allowBlank="1" showInputMessage="1" showErrorMessage="1" sqref="F5:N9">
      <formula1>"True,False"</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S13"/>
  <sheetViews>
    <sheetView showGridLines="0" workbookViewId="0"/>
  </sheetViews>
  <sheetFormatPr defaultRowHeight="14"/>
  <cols>
    <col min="1" max="1" width="8.7265625" style="37"/>
    <col min="2" max="2" width="3.26953125" style="1" bestFit="1" customWidth="1"/>
    <col min="3" max="3" width="8.7265625" style="7" bestFit="1" customWidth="1"/>
    <col min="4" max="4" width="10.90625" style="7" customWidth="1"/>
    <col min="5" max="5" width="15.26953125" style="7" bestFit="1" customWidth="1"/>
    <col min="6" max="6" width="13.08984375" style="7" bestFit="1" customWidth="1"/>
    <col min="7" max="7" width="13.08984375" style="7" customWidth="1"/>
    <col min="8" max="8" width="65.453125" style="8" customWidth="1"/>
    <col min="9" max="9" width="19.6328125" style="8" bestFit="1" customWidth="1"/>
    <col min="10" max="10" width="19.6328125" style="38" customWidth="1"/>
    <col min="11" max="11" width="19.6328125" style="8" customWidth="1"/>
    <col min="12" max="12" width="10.90625" style="2" customWidth="1"/>
    <col min="13" max="14" width="10.90625" style="38" customWidth="1"/>
    <col min="15" max="15" width="13.08984375" style="2" customWidth="1"/>
    <col min="16" max="17" width="17.453125" style="2" customWidth="1"/>
    <col min="18" max="18" width="17.453125" style="8" bestFit="1" customWidth="1"/>
    <col min="19" max="19" width="32.7265625" style="8" bestFit="1" customWidth="1"/>
    <col min="20" max="16384" width="8.7265625" style="37"/>
  </cols>
  <sheetData>
    <row r="3" spans="2:19" s="36" customFormat="1">
      <c r="B3" s="1"/>
      <c r="C3" s="1"/>
      <c r="D3" s="88" t="s">
        <v>62</v>
      </c>
      <c r="E3" s="89"/>
      <c r="F3" s="88" t="s">
        <v>63</v>
      </c>
      <c r="G3" s="90"/>
      <c r="H3" s="89"/>
      <c r="I3" s="63"/>
      <c r="J3" s="63"/>
      <c r="K3" s="63"/>
      <c r="L3" s="91" t="s">
        <v>64</v>
      </c>
      <c r="M3" s="90"/>
      <c r="N3" s="89"/>
      <c r="O3" s="2"/>
      <c r="P3" s="2"/>
      <c r="Q3" s="2"/>
      <c r="R3" s="2"/>
      <c r="S3" s="2"/>
    </row>
    <row r="4" spans="2:19" s="36" customFormat="1">
      <c r="B4" s="3" t="s">
        <v>0</v>
      </c>
      <c r="C4" s="3" t="s">
        <v>65</v>
      </c>
      <c r="D4" s="3" t="s">
        <v>66</v>
      </c>
      <c r="E4" s="3" t="s">
        <v>67</v>
      </c>
      <c r="F4" s="3" t="s">
        <v>68</v>
      </c>
      <c r="G4" s="3" t="s">
        <v>69</v>
      </c>
      <c r="H4" s="4" t="s">
        <v>70</v>
      </c>
      <c r="I4" s="4" t="s">
        <v>71</v>
      </c>
      <c r="J4" s="4" t="s">
        <v>72</v>
      </c>
      <c r="K4" s="4" t="s">
        <v>3</v>
      </c>
      <c r="L4" s="4" t="s">
        <v>73</v>
      </c>
      <c r="M4" s="4" t="s">
        <v>74</v>
      </c>
      <c r="N4" s="4" t="s">
        <v>75</v>
      </c>
      <c r="O4" s="4" t="s">
        <v>4</v>
      </c>
      <c r="P4" s="4" t="s">
        <v>5</v>
      </c>
      <c r="Q4" s="4" t="s">
        <v>76</v>
      </c>
      <c r="R4" s="4" t="s">
        <v>77</v>
      </c>
      <c r="S4" s="4" t="s">
        <v>78</v>
      </c>
    </row>
    <row r="5" spans="2:19" ht="172.5" customHeight="1">
      <c r="B5" s="5">
        <v>1</v>
      </c>
      <c r="C5" s="5" t="s">
        <v>79</v>
      </c>
      <c r="D5" s="5" t="s">
        <v>80</v>
      </c>
      <c r="E5" s="5" t="s">
        <v>81</v>
      </c>
      <c r="F5" s="5" t="s">
        <v>82</v>
      </c>
      <c r="G5" s="5" t="s">
        <v>83</v>
      </c>
      <c r="H5" s="6" t="s">
        <v>84</v>
      </c>
      <c r="I5" s="6" t="s">
        <v>85</v>
      </c>
      <c r="J5" s="6" t="s">
        <v>86</v>
      </c>
      <c r="K5" s="6" t="s">
        <v>87</v>
      </c>
      <c r="L5" s="6" t="s">
        <v>88</v>
      </c>
      <c r="M5" s="6" t="s">
        <v>89</v>
      </c>
      <c r="N5" s="6"/>
      <c r="O5" s="6" t="s">
        <v>90</v>
      </c>
      <c r="P5" s="6" t="s">
        <v>91</v>
      </c>
      <c r="Q5" s="6" t="s">
        <v>92</v>
      </c>
      <c r="R5" s="6" t="s">
        <v>93</v>
      </c>
      <c r="S5" s="6" t="s">
        <v>94</v>
      </c>
    </row>
    <row r="6" spans="2:19" ht="126.5" customHeight="1">
      <c r="B6" s="5">
        <v>2</v>
      </c>
      <c r="C6" s="5" t="s">
        <v>79</v>
      </c>
      <c r="D6" s="5" t="s">
        <v>80</v>
      </c>
      <c r="E6" s="5" t="s">
        <v>81</v>
      </c>
      <c r="F6" s="5" t="s">
        <v>21</v>
      </c>
      <c r="G6" s="5" t="s">
        <v>95</v>
      </c>
      <c r="H6" s="6" t="s">
        <v>96</v>
      </c>
      <c r="I6" s="6" t="s">
        <v>97</v>
      </c>
      <c r="J6" s="6" t="s">
        <v>98</v>
      </c>
      <c r="K6" s="6" t="s">
        <v>22</v>
      </c>
      <c r="L6" s="6" t="s">
        <v>29</v>
      </c>
      <c r="M6" s="6" t="s">
        <v>30</v>
      </c>
      <c r="N6" s="6"/>
      <c r="O6" s="6" t="s">
        <v>23</v>
      </c>
      <c r="P6" s="6" t="s">
        <v>24</v>
      </c>
      <c r="Q6" s="6" t="s">
        <v>25</v>
      </c>
      <c r="R6" s="6" t="s">
        <v>99</v>
      </c>
      <c r="S6" s="6" t="s">
        <v>100</v>
      </c>
    </row>
    <row r="7" spans="2:19" ht="57.5" customHeight="1">
      <c r="B7" s="5">
        <v>3</v>
      </c>
      <c r="C7" s="5" t="s">
        <v>79</v>
      </c>
      <c r="D7" s="5" t="s">
        <v>101</v>
      </c>
      <c r="E7" s="5" t="s">
        <v>102</v>
      </c>
      <c r="F7" s="5" t="s">
        <v>103</v>
      </c>
      <c r="G7" s="5" t="s">
        <v>104</v>
      </c>
      <c r="H7" s="6" t="s">
        <v>105</v>
      </c>
      <c r="I7" s="6" t="s">
        <v>106</v>
      </c>
      <c r="J7" s="6" t="s">
        <v>107</v>
      </c>
      <c r="K7" s="6" t="s">
        <v>108</v>
      </c>
      <c r="L7" s="6"/>
      <c r="M7" s="6" t="s">
        <v>109</v>
      </c>
      <c r="N7" s="6"/>
      <c r="O7" s="6" t="s">
        <v>110</v>
      </c>
      <c r="P7" s="6" t="s">
        <v>110</v>
      </c>
      <c r="Q7" s="6" t="s">
        <v>110</v>
      </c>
      <c r="R7" s="6"/>
      <c r="S7" s="6" t="s">
        <v>111</v>
      </c>
    </row>
    <row r="8" spans="2:19" ht="57.5" customHeight="1">
      <c r="B8" s="5">
        <v>4</v>
      </c>
      <c r="C8" s="5" t="s">
        <v>79</v>
      </c>
      <c r="D8" s="5" t="s">
        <v>101</v>
      </c>
      <c r="E8" s="5" t="s">
        <v>102</v>
      </c>
      <c r="F8" s="5" t="s">
        <v>112</v>
      </c>
      <c r="G8" s="5" t="s">
        <v>113</v>
      </c>
      <c r="H8" s="6" t="s">
        <v>114</v>
      </c>
      <c r="I8" s="6" t="s">
        <v>115</v>
      </c>
      <c r="J8" s="6" t="s">
        <v>116</v>
      </c>
      <c r="K8" s="6" t="s">
        <v>22</v>
      </c>
      <c r="L8" s="6"/>
      <c r="M8" s="6" t="s">
        <v>117</v>
      </c>
      <c r="N8" s="6"/>
      <c r="O8" s="6" t="s">
        <v>118</v>
      </c>
      <c r="P8" s="6" t="s">
        <v>119</v>
      </c>
      <c r="Q8" s="6"/>
      <c r="R8" s="6" t="s">
        <v>120</v>
      </c>
      <c r="S8" s="6" t="s">
        <v>121</v>
      </c>
    </row>
    <row r="9" spans="2:19" ht="57.5" customHeight="1">
      <c r="B9" s="5">
        <v>5</v>
      </c>
      <c r="C9" s="5" t="s">
        <v>79</v>
      </c>
      <c r="D9" s="5" t="s">
        <v>101</v>
      </c>
      <c r="E9" s="5" t="s">
        <v>102</v>
      </c>
      <c r="F9" s="5" t="s">
        <v>122</v>
      </c>
      <c r="G9" s="5" t="s">
        <v>104</v>
      </c>
      <c r="H9" s="6" t="s">
        <v>123</v>
      </c>
      <c r="I9" s="6" t="s">
        <v>124</v>
      </c>
      <c r="J9" s="6" t="s">
        <v>125</v>
      </c>
      <c r="K9" s="6" t="s">
        <v>126</v>
      </c>
      <c r="L9" s="6"/>
      <c r="M9" s="6" t="s">
        <v>127</v>
      </c>
      <c r="N9" s="6"/>
      <c r="O9" s="6" t="s">
        <v>110</v>
      </c>
      <c r="P9" s="6" t="s">
        <v>110</v>
      </c>
      <c r="Q9" s="6" t="s">
        <v>110</v>
      </c>
      <c r="R9" s="6"/>
      <c r="S9" s="6" t="s">
        <v>128</v>
      </c>
    </row>
    <row r="10" spans="2:19" ht="57.5" customHeight="1">
      <c r="B10" s="5">
        <v>6</v>
      </c>
      <c r="C10" s="5" t="s">
        <v>79</v>
      </c>
      <c r="D10" s="5" t="s">
        <v>101</v>
      </c>
      <c r="E10" s="5" t="s">
        <v>102</v>
      </c>
      <c r="F10" s="5" t="s">
        <v>129</v>
      </c>
      <c r="G10" s="5" t="s">
        <v>104</v>
      </c>
      <c r="H10" s="6" t="s">
        <v>130</v>
      </c>
      <c r="I10" s="6" t="s">
        <v>131</v>
      </c>
      <c r="J10" s="6" t="s">
        <v>125</v>
      </c>
      <c r="K10" s="6" t="s">
        <v>126</v>
      </c>
      <c r="L10" s="6"/>
      <c r="M10" s="6" t="s">
        <v>127</v>
      </c>
      <c r="N10" s="6"/>
      <c r="O10" s="6" t="s">
        <v>110</v>
      </c>
      <c r="P10" s="6" t="s">
        <v>110</v>
      </c>
      <c r="Q10" s="6" t="s">
        <v>110</v>
      </c>
      <c r="R10" s="6"/>
      <c r="S10" s="6" t="s">
        <v>128</v>
      </c>
    </row>
    <row r="11" spans="2:19" ht="80.5" customHeight="1">
      <c r="B11" s="5">
        <v>7</v>
      </c>
      <c r="C11" s="5" t="s">
        <v>79</v>
      </c>
      <c r="D11" s="5" t="s">
        <v>101</v>
      </c>
      <c r="E11" s="5" t="s">
        <v>132</v>
      </c>
      <c r="F11" s="5" t="s">
        <v>133</v>
      </c>
      <c r="G11" s="5" t="s">
        <v>134</v>
      </c>
      <c r="H11" s="6" t="s">
        <v>135</v>
      </c>
      <c r="I11" s="6" t="s">
        <v>136</v>
      </c>
      <c r="J11" s="6" t="s">
        <v>137</v>
      </c>
      <c r="K11" s="6" t="s">
        <v>138</v>
      </c>
      <c r="L11" s="6"/>
      <c r="M11" s="6" t="s">
        <v>139</v>
      </c>
      <c r="N11" s="6"/>
      <c r="O11" s="6" t="s">
        <v>134</v>
      </c>
      <c r="P11" s="6" t="s">
        <v>140</v>
      </c>
      <c r="Q11" s="6" t="s">
        <v>141</v>
      </c>
      <c r="R11" s="6" t="s">
        <v>142</v>
      </c>
      <c r="S11" s="6" t="s">
        <v>143</v>
      </c>
    </row>
    <row r="12" spans="2:19" ht="80.5" customHeight="1">
      <c r="B12" s="5">
        <v>8</v>
      </c>
      <c r="C12" s="5" t="s">
        <v>79</v>
      </c>
      <c r="D12" s="5" t="s">
        <v>144</v>
      </c>
      <c r="E12" s="5" t="s">
        <v>145</v>
      </c>
      <c r="F12" s="5" t="s">
        <v>146</v>
      </c>
      <c r="G12" s="5" t="s">
        <v>147</v>
      </c>
      <c r="H12" s="6" t="s">
        <v>148</v>
      </c>
      <c r="I12" s="6" t="s">
        <v>149</v>
      </c>
      <c r="J12" s="6" t="s">
        <v>150</v>
      </c>
      <c r="K12" s="6" t="s">
        <v>151</v>
      </c>
      <c r="L12" s="6" t="s">
        <v>152</v>
      </c>
      <c r="M12" s="6"/>
      <c r="N12" s="6"/>
      <c r="O12" s="6" t="s">
        <v>153</v>
      </c>
      <c r="P12" s="6" t="s">
        <v>154</v>
      </c>
      <c r="Q12" s="6" t="s">
        <v>155</v>
      </c>
      <c r="R12" s="6"/>
      <c r="S12" s="6" t="s">
        <v>156</v>
      </c>
    </row>
    <row r="13" spans="2:19" ht="80.5" customHeight="1">
      <c r="B13" s="5">
        <v>9</v>
      </c>
      <c r="C13" s="5" t="s">
        <v>79</v>
      </c>
      <c r="D13" s="5" t="s">
        <v>144</v>
      </c>
      <c r="E13" s="5" t="s">
        <v>145</v>
      </c>
      <c r="F13" s="5" t="s">
        <v>157</v>
      </c>
      <c r="G13" s="5" t="s">
        <v>147</v>
      </c>
      <c r="H13" s="6" t="s">
        <v>158</v>
      </c>
      <c r="I13" s="6" t="s">
        <v>159</v>
      </c>
      <c r="J13" s="6" t="s">
        <v>160</v>
      </c>
      <c r="K13" s="6" t="s">
        <v>161</v>
      </c>
      <c r="L13" s="6" t="s">
        <v>162</v>
      </c>
      <c r="M13" s="6"/>
      <c r="N13" s="6"/>
      <c r="O13" s="6" t="s">
        <v>153</v>
      </c>
      <c r="P13" s="6" t="s">
        <v>154</v>
      </c>
      <c r="Q13" s="6" t="s">
        <v>163</v>
      </c>
      <c r="R13" s="6"/>
      <c r="S13" s="6" t="s">
        <v>156</v>
      </c>
    </row>
  </sheetData>
  <mergeCells count="3">
    <mergeCell ref="D3:E3"/>
    <mergeCell ref="F3:H3"/>
    <mergeCell ref="L3:N3"/>
  </mergeCells>
  <phoneticPr fontId="6"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H300"/>
  <sheetViews>
    <sheetView tabSelected="1" zoomScaleNormal="100" workbookViewId="0">
      <pane xSplit="3" ySplit="4" topLeftCell="Q8" activePane="bottomRight" state="frozen"/>
      <selection pane="topRight" activeCell="D1" sqref="D1"/>
      <selection pane="bottomLeft" activeCell="A5" sqref="A5"/>
      <selection pane="bottomRight" activeCell="Q28" sqref="Q28"/>
    </sheetView>
  </sheetViews>
  <sheetFormatPr defaultColWidth="8.6328125" defaultRowHeight="14"/>
  <cols>
    <col min="1" max="1" width="8.6328125" style="35"/>
    <col min="2" max="2" width="5" style="35" customWidth="1"/>
    <col min="3" max="3" width="16" style="35" customWidth="1"/>
    <col min="4" max="4" width="18.26953125" style="35" bestFit="1" customWidth="1"/>
    <col min="5" max="5" width="19" style="35" bestFit="1" customWidth="1"/>
    <col min="6" max="6" width="51.36328125" style="35" bestFit="1" customWidth="1"/>
    <col min="7" max="7" width="14.54296875" style="35" bestFit="1" customWidth="1"/>
    <col min="8" max="8" width="35.26953125" style="35" bestFit="1" customWidth="1"/>
    <col min="9" max="9" width="40.6328125" style="35" bestFit="1" customWidth="1"/>
    <col min="10" max="10" width="10" style="35" customWidth="1"/>
    <col min="11" max="11" width="16.90625" style="35" bestFit="1" customWidth="1"/>
    <col min="12" max="12" width="14.36328125" style="35" bestFit="1" customWidth="1"/>
    <col min="13" max="13" width="14.453125" style="35" bestFit="1" customWidth="1"/>
    <col min="14" max="14" width="17" style="35" bestFit="1" customWidth="1"/>
    <col min="15" max="15" width="33.26953125" style="35" bestFit="1" customWidth="1"/>
    <col min="16" max="16" width="58.453125" style="35" bestFit="1" customWidth="1"/>
    <col min="17" max="17" width="53" style="35" bestFit="1" customWidth="1"/>
    <col min="18" max="18" width="47.08984375" style="35" bestFit="1" customWidth="1"/>
    <col min="19" max="19" width="14.81640625" style="35" bestFit="1" customWidth="1"/>
    <col min="20" max="20" width="34.26953125" style="35" bestFit="1" customWidth="1"/>
    <col min="21" max="21" width="13.08984375" style="35" bestFit="1" customWidth="1"/>
    <col min="22" max="22" width="11.90625" style="35" hidden="1" customWidth="1"/>
    <col min="23" max="23" width="12.1796875" style="35" bestFit="1" customWidth="1"/>
    <col min="24" max="24" width="11.26953125" style="35" bestFit="1" customWidth="1"/>
    <col min="25" max="25" width="19.6328125" style="35" bestFit="1" customWidth="1"/>
    <col min="26" max="26" width="13.81640625" style="35" hidden="1" customWidth="1"/>
    <col min="27" max="27" width="22.26953125" style="35" customWidth="1"/>
    <col min="28" max="28" width="29.26953125" style="35" bestFit="1" customWidth="1"/>
    <col min="29" max="29" width="12" style="35" customWidth="1"/>
    <col min="30" max="30" width="10" style="35" customWidth="1"/>
    <col min="31" max="31" width="19" style="35" bestFit="1" customWidth="1"/>
    <col min="32" max="32" width="10" style="35" customWidth="1"/>
    <col min="33" max="33" width="12" style="35" customWidth="1"/>
    <col min="34" max="34" width="34.36328125" style="35" bestFit="1" customWidth="1"/>
    <col min="35" max="16384" width="8.6328125" style="35"/>
  </cols>
  <sheetData>
    <row r="1" spans="2:34" ht="19.5" customHeight="1">
      <c r="B1" s="39" t="s">
        <v>703</v>
      </c>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row>
    <row r="2" spans="2:34" ht="15.75" customHeight="1">
      <c r="B2" s="40" t="s">
        <v>704</v>
      </c>
      <c r="C2" s="40"/>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row>
    <row r="3" spans="2:34" ht="15.75" customHeight="1">
      <c r="B3" s="40" t="s">
        <v>705</v>
      </c>
      <c r="C3" s="40"/>
      <c r="D3" s="40"/>
      <c r="E3" s="40"/>
      <c r="F3" s="40"/>
      <c r="G3" s="40"/>
      <c r="H3" s="40"/>
      <c r="I3" s="40"/>
      <c r="J3" s="40"/>
      <c r="K3" s="40"/>
      <c r="L3" s="40"/>
      <c r="M3" s="40"/>
      <c r="N3" s="40"/>
      <c r="O3" s="40"/>
      <c r="P3" s="40"/>
      <c r="Q3" s="40"/>
      <c r="R3" s="40"/>
      <c r="S3" s="40"/>
      <c r="T3" s="40"/>
      <c r="U3" s="40"/>
      <c r="V3" s="40"/>
      <c r="W3" s="40"/>
      <c r="X3" s="40"/>
      <c r="Y3" s="40"/>
      <c r="Z3" s="40"/>
      <c r="AA3" s="69" t="s">
        <v>917</v>
      </c>
      <c r="AB3" s="69"/>
      <c r="AC3" s="69" t="s">
        <v>917</v>
      </c>
      <c r="AD3" s="40"/>
      <c r="AE3" s="40"/>
      <c r="AF3" s="40"/>
      <c r="AG3" s="40"/>
      <c r="AH3" s="40"/>
    </row>
    <row r="4" spans="2:34" ht="30" customHeight="1">
      <c r="B4" s="41" t="s">
        <v>0</v>
      </c>
      <c r="C4" s="41" t="s">
        <v>1</v>
      </c>
      <c r="D4" s="41" t="s">
        <v>706</v>
      </c>
      <c r="E4" s="41" t="s">
        <v>2</v>
      </c>
      <c r="F4" s="41" t="s">
        <v>3</v>
      </c>
      <c r="G4" s="41" t="s">
        <v>707</v>
      </c>
      <c r="H4" s="41" t="s">
        <v>4</v>
      </c>
      <c r="I4" s="41" t="s">
        <v>5</v>
      </c>
      <c r="J4" s="41" t="s">
        <v>6</v>
      </c>
      <c r="K4" s="41" t="s">
        <v>708</v>
      </c>
      <c r="L4" s="41" t="s">
        <v>7</v>
      </c>
      <c r="M4" s="41" t="s">
        <v>709</v>
      </c>
      <c r="N4" s="41" t="s">
        <v>8</v>
      </c>
      <c r="O4" s="41" t="s">
        <v>710</v>
      </c>
      <c r="P4" s="41" t="s">
        <v>9</v>
      </c>
      <c r="Q4" s="41" t="s">
        <v>10</v>
      </c>
      <c r="R4" s="41" t="s">
        <v>11</v>
      </c>
      <c r="S4" s="41" t="s">
        <v>711</v>
      </c>
      <c r="T4" s="41" t="s">
        <v>712</v>
      </c>
      <c r="U4" s="41" t="s">
        <v>898</v>
      </c>
      <c r="V4" s="41" t="s">
        <v>713</v>
      </c>
      <c r="W4" s="41" t="s">
        <v>891</v>
      </c>
      <c r="X4" s="41" t="s">
        <v>12</v>
      </c>
      <c r="Y4" s="41" t="s">
        <v>13</v>
      </c>
      <c r="Z4" s="41" t="s">
        <v>14</v>
      </c>
      <c r="AA4" s="68" t="s">
        <v>899</v>
      </c>
      <c r="AB4" s="41" t="s">
        <v>714</v>
      </c>
      <c r="AC4" s="68" t="s">
        <v>15</v>
      </c>
      <c r="AD4" s="41" t="s">
        <v>16</v>
      </c>
      <c r="AE4" s="41" t="s">
        <v>17</v>
      </c>
      <c r="AF4" s="41" t="s">
        <v>18</v>
      </c>
      <c r="AG4" s="41" t="s">
        <v>19</v>
      </c>
      <c r="AH4" s="41" t="s">
        <v>20</v>
      </c>
    </row>
    <row r="5" spans="2:34">
      <c r="B5" s="42">
        <f t="shared" ref="B5:B34" si="0">ROW()-4</f>
        <v>1</v>
      </c>
      <c r="C5" s="42" t="str">
        <f t="shared" ref="C5:C34" si="1">IF(D5="","","WK-"&amp;TEXT(E5,"YYYYMMDD")&amp;"-"&amp;TEXT(B5,"000"))</f>
        <v>WK-20260801-001</v>
      </c>
      <c r="D5" s="43" t="s">
        <v>216</v>
      </c>
      <c r="E5" s="44">
        <v>46235</v>
      </c>
      <c r="F5" s="43" t="s">
        <v>22</v>
      </c>
      <c r="G5" s="43"/>
      <c r="H5" s="43" t="s">
        <v>23</v>
      </c>
      <c r="I5" s="43" t="s">
        <v>24</v>
      </c>
      <c r="J5" s="43" t="s">
        <v>25</v>
      </c>
      <c r="K5" s="45" t="s">
        <v>26</v>
      </c>
      <c r="L5" s="45" t="s">
        <v>27</v>
      </c>
      <c r="M5" s="45"/>
      <c r="N5" s="46" t="s">
        <v>28</v>
      </c>
      <c r="O5" s="46"/>
      <c r="P5" s="43" t="s">
        <v>715</v>
      </c>
      <c r="Q5" s="43" t="s">
        <v>680</v>
      </c>
      <c r="R5" s="43" t="s">
        <v>217</v>
      </c>
      <c r="S5" s="66" t="s">
        <v>39</v>
      </c>
      <c r="T5" s="46" t="s">
        <v>918</v>
      </c>
      <c r="U5" s="66" t="s">
        <v>919</v>
      </c>
      <c r="V5" s="45"/>
      <c r="W5" s="45"/>
      <c r="X5" s="45" t="s">
        <v>893</v>
      </c>
      <c r="Y5" s="43"/>
      <c r="Z5" s="43"/>
      <c r="AA5" s="46" t="s">
        <v>716</v>
      </c>
      <c r="AB5" s="45"/>
      <c r="AC5" s="46" t="s">
        <v>34</v>
      </c>
      <c r="AD5" s="43" t="s">
        <v>717</v>
      </c>
      <c r="AE5" s="44">
        <v>46265</v>
      </c>
      <c r="AF5" s="43"/>
      <c r="AG5" s="43"/>
      <c r="AH5" s="43" t="s">
        <v>718</v>
      </c>
    </row>
    <row r="6" spans="2:34">
      <c r="B6" s="42">
        <f t="shared" si="0"/>
        <v>2</v>
      </c>
      <c r="C6" s="42" t="str">
        <f t="shared" si="1"/>
        <v>WK-20260802-002</v>
      </c>
      <c r="D6" s="35" t="s">
        <v>892</v>
      </c>
      <c r="E6" s="44">
        <v>46236</v>
      </c>
      <c r="F6" s="43" t="s">
        <v>218</v>
      </c>
      <c r="G6" s="43"/>
      <c r="H6" s="43" t="s">
        <v>165</v>
      </c>
      <c r="I6" s="43" t="s">
        <v>166</v>
      </c>
      <c r="J6" s="43" t="s">
        <v>167</v>
      </c>
      <c r="K6" s="45" t="s">
        <v>164</v>
      </c>
      <c r="L6" s="45" t="s">
        <v>27</v>
      </c>
      <c r="M6" s="45"/>
      <c r="N6" s="46" t="s">
        <v>28</v>
      </c>
      <c r="O6" s="46"/>
      <c r="P6" s="43" t="s">
        <v>715</v>
      </c>
      <c r="Q6" s="43" t="s">
        <v>680</v>
      </c>
      <c r="R6" s="43" t="s">
        <v>219</v>
      </c>
      <c r="S6" s="66" t="s">
        <v>43</v>
      </c>
      <c r="T6" s="46" t="s">
        <v>918</v>
      </c>
      <c r="U6" s="66" t="s">
        <v>920</v>
      </c>
      <c r="V6" s="45"/>
      <c r="W6" s="45">
        <v>0.99999000000000005</v>
      </c>
      <c r="X6" s="45" t="s">
        <v>894</v>
      </c>
      <c r="Y6" s="43"/>
      <c r="Z6" s="43"/>
      <c r="AA6" s="46" t="s">
        <v>716</v>
      </c>
      <c r="AB6" s="45"/>
      <c r="AC6" s="46" t="s">
        <v>34</v>
      </c>
      <c r="AD6" s="43" t="s">
        <v>719</v>
      </c>
      <c r="AE6" s="44">
        <v>46266</v>
      </c>
      <c r="AF6" s="43"/>
      <c r="AG6" s="43"/>
      <c r="AH6" s="43" t="s">
        <v>718</v>
      </c>
    </row>
    <row r="7" spans="2:34">
      <c r="B7" s="42">
        <f t="shared" si="0"/>
        <v>3</v>
      </c>
      <c r="C7" s="42" t="str">
        <f t="shared" si="1"/>
        <v>WK-20260803-003</v>
      </c>
      <c r="D7" s="43" t="s">
        <v>220</v>
      </c>
      <c r="E7" s="44">
        <v>46237</v>
      </c>
      <c r="F7" s="43" t="s">
        <v>221</v>
      </c>
      <c r="G7" s="43"/>
      <c r="H7" s="43" t="s">
        <v>169</v>
      </c>
      <c r="I7" s="43" t="s">
        <v>170</v>
      </c>
      <c r="J7" s="43" t="s">
        <v>171</v>
      </c>
      <c r="K7" s="45" t="s">
        <v>168</v>
      </c>
      <c r="L7" s="45" t="s">
        <v>27</v>
      </c>
      <c r="M7" s="45"/>
      <c r="N7" s="46" t="s">
        <v>28</v>
      </c>
      <c r="O7" s="46"/>
      <c r="P7" s="43" t="s">
        <v>715</v>
      </c>
      <c r="Q7" s="43" t="s">
        <v>680</v>
      </c>
      <c r="R7" s="43" t="s">
        <v>222</v>
      </c>
      <c r="S7" s="66" t="s">
        <v>32</v>
      </c>
      <c r="T7" s="46" t="s">
        <v>918</v>
      </c>
      <c r="U7" s="66" t="s">
        <v>921</v>
      </c>
      <c r="V7" s="45"/>
      <c r="W7" s="45"/>
      <c r="X7" s="45" t="s">
        <v>893</v>
      </c>
      <c r="Y7" s="43"/>
      <c r="Z7" s="43"/>
      <c r="AA7" s="46" t="s">
        <v>716</v>
      </c>
      <c r="AB7" s="45"/>
      <c r="AC7" s="46" t="s">
        <v>34</v>
      </c>
      <c r="AD7" s="43" t="s">
        <v>717</v>
      </c>
      <c r="AE7" s="44">
        <v>46267</v>
      </c>
      <c r="AF7" s="43"/>
      <c r="AG7" s="43"/>
      <c r="AH7" s="43" t="s">
        <v>718</v>
      </c>
    </row>
    <row r="8" spans="2:34">
      <c r="B8" s="42">
        <f t="shared" si="0"/>
        <v>4</v>
      </c>
      <c r="C8" s="42" t="str">
        <f t="shared" si="1"/>
        <v>WK-20260804-004</v>
      </c>
      <c r="D8" s="43" t="s">
        <v>223</v>
      </c>
      <c r="E8" s="44">
        <v>46238</v>
      </c>
      <c r="F8" s="43" t="s">
        <v>224</v>
      </c>
      <c r="G8" s="43"/>
      <c r="H8" s="43" t="s">
        <v>173</v>
      </c>
      <c r="I8" s="43" t="s">
        <v>174</v>
      </c>
      <c r="J8" s="43" t="s">
        <v>175</v>
      </c>
      <c r="K8" s="45" t="s">
        <v>172</v>
      </c>
      <c r="L8" s="45" t="s">
        <v>27</v>
      </c>
      <c r="M8" s="45"/>
      <c r="N8" s="46" t="s">
        <v>28</v>
      </c>
      <c r="O8" s="46"/>
      <c r="P8" s="43" t="s">
        <v>715</v>
      </c>
      <c r="Q8" s="43" t="s">
        <v>681</v>
      </c>
      <c r="R8" s="43" t="s">
        <v>225</v>
      </c>
      <c r="S8" s="66" t="s">
        <v>53</v>
      </c>
      <c r="T8" s="46" t="s">
        <v>918</v>
      </c>
      <c r="U8" s="66" t="s">
        <v>922</v>
      </c>
      <c r="V8" s="45"/>
      <c r="W8" s="45"/>
      <c r="X8" s="45" t="s">
        <v>893</v>
      </c>
      <c r="Y8" s="43"/>
      <c r="Z8" s="43"/>
      <c r="AA8" s="46" t="s">
        <v>716</v>
      </c>
      <c r="AB8" s="45"/>
      <c r="AC8" s="46" t="s">
        <v>34</v>
      </c>
      <c r="AD8" s="43" t="s">
        <v>719</v>
      </c>
      <c r="AE8" s="44">
        <v>46268</v>
      </c>
      <c r="AF8" s="43"/>
      <c r="AG8" s="43"/>
      <c r="AH8" s="43" t="s">
        <v>718</v>
      </c>
    </row>
    <row r="9" spans="2:34">
      <c r="B9" s="42">
        <f t="shared" si="0"/>
        <v>5</v>
      </c>
      <c r="C9" s="42" t="str">
        <f t="shared" si="1"/>
        <v>WK-20260805-005</v>
      </c>
      <c r="D9" s="43" t="s">
        <v>226</v>
      </c>
      <c r="E9" s="44">
        <v>46239</v>
      </c>
      <c r="F9" s="43" t="s">
        <v>227</v>
      </c>
      <c r="G9" s="43"/>
      <c r="H9" s="43" t="s">
        <v>177</v>
      </c>
      <c r="I9" s="43" t="s">
        <v>178</v>
      </c>
      <c r="J9" s="43" t="s">
        <v>179</v>
      </c>
      <c r="K9" s="45" t="s">
        <v>176</v>
      </c>
      <c r="L9" s="45" t="s">
        <v>27</v>
      </c>
      <c r="M9" s="45"/>
      <c r="N9" s="46" t="s">
        <v>28</v>
      </c>
      <c r="O9" s="46"/>
      <c r="P9" s="43" t="s">
        <v>715</v>
      </c>
      <c r="Q9" s="43" t="s">
        <v>682</v>
      </c>
      <c r="R9" s="43" t="s">
        <v>228</v>
      </c>
      <c r="S9" s="66"/>
      <c r="T9" s="46" t="s">
        <v>918</v>
      </c>
      <c r="U9" s="66"/>
      <c r="V9" s="45"/>
      <c r="W9" s="45"/>
      <c r="X9" s="45" t="s">
        <v>893</v>
      </c>
      <c r="Y9" s="43"/>
      <c r="Z9" s="43"/>
      <c r="AA9" s="46" t="s">
        <v>716</v>
      </c>
      <c r="AB9" s="45"/>
      <c r="AC9" s="46" t="s">
        <v>34</v>
      </c>
      <c r="AD9" s="43" t="s">
        <v>717</v>
      </c>
      <c r="AE9" s="44">
        <v>46269</v>
      </c>
      <c r="AF9" s="43"/>
      <c r="AG9" s="43"/>
      <c r="AH9" s="43" t="s">
        <v>718</v>
      </c>
    </row>
    <row r="10" spans="2:34">
      <c r="B10" s="42">
        <f t="shared" si="0"/>
        <v>6</v>
      </c>
      <c r="C10" s="42" t="str">
        <f t="shared" si="1"/>
        <v>WK-20260806-006</v>
      </c>
      <c r="D10" s="43" t="s">
        <v>229</v>
      </c>
      <c r="E10" s="44">
        <v>46240</v>
      </c>
      <c r="F10" s="43" t="s">
        <v>230</v>
      </c>
      <c r="G10" s="43"/>
      <c r="H10" s="43" t="s">
        <v>181</v>
      </c>
      <c r="I10" s="43" t="s">
        <v>182</v>
      </c>
      <c r="J10" s="43" t="s">
        <v>183</v>
      </c>
      <c r="K10" s="45" t="s">
        <v>180</v>
      </c>
      <c r="L10" s="45" t="s">
        <v>27</v>
      </c>
      <c r="M10" s="45"/>
      <c r="N10" s="46" t="s">
        <v>41</v>
      </c>
      <c r="O10" s="46" t="s">
        <v>47</v>
      </c>
      <c r="P10" s="43" t="s">
        <v>715</v>
      </c>
      <c r="Q10" s="43" t="s">
        <v>683</v>
      </c>
      <c r="R10" s="43" t="s">
        <v>231</v>
      </c>
      <c r="S10" s="66"/>
      <c r="T10" s="46" t="s">
        <v>918</v>
      </c>
      <c r="U10" s="66"/>
      <c r="V10" s="45"/>
      <c r="W10" s="45"/>
      <c r="X10" s="45" t="s">
        <v>893</v>
      </c>
      <c r="Y10" s="43"/>
      <c r="Z10" s="43"/>
      <c r="AA10" s="46" t="s">
        <v>720</v>
      </c>
      <c r="AB10" s="45"/>
      <c r="AC10" s="46" t="s">
        <v>40</v>
      </c>
      <c r="AD10" s="43" t="s">
        <v>719</v>
      </c>
      <c r="AE10" s="44">
        <v>46270</v>
      </c>
      <c r="AF10" s="43"/>
      <c r="AG10" s="43"/>
      <c r="AH10" s="43" t="s">
        <v>718</v>
      </c>
    </row>
    <row r="11" spans="2:34">
      <c r="B11" s="42">
        <f t="shared" si="0"/>
        <v>7</v>
      </c>
      <c r="C11" s="42" t="str">
        <f t="shared" si="1"/>
        <v>WK-20260807-007</v>
      </c>
      <c r="D11" s="43" t="s">
        <v>232</v>
      </c>
      <c r="E11" s="44">
        <v>46241</v>
      </c>
      <c r="F11" s="43" t="s">
        <v>233</v>
      </c>
      <c r="G11" s="43"/>
      <c r="H11" s="43" t="s">
        <v>185</v>
      </c>
      <c r="I11" s="43" t="s">
        <v>186</v>
      </c>
      <c r="J11" s="43" t="s">
        <v>187</v>
      </c>
      <c r="K11" s="45" t="s">
        <v>184</v>
      </c>
      <c r="L11" s="45" t="s">
        <v>27</v>
      </c>
      <c r="M11" s="45"/>
      <c r="N11" s="46" t="s">
        <v>51</v>
      </c>
      <c r="O11" s="46"/>
      <c r="P11" s="43" t="s">
        <v>715</v>
      </c>
      <c r="Q11" s="43"/>
      <c r="R11" s="43"/>
      <c r="S11" s="66"/>
      <c r="T11" s="46" t="s">
        <v>918</v>
      </c>
      <c r="U11" s="66"/>
      <c r="V11" s="45"/>
      <c r="W11" s="45"/>
      <c r="X11" s="45" t="s">
        <v>893</v>
      </c>
      <c r="Y11" s="43"/>
      <c r="Z11" s="43"/>
      <c r="AA11" s="46"/>
      <c r="AB11" s="45"/>
      <c r="AC11" s="46"/>
      <c r="AD11" s="43"/>
      <c r="AE11" s="43"/>
      <c r="AF11" s="43"/>
      <c r="AG11" s="43"/>
      <c r="AH11" s="43" t="s">
        <v>718</v>
      </c>
    </row>
    <row r="12" spans="2:34">
      <c r="B12" s="42">
        <f t="shared" si="0"/>
        <v>8</v>
      </c>
      <c r="C12" s="42" t="str">
        <f t="shared" si="1"/>
        <v>WK-20260808-008</v>
      </c>
      <c r="D12" s="43" t="s">
        <v>234</v>
      </c>
      <c r="E12" s="44">
        <v>46242</v>
      </c>
      <c r="F12" s="43" t="s">
        <v>235</v>
      </c>
      <c r="G12" s="43"/>
      <c r="H12" s="43" t="s">
        <v>209</v>
      </c>
      <c r="I12" s="43" t="s">
        <v>210</v>
      </c>
      <c r="J12" s="43" t="s">
        <v>211</v>
      </c>
      <c r="K12" s="45" t="s">
        <v>208</v>
      </c>
      <c r="L12" s="45" t="s">
        <v>27</v>
      </c>
      <c r="M12" s="45"/>
      <c r="N12" s="46" t="s">
        <v>28</v>
      </c>
      <c r="O12" s="46"/>
      <c r="P12" s="43" t="s">
        <v>715</v>
      </c>
      <c r="Q12" s="43"/>
      <c r="R12" s="43"/>
      <c r="S12" s="66"/>
      <c r="T12" s="46" t="s">
        <v>918</v>
      </c>
      <c r="U12" s="66"/>
      <c r="V12" s="45"/>
      <c r="W12" s="45"/>
      <c r="X12" s="45" t="s">
        <v>893</v>
      </c>
      <c r="Y12" s="43"/>
      <c r="Z12" s="43"/>
      <c r="AA12" s="46" t="s">
        <v>716</v>
      </c>
      <c r="AB12" s="45"/>
      <c r="AC12" s="46" t="s">
        <v>34</v>
      </c>
      <c r="AD12" s="43" t="s">
        <v>719</v>
      </c>
      <c r="AE12" s="44">
        <v>46272</v>
      </c>
      <c r="AF12" s="43"/>
      <c r="AG12" s="43"/>
      <c r="AH12" s="43" t="s">
        <v>718</v>
      </c>
    </row>
    <row r="13" spans="2:34">
      <c r="B13" s="42">
        <f t="shared" si="0"/>
        <v>9</v>
      </c>
      <c r="C13" s="42" t="str">
        <f t="shared" si="1"/>
        <v>WK-20260809-009</v>
      </c>
      <c r="D13" s="43" t="s">
        <v>236</v>
      </c>
      <c r="E13" s="44">
        <v>46243</v>
      </c>
      <c r="F13" s="43" t="s">
        <v>237</v>
      </c>
      <c r="G13" s="43"/>
      <c r="H13" s="43" t="s">
        <v>197</v>
      </c>
      <c r="I13" s="43" t="s">
        <v>198</v>
      </c>
      <c r="J13" s="43" t="s">
        <v>199</v>
      </c>
      <c r="K13" s="45" t="s">
        <v>196</v>
      </c>
      <c r="L13" s="45" t="s">
        <v>27</v>
      </c>
      <c r="M13" s="45"/>
      <c r="N13" s="46" t="s">
        <v>41</v>
      </c>
      <c r="O13" s="46" t="s">
        <v>55</v>
      </c>
      <c r="P13" s="43" t="s">
        <v>715</v>
      </c>
      <c r="Q13" s="43" t="s">
        <v>685</v>
      </c>
      <c r="R13" s="43" t="s">
        <v>238</v>
      </c>
      <c r="S13" s="66"/>
      <c r="T13" s="46" t="s">
        <v>918</v>
      </c>
      <c r="U13" s="66"/>
      <c r="V13" s="45"/>
      <c r="W13" s="45"/>
      <c r="X13" s="45" t="s">
        <v>893</v>
      </c>
      <c r="Y13" s="43"/>
      <c r="Z13" s="43"/>
      <c r="AA13" s="46" t="s">
        <v>720</v>
      </c>
      <c r="AB13" s="45"/>
      <c r="AC13" s="46" t="s">
        <v>40</v>
      </c>
      <c r="AD13" s="43" t="s">
        <v>717</v>
      </c>
      <c r="AE13" s="44">
        <v>46273</v>
      </c>
      <c r="AF13" s="43"/>
      <c r="AG13" s="43"/>
      <c r="AH13" s="43" t="s">
        <v>718</v>
      </c>
    </row>
    <row r="14" spans="2:34">
      <c r="B14" s="42">
        <f t="shared" si="0"/>
        <v>10</v>
      </c>
      <c r="C14" s="42" t="str">
        <f t="shared" si="1"/>
        <v>WK-20260810-010</v>
      </c>
      <c r="D14" s="43" t="s">
        <v>239</v>
      </c>
      <c r="E14" s="44">
        <v>46244</v>
      </c>
      <c r="F14" s="43" t="s">
        <v>240</v>
      </c>
      <c r="G14" s="43"/>
      <c r="H14" s="43" t="s">
        <v>213</v>
      </c>
      <c r="I14" s="43" t="s">
        <v>214</v>
      </c>
      <c r="J14" s="43" t="s">
        <v>215</v>
      </c>
      <c r="K14" s="45" t="s">
        <v>212</v>
      </c>
      <c r="L14" s="45" t="s">
        <v>27</v>
      </c>
      <c r="M14" s="45"/>
      <c r="N14" s="46" t="s">
        <v>46</v>
      </c>
      <c r="O14" s="46"/>
      <c r="P14" s="43" t="s">
        <v>715</v>
      </c>
      <c r="Q14" s="43" t="s">
        <v>682</v>
      </c>
      <c r="R14" s="43" t="s">
        <v>241</v>
      </c>
      <c r="S14" s="66"/>
      <c r="T14" s="46" t="s">
        <v>918</v>
      </c>
      <c r="U14" s="66"/>
      <c r="V14" s="45"/>
      <c r="W14" s="45"/>
      <c r="X14" s="45" t="s">
        <v>893</v>
      </c>
      <c r="Y14" s="43"/>
      <c r="Z14" s="43"/>
      <c r="AA14" s="46" t="s">
        <v>720</v>
      </c>
      <c r="AB14" s="45"/>
      <c r="AC14" s="46" t="s">
        <v>40</v>
      </c>
      <c r="AD14" s="43" t="s">
        <v>719</v>
      </c>
      <c r="AE14" s="44">
        <v>46274</v>
      </c>
      <c r="AF14" s="43"/>
      <c r="AG14" s="43"/>
      <c r="AH14" s="43" t="s">
        <v>718</v>
      </c>
    </row>
    <row r="15" spans="2:34">
      <c r="B15" s="42">
        <f t="shared" si="0"/>
        <v>11</v>
      </c>
      <c r="C15" s="42" t="str">
        <f t="shared" si="1"/>
        <v>WK-20260811-011</v>
      </c>
      <c r="D15" s="43" t="s">
        <v>242</v>
      </c>
      <c r="E15" s="44">
        <v>46245</v>
      </c>
      <c r="F15" s="43" t="s">
        <v>243</v>
      </c>
      <c r="G15" s="43"/>
      <c r="H15" s="43" t="s">
        <v>165</v>
      </c>
      <c r="I15" s="43" t="s">
        <v>166</v>
      </c>
      <c r="J15" s="43" t="s">
        <v>167</v>
      </c>
      <c r="K15" s="45" t="s">
        <v>164</v>
      </c>
      <c r="L15" s="45" t="s">
        <v>27</v>
      </c>
      <c r="M15" s="45"/>
      <c r="N15" s="46" t="s">
        <v>41</v>
      </c>
      <c r="O15" s="46"/>
      <c r="P15" s="43" t="s">
        <v>721</v>
      </c>
      <c r="Q15" s="43" t="s">
        <v>681</v>
      </c>
      <c r="R15" s="43"/>
      <c r="S15" s="66"/>
      <c r="T15" s="46" t="s">
        <v>918</v>
      </c>
      <c r="U15" s="66"/>
      <c r="V15" s="45"/>
      <c r="W15" s="45"/>
      <c r="X15" s="45" t="s">
        <v>893</v>
      </c>
      <c r="Y15" s="43"/>
      <c r="Z15" s="43"/>
      <c r="AA15" s="46" t="s">
        <v>716</v>
      </c>
      <c r="AB15" s="45"/>
      <c r="AC15" s="46" t="s">
        <v>34</v>
      </c>
      <c r="AD15" s="43" t="s">
        <v>717</v>
      </c>
      <c r="AE15" s="44">
        <v>46275</v>
      </c>
      <c r="AF15" s="43"/>
      <c r="AG15" s="43"/>
      <c r="AH15" s="43" t="s">
        <v>722</v>
      </c>
    </row>
    <row r="16" spans="2:34">
      <c r="B16" s="42">
        <f t="shared" si="0"/>
        <v>12</v>
      </c>
      <c r="C16" s="42" t="str">
        <f t="shared" si="1"/>
        <v>WK-20260812-012</v>
      </c>
      <c r="D16" s="43" t="s">
        <v>244</v>
      </c>
      <c r="E16" s="44">
        <v>46246</v>
      </c>
      <c r="F16" s="43" t="s">
        <v>126</v>
      </c>
      <c r="G16" s="43"/>
      <c r="H16" s="43" t="s">
        <v>173</v>
      </c>
      <c r="I16" s="43" t="s">
        <v>174</v>
      </c>
      <c r="J16" s="43" t="s">
        <v>175</v>
      </c>
      <c r="K16" s="45" t="s">
        <v>172</v>
      </c>
      <c r="L16" s="45" t="s">
        <v>27</v>
      </c>
      <c r="M16" s="45"/>
      <c r="N16" s="46" t="s">
        <v>41</v>
      </c>
      <c r="O16" s="46"/>
      <c r="P16" s="43" t="s">
        <v>723</v>
      </c>
      <c r="Q16" s="43" t="s">
        <v>682</v>
      </c>
      <c r="R16" s="43"/>
      <c r="S16" s="66"/>
      <c r="T16" s="46" t="s">
        <v>918</v>
      </c>
      <c r="U16" s="66"/>
      <c r="V16" s="45"/>
      <c r="W16" s="45"/>
      <c r="X16" s="45" t="s">
        <v>893</v>
      </c>
      <c r="Y16" s="43"/>
      <c r="Z16" s="43"/>
      <c r="AA16" s="46" t="s">
        <v>716</v>
      </c>
      <c r="AB16" s="45"/>
      <c r="AC16" s="46" t="s">
        <v>34</v>
      </c>
      <c r="AD16" s="43" t="s">
        <v>719</v>
      </c>
      <c r="AE16" s="44">
        <v>46276</v>
      </c>
      <c r="AF16" s="43"/>
      <c r="AG16" s="43"/>
      <c r="AH16" s="43" t="s">
        <v>724</v>
      </c>
    </row>
    <row r="17" spans="2:34">
      <c r="B17" s="42">
        <f t="shared" si="0"/>
        <v>13</v>
      </c>
      <c r="C17" s="42" t="str">
        <f t="shared" si="1"/>
        <v>WK-20260813-013</v>
      </c>
      <c r="D17" s="43" t="s">
        <v>245</v>
      </c>
      <c r="E17" s="44">
        <v>46247</v>
      </c>
      <c r="F17" s="43" t="s">
        <v>246</v>
      </c>
      <c r="G17" s="43"/>
      <c r="H17" s="43" t="s">
        <v>177</v>
      </c>
      <c r="I17" s="43" t="s">
        <v>178</v>
      </c>
      <c r="J17" s="43" t="s">
        <v>179</v>
      </c>
      <c r="K17" s="45" t="s">
        <v>176</v>
      </c>
      <c r="L17" s="45" t="s">
        <v>27</v>
      </c>
      <c r="M17" s="45"/>
      <c r="N17" s="46" t="s">
        <v>41</v>
      </c>
      <c r="O17" s="46"/>
      <c r="P17" s="43" t="s">
        <v>725</v>
      </c>
      <c r="Q17" s="43" t="s">
        <v>680</v>
      </c>
      <c r="R17" s="43" t="s">
        <v>247</v>
      </c>
      <c r="S17" s="66"/>
      <c r="T17" s="46" t="s">
        <v>918</v>
      </c>
      <c r="U17" s="66"/>
      <c r="V17" s="45"/>
      <c r="W17" s="45"/>
      <c r="X17" s="45" t="s">
        <v>893</v>
      </c>
      <c r="Y17" s="43"/>
      <c r="Z17" s="43"/>
      <c r="AA17" s="46" t="s">
        <v>716</v>
      </c>
      <c r="AB17" s="45"/>
      <c r="AC17" s="46" t="s">
        <v>34</v>
      </c>
      <c r="AD17" s="43" t="s">
        <v>717</v>
      </c>
      <c r="AE17" s="44">
        <v>46277</v>
      </c>
      <c r="AF17" s="43"/>
      <c r="AG17" s="43"/>
      <c r="AH17" s="43" t="s">
        <v>726</v>
      </c>
    </row>
    <row r="18" spans="2:34">
      <c r="B18" s="42">
        <f t="shared" si="0"/>
        <v>14</v>
      </c>
      <c r="C18" s="42" t="str">
        <f t="shared" si="1"/>
        <v>WK-20260814-014</v>
      </c>
      <c r="D18" s="43" t="s">
        <v>248</v>
      </c>
      <c r="E18" s="44">
        <v>46248</v>
      </c>
      <c r="F18" s="43" t="s">
        <v>249</v>
      </c>
      <c r="G18" s="43"/>
      <c r="H18" s="43" t="s">
        <v>181</v>
      </c>
      <c r="I18" s="43" t="s">
        <v>182</v>
      </c>
      <c r="J18" s="43" t="s">
        <v>183</v>
      </c>
      <c r="K18" s="45" t="s">
        <v>180</v>
      </c>
      <c r="L18" s="45" t="s">
        <v>27</v>
      </c>
      <c r="M18" s="45"/>
      <c r="N18" s="46" t="s">
        <v>41</v>
      </c>
      <c r="O18" s="46"/>
      <c r="P18" s="43" t="s">
        <v>727</v>
      </c>
      <c r="Q18" s="43" t="s">
        <v>680</v>
      </c>
      <c r="R18" s="43" t="s">
        <v>250</v>
      </c>
      <c r="S18" s="66"/>
      <c r="T18" s="46" t="s">
        <v>918</v>
      </c>
      <c r="U18" s="66"/>
      <c r="V18" s="45"/>
      <c r="W18" s="45"/>
      <c r="X18" s="45" t="s">
        <v>893</v>
      </c>
      <c r="Y18" s="43"/>
      <c r="Z18" s="43"/>
      <c r="AA18" s="46" t="s">
        <v>720</v>
      </c>
      <c r="AB18" s="45"/>
      <c r="AC18" s="46" t="s">
        <v>40</v>
      </c>
      <c r="AD18" s="43" t="s">
        <v>719</v>
      </c>
      <c r="AE18" s="44">
        <v>46278</v>
      </c>
      <c r="AF18" s="43"/>
      <c r="AG18" s="43"/>
      <c r="AH18" s="43" t="s">
        <v>728</v>
      </c>
    </row>
    <row r="19" spans="2:34">
      <c r="B19" s="42">
        <f t="shared" si="0"/>
        <v>15</v>
      </c>
      <c r="C19" s="42" t="str">
        <f t="shared" si="1"/>
        <v>WK-20260815-015</v>
      </c>
      <c r="D19" s="43" t="s">
        <v>251</v>
      </c>
      <c r="E19" s="44">
        <v>46249</v>
      </c>
      <c r="F19" s="43" t="s">
        <v>252</v>
      </c>
      <c r="G19" s="43"/>
      <c r="H19" s="43" t="s">
        <v>197</v>
      </c>
      <c r="I19" s="43" t="s">
        <v>198</v>
      </c>
      <c r="J19" s="43" t="s">
        <v>199</v>
      </c>
      <c r="K19" s="45" t="s">
        <v>196</v>
      </c>
      <c r="L19" s="45" t="s">
        <v>27</v>
      </c>
      <c r="M19" s="45"/>
      <c r="N19" s="46" t="s">
        <v>41</v>
      </c>
      <c r="O19" s="46"/>
      <c r="P19" s="43" t="s">
        <v>729</v>
      </c>
      <c r="Q19" s="43" t="s">
        <v>682</v>
      </c>
      <c r="R19" s="43" t="s">
        <v>253</v>
      </c>
      <c r="S19" s="66"/>
      <c r="T19" s="46" t="s">
        <v>918</v>
      </c>
      <c r="U19" s="66"/>
      <c r="V19" s="45"/>
      <c r="W19" s="45"/>
      <c r="X19" s="45" t="s">
        <v>893</v>
      </c>
      <c r="Y19" s="43"/>
      <c r="Z19" s="43"/>
      <c r="AA19" s="46" t="s">
        <v>720</v>
      </c>
      <c r="AB19" s="45"/>
      <c r="AC19" s="46" t="s">
        <v>40</v>
      </c>
      <c r="AD19" s="43" t="s">
        <v>717</v>
      </c>
      <c r="AE19" s="44">
        <v>46279</v>
      </c>
      <c r="AF19" s="43"/>
      <c r="AG19" s="43"/>
      <c r="AH19" s="43" t="s">
        <v>730</v>
      </c>
    </row>
    <row r="20" spans="2:34">
      <c r="B20" s="42">
        <f t="shared" si="0"/>
        <v>16</v>
      </c>
      <c r="C20" s="42" t="str">
        <f t="shared" si="1"/>
        <v>WK-20260816-016</v>
      </c>
      <c r="D20" s="43" t="s">
        <v>254</v>
      </c>
      <c r="E20" s="44">
        <v>46250</v>
      </c>
      <c r="F20" s="43" t="s">
        <v>22</v>
      </c>
      <c r="G20" s="43"/>
      <c r="H20" s="43" t="s">
        <v>255</v>
      </c>
      <c r="I20" s="43" t="s">
        <v>256</v>
      </c>
      <c r="J20" s="43" t="s">
        <v>25</v>
      </c>
      <c r="K20" s="45"/>
      <c r="L20" s="45" t="s">
        <v>888</v>
      </c>
      <c r="M20" s="45">
        <v>0.71099999999999997</v>
      </c>
      <c r="N20" s="46" t="s">
        <v>41</v>
      </c>
      <c r="O20" s="46"/>
      <c r="P20" s="43" t="s">
        <v>731</v>
      </c>
      <c r="Q20" s="43" t="s">
        <v>684</v>
      </c>
      <c r="R20" s="43" t="s">
        <v>257</v>
      </c>
      <c r="S20" s="66"/>
      <c r="T20" s="46" t="s">
        <v>918</v>
      </c>
      <c r="U20" s="66"/>
      <c r="V20" s="45"/>
      <c r="W20" s="45"/>
      <c r="X20" s="45" t="s">
        <v>893</v>
      </c>
      <c r="Y20" s="43"/>
      <c r="Z20" s="43"/>
      <c r="AA20" s="46" t="s">
        <v>716</v>
      </c>
      <c r="AB20" s="45" t="s">
        <v>923</v>
      </c>
      <c r="AC20" s="46" t="s">
        <v>34</v>
      </c>
      <c r="AD20" s="43" t="s">
        <v>719</v>
      </c>
      <c r="AE20" s="44">
        <v>46280</v>
      </c>
      <c r="AF20" s="43"/>
      <c r="AG20" s="43"/>
      <c r="AH20" s="43" t="s">
        <v>732</v>
      </c>
    </row>
    <row r="21" spans="2:34">
      <c r="B21" s="42">
        <f t="shared" si="0"/>
        <v>17</v>
      </c>
      <c r="C21" s="42" t="str">
        <f t="shared" si="1"/>
        <v>WK-20260817-017</v>
      </c>
      <c r="D21" s="43" t="s">
        <v>258</v>
      </c>
      <c r="E21" s="44">
        <v>46251</v>
      </c>
      <c r="F21" s="43" t="s">
        <v>218</v>
      </c>
      <c r="G21" s="43"/>
      <c r="H21" s="43" t="s">
        <v>259</v>
      </c>
      <c r="I21" s="43" t="s">
        <v>260</v>
      </c>
      <c r="J21" s="43" t="s">
        <v>261</v>
      </c>
      <c r="K21" s="45" t="s">
        <v>164</v>
      </c>
      <c r="L21" s="45" t="s">
        <v>45</v>
      </c>
      <c r="M21" s="45">
        <v>0.92500000000000004</v>
      </c>
      <c r="N21" s="46" t="s">
        <v>41</v>
      </c>
      <c r="O21" s="46"/>
      <c r="P21" s="43" t="s">
        <v>733</v>
      </c>
      <c r="Q21" s="43"/>
      <c r="R21" s="43" t="s">
        <v>262</v>
      </c>
      <c r="S21" s="66"/>
      <c r="T21" s="46" t="s">
        <v>918</v>
      </c>
      <c r="U21" s="66"/>
      <c r="V21" s="45"/>
      <c r="W21" s="45"/>
      <c r="X21" s="45" t="s">
        <v>893</v>
      </c>
      <c r="Y21" s="43"/>
      <c r="Z21" s="43"/>
      <c r="AA21" s="46" t="s">
        <v>716</v>
      </c>
      <c r="AB21" s="45" t="s">
        <v>734</v>
      </c>
      <c r="AC21" s="46" t="s">
        <v>34</v>
      </c>
      <c r="AD21" s="43" t="s">
        <v>717</v>
      </c>
      <c r="AE21" s="44">
        <v>46281</v>
      </c>
      <c r="AF21" s="43"/>
      <c r="AG21" s="43"/>
      <c r="AH21" s="43" t="s">
        <v>735</v>
      </c>
    </row>
    <row r="22" spans="2:34">
      <c r="B22" s="42">
        <f t="shared" si="0"/>
        <v>18</v>
      </c>
      <c r="C22" s="42" t="str">
        <f t="shared" si="1"/>
        <v>WK-20260818-018</v>
      </c>
      <c r="D22" s="43" t="s">
        <v>263</v>
      </c>
      <c r="E22" s="44">
        <v>46252</v>
      </c>
      <c r="F22" s="43" t="s">
        <v>221</v>
      </c>
      <c r="G22" s="43"/>
      <c r="H22" s="43" t="s">
        <v>264</v>
      </c>
      <c r="I22" s="43" t="s">
        <v>265</v>
      </c>
      <c r="J22" s="43" t="s">
        <v>266</v>
      </c>
      <c r="K22" s="45" t="s">
        <v>168</v>
      </c>
      <c r="L22" s="45" t="s">
        <v>45</v>
      </c>
      <c r="M22" s="45">
        <v>0.91400000000000003</v>
      </c>
      <c r="N22" s="46" t="s">
        <v>41</v>
      </c>
      <c r="O22" s="46"/>
      <c r="P22" s="43" t="s">
        <v>736</v>
      </c>
      <c r="Q22" s="43" t="s">
        <v>684</v>
      </c>
      <c r="R22" s="43" t="s">
        <v>267</v>
      </c>
      <c r="S22" s="66"/>
      <c r="T22" s="46" t="s">
        <v>918</v>
      </c>
      <c r="U22" s="66"/>
      <c r="V22" s="45"/>
      <c r="W22" s="45"/>
      <c r="X22" s="45" t="s">
        <v>893</v>
      </c>
      <c r="Y22" s="43"/>
      <c r="Z22" s="43"/>
      <c r="AA22" s="46" t="s">
        <v>720</v>
      </c>
      <c r="AB22" s="45" t="s">
        <v>737</v>
      </c>
      <c r="AC22" s="46" t="s">
        <v>40</v>
      </c>
      <c r="AD22" s="43" t="s">
        <v>719</v>
      </c>
      <c r="AE22" s="44">
        <v>46282</v>
      </c>
      <c r="AF22" s="43"/>
      <c r="AG22" s="43"/>
      <c r="AH22" s="43" t="s">
        <v>738</v>
      </c>
    </row>
    <row r="23" spans="2:34">
      <c r="B23" s="42">
        <f t="shared" si="0"/>
        <v>19</v>
      </c>
      <c r="C23" s="42" t="str">
        <f t="shared" si="1"/>
        <v>WK-20260819-019</v>
      </c>
      <c r="D23" s="43" t="s">
        <v>268</v>
      </c>
      <c r="E23" s="44">
        <v>46253</v>
      </c>
      <c r="F23" s="43" t="s">
        <v>224</v>
      </c>
      <c r="G23" s="43"/>
      <c r="H23" s="43" t="s">
        <v>269</v>
      </c>
      <c r="I23" s="43" t="s">
        <v>270</v>
      </c>
      <c r="J23" s="43" t="s">
        <v>271</v>
      </c>
      <c r="K23" s="45" t="s">
        <v>172</v>
      </c>
      <c r="L23" s="45" t="s">
        <v>45</v>
      </c>
      <c r="M23" s="45">
        <v>0.81799999999999995</v>
      </c>
      <c r="N23" s="46" t="s">
        <v>28</v>
      </c>
      <c r="O23" s="46"/>
      <c r="P23" s="43" t="s">
        <v>739</v>
      </c>
      <c r="Q23" s="43" t="s">
        <v>686</v>
      </c>
      <c r="R23" s="43" t="s">
        <v>272</v>
      </c>
      <c r="S23" s="66"/>
      <c r="T23" s="46" t="s">
        <v>918</v>
      </c>
      <c r="U23" s="66"/>
      <c r="V23" s="45"/>
      <c r="W23" s="45"/>
      <c r="X23" s="45" t="s">
        <v>893</v>
      </c>
      <c r="Y23" s="43"/>
      <c r="Z23" s="43"/>
      <c r="AA23" s="46" t="s">
        <v>716</v>
      </c>
      <c r="AB23" s="45" t="s">
        <v>740</v>
      </c>
      <c r="AC23" s="46" t="s">
        <v>34</v>
      </c>
      <c r="AD23" s="43" t="s">
        <v>717</v>
      </c>
      <c r="AE23" s="44">
        <v>46283</v>
      </c>
      <c r="AF23" s="43"/>
      <c r="AG23" s="43"/>
      <c r="AH23" s="43" t="s">
        <v>741</v>
      </c>
    </row>
    <row r="24" spans="2:34">
      <c r="B24" s="42">
        <f t="shared" si="0"/>
        <v>20</v>
      </c>
      <c r="C24" s="42" t="str">
        <f t="shared" si="1"/>
        <v>WK-20260820-020</v>
      </c>
      <c r="D24" s="43" t="s">
        <v>273</v>
      </c>
      <c r="E24" s="44">
        <v>46254</v>
      </c>
      <c r="F24" s="43" t="s">
        <v>227</v>
      </c>
      <c r="G24" s="43"/>
      <c r="H24" s="43" t="s">
        <v>742</v>
      </c>
      <c r="I24" s="43" t="s">
        <v>743</v>
      </c>
      <c r="J24" s="43" t="s">
        <v>274</v>
      </c>
      <c r="K24" s="45" t="s">
        <v>176</v>
      </c>
      <c r="L24" s="45" t="s">
        <v>45</v>
      </c>
      <c r="M24" s="45">
        <v>0.79200000000000004</v>
      </c>
      <c r="N24" s="46" t="s">
        <v>41</v>
      </c>
      <c r="O24" s="46"/>
      <c r="P24" s="43" t="s">
        <v>744</v>
      </c>
      <c r="Q24" s="43" t="s">
        <v>681</v>
      </c>
      <c r="R24" s="43" t="s">
        <v>275</v>
      </c>
      <c r="S24" s="66"/>
      <c r="T24" s="46" t="s">
        <v>918</v>
      </c>
      <c r="U24" s="66"/>
      <c r="V24" s="45"/>
      <c r="W24" s="45"/>
      <c r="X24" s="45" t="s">
        <v>893</v>
      </c>
      <c r="Y24" s="43"/>
      <c r="Z24" s="43"/>
      <c r="AA24" s="46" t="s">
        <v>716</v>
      </c>
      <c r="AB24" s="45" t="s">
        <v>745</v>
      </c>
      <c r="AC24" s="46" t="s">
        <v>34</v>
      </c>
      <c r="AD24" s="43" t="s">
        <v>719</v>
      </c>
      <c r="AE24" s="44">
        <v>46284</v>
      </c>
      <c r="AF24" s="43"/>
      <c r="AG24" s="43"/>
      <c r="AH24" s="43" t="s">
        <v>746</v>
      </c>
    </row>
    <row r="25" spans="2:34">
      <c r="B25" s="42">
        <f t="shared" si="0"/>
        <v>21</v>
      </c>
      <c r="C25" s="42" t="str">
        <f t="shared" si="1"/>
        <v>WK-20260821-021</v>
      </c>
      <c r="D25" s="43" t="s">
        <v>276</v>
      </c>
      <c r="E25" s="44">
        <v>46255</v>
      </c>
      <c r="F25" s="43" t="s">
        <v>230</v>
      </c>
      <c r="G25" s="43"/>
      <c r="H25" s="43" t="s">
        <v>277</v>
      </c>
      <c r="I25" s="43" t="s">
        <v>278</v>
      </c>
      <c r="J25" s="43" t="s">
        <v>279</v>
      </c>
      <c r="K25" s="45" t="s">
        <v>180</v>
      </c>
      <c r="L25" s="45" t="s">
        <v>45</v>
      </c>
      <c r="M25" s="45">
        <v>0.88200000000000001</v>
      </c>
      <c r="N25" s="46" t="s">
        <v>41</v>
      </c>
      <c r="O25" s="46"/>
      <c r="P25" s="43" t="s">
        <v>747</v>
      </c>
      <c r="Q25" s="43" t="s">
        <v>681</v>
      </c>
      <c r="R25" s="43" t="s">
        <v>280</v>
      </c>
      <c r="S25" s="66"/>
      <c r="T25" s="46" t="s">
        <v>918</v>
      </c>
      <c r="U25" s="66"/>
      <c r="V25" s="45"/>
      <c r="W25" s="45"/>
      <c r="X25" s="45" t="s">
        <v>893</v>
      </c>
      <c r="Y25" s="43"/>
      <c r="Z25" s="43"/>
      <c r="AA25" s="46" t="s">
        <v>720</v>
      </c>
      <c r="AB25" s="45" t="s">
        <v>748</v>
      </c>
      <c r="AC25" s="46" t="s">
        <v>40</v>
      </c>
      <c r="AD25" s="43" t="s">
        <v>717</v>
      </c>
      <c r="AE25" s="44">
        <v>46285</v>
      </c>
      <c r="AF25" s="43"/>
      <c r="AG25" s="43"/>
      <c r="AH25" s="43" t="s">
        <v>749</v>
      </c>
    </row>
    <row r="26" spans="2:34">
      <c r="B26" s="42">
        <f t="shared" si="0"/>
        <v>22</v>
      </c>
      <c r="C26" s="42" t="str">
        <f t="shared" si="1"/>
        <v>WK-20260822-022</v>
      </c>
      <c r="D26" s="43" t="s">
        <v>281</v>
      </c>
      <c r="E26" s="44">
        <v>46256</v>
      </c>
      <c r="F26" s="43" t="s">
        <v>233</v>
      </c>
      <c r="G26" s="43"/>
      <c r="H26" s="43" t="s">
        <v>282</v>
      </c>
      <c r="I26" s="43" t="s">
        <v>283</v>
      </c>
      <c r="J26" s="43" t="s">
        <v>284</v>
      </c>
      <c r="K26" s="45" t="s">
        <v>184</v>
      </c>
      <c r="L26" s="45" t="s">
        <v>45</v>
      </c>
      <c r="M26" s="45">
        <v>0.877</v>
      </c>
      <c r="N26" s="46" t="s">
        <v>51</v>
      </c>
      <c r="O26" s="46"/>
      <c r="P26" s="43" t="s">
        <v>750</v>
      </c>
      <c r="Q26" s="43" t="s">
        <v>681</v>
      </c>
      <c r="R26" s="43"/>
      <c r="S26" s="66"/>
      <c r="T26" s="46" t="s">
        <v>918</v>
      </c>
      <c r="U26" s="66"/>
      <c r="V26" s="45"/>
      <c r="W26" s="45"/>
      <c r="X26" s="45" t="s">
        <v>893</v>
      </c>
      <c r="Y26" s="43"/>
      <c r="Z26" s="43"/>
      <c r="AA26" s="46"/>
      <c r="AB26" s="45" t="s">
        <v>751</v>
      </c>
      <c r="AC26" s="46"/>
      <c r="AD26" s="43"/>
      <c r="AE26" s="43"/>
      <c r="AF26" s="43"/>
      <c r="AG26" s="43"/>
      <c r="AH26" s="43" t="s">
        <v>752</v>
      </c>
    </row>
    <row r="27" spans="2:34">
      <c r="B27" s="42">
        <f t="shared" si="0"/>
        <v>23</v>
      </c>
      <c r="C27" s="42" t="str">
        <f t="shared" si="1"/>
        <v>WK-20260823-023</v>
      </c>
      <c r="D27" s="43" t="s">
        <v>285</v>
      </c>
      <c r="E27" s="44">
        <v>46257</v>
      </c>
      <c r="F27" s="43" t="s">
        <v>235</v>
      </c>
      <c r="G27" s="43"/>
      <c r="H27" s="43" t="s">
        <v>286</v>
      </c>
      <c r="I27" s="43" t="s">
        <v>287</v>
      </c>
      <c r="J27" s="43" t="s">
        <v>288</v>
      </c>
      <c r="K27" s="45" t="s">
        <v>208</v>
      </c>
      <c r="L27" s="45" t="s">
        <v>45</v>
      </c>
      <c r="M27" s="45">
        <v>0.90600000000000003</v>
      </c>
      <c r="N27" s="46" t="s">
        <v>28</v>
      </c>
      <c r="O27" s="46"/>
      <c r="P27" s="43" t="s">
        <v>753</v>
      </c>
      <c r="Q27" s="43" t="s">
        <v>681</v>
      </c>
      <c r="R27" s="43" t="s">
        <v>289</v>
      </c>
      <c r="S27" s="66"/>
      <c r="T27" s="46" t="s">
        <v>918</v>
      </c>
      <c r="U27" s="66"/>
      <c r="V27" s="45"/>
      <c r="W27" s="45"/>
      <c r="X27" s="45" t="s">
        <v>893</v>
      </c>
      <c r="Y27" s="43"/>
      <c r="Z27" s="43"/>
      <c r="AA27" s="46" t="s">
        <v>716</v>
      </c>
      <c r="AB27" s="45" t="s">
        <v>754</v>
      </c>
      <c r="AC27" s="46" t="s">
        <v>34</v>
      </c>
      <c r="AD27" s="43" t="s">
        <v>717</v>
      </c>
      <c r="AE27" s="44">
        <v>46287</v>
      </c>
      <c r="AF27" s="43"/>
      <c r="AG27" s="43"/>
      <c r="AH27" s="43" t="s">
        <v>755</v>
      </c>
    </row>
    <row r="28" spans="2:34">
      <c r="B28" s="42">
        <f t="shared" si="0"/>
        <v>24</v>
      </c>
      <c r="C28" s="42" t="str">
        <f t="shared" si="1"/>
        <v>WK-20260824-024</v>
      </c>
      <c r="D28" s="43" t="s">
        <v>290</v>
      </c>
      <c r="E28" s="44">
        <v>46258</v>
      </c>
      <c r="F28" s="43" t="s">
        <v>237</v>
      </c>
      <c r="G28" s="43"/>
      <c r="H28" s="43" t="s">
        <v>291</v>
      </c>
      <c r="I28" s="43" t="s">
        <v>292</v>
      </c>
      <c r="J28" s="43" t="s">
        <v>293</v>
      </c>
      <c r="K28" s="45" t="s">
        <v>196</v>
      </c>
      <c r="L28" s="45" t="s">
        <v>45</v>
      </c>
      <c r="M28" s="45">
        <v>0.84299999999999997</v>
      </c>
      <c r="N28" s="46" t="s">
        <v>41</v>
      </c>
      <c r="O28" s="46" t="s">
        <v>47</v>
      </c>
      <c r="P28" s="43" t="s">
        <v>756</v>
      </c>
      <c r="Q28" s="43"/>
      <c r="R28" s="43" t="s">
        <v>294</v>
      </c>
      <c r="S28" s="66"/>
      <c r="T28" s="46" t="s">
        <v>918</v>
      </c>
      <c r="U28" s="66"/>
      <c r="V28" s="45"/>
      <c r="W28" s="45"/>
      <c r="X28" s="45" t="s">
        <v>893</v>
      </c>
      <c r="Y28" s="43"/>
      <c r="Z28" s="43"/>
      <c r="AA28" s="46" t="s">
        <v>720</v>
      </c>
      <c r="AB28" s="45" t="s">
        <v>757</v>
      </c>
      <c r="AC28" s="46" t="s">
        <v>40</v>
      </c>
      <c r="AD28" s="43" t="s">
        <v>719</v>
      </c>
      <c r="AE28" s="44">
        <v>46288</v>
      </c>
      <c r="AF28" s="43"/>
      <c r="AG28" s="43"/>
      <c r="AH28" s="43" t="s">
        <v>758</v>
      </c>
    </row>
    <row r="29" spans="2:34">
      <c r="B29" s="42">
        <f t="shared" si="0"/>
        <v>25</v>
      </c>
      <c r="C29" s="42" t="str">
        <f t="shared" si="1"/>
        <v>WK-20260825-025</v>
      </c>
      <c r="D29" s="43" t="s">
        <v>295</v>
      </c>
      <c r="E29" s="44">
        <v>46259</v>
      </c>
      <c r="F29" s="43" t="s">
        <v>240</v>
      </c>
      <c r="G29" s="43"/>
      <c r="H29" s="43" t="s">
        <v>296</v>
      </c>
      <c r="I29" s="43" t="s">
        <v>297</v>
      </c>
      <c r="J29" s="43" t="s">
        <v>298</v>
      </c>
      <c r="K29" s="45" t="s">
        <v>212</v>
      </c>
      <c r="L29" s="45" t="s">
        <v>45</v>
      </c>
      <c r="M29" s="45">
        <v>0.92400000000000004</v>
      </c>
      <c r="N29" s="46" t="s">
        <v>46</v>
      </c>
      <c r="O29" s="46"/>
      <c r="P29" s="43" t="s">
        <v>759</v>
      </c>
      <c r="Q29" s="43"/>
      <c r="R29" s="43" t="s">
        <v>253</v>
      </c>
      <c r="S29" s="66"/>
      <c r="T29" s="46" t="s">
        <v>918</v>
      </c>
      <c r="U29" s="66"/>
      <c r="V29" s="45"/>
      <c r="W29" s="45"/>
      <c r="X29" s="45" t="s">
        <v>893</v>
      </c>
      <c r="Y29" s="43"/>
      <c r="Z29" s="43"/>
      <c r="AA29" s="46" t="s">
        <v>720</v>
      </c>
      <c r="AB29" s="45" t="s">
        <v>760</v>
      </c>
      <c r="AC29" s="46" t="s">
        <v>40</v>
      </c>
      <c r="AD29" s="43" t="s">
        <v>717</v>
      </c>
      <c r="AE29" s="44">
        <v>46289</v>
      </c>
      <c r="AF29" s="43"/>
      <c r="AG29" s="43"/>
      <c r="AH29" s="43" t="s">
        <v>761</v>
      </c>
    </row>
    <row r="30" spans="2:34">
      <c r="B30" s="42">
        <f t="shared" si="0"/>
        <v>26</v>
      </c>
      <c r="C30" s="42" t="str">
        <f t="shared" si="1"/>
        <v>WK-20260826-026</v>
      </c>
      <c r="D30" s="43" t="s">
        <v>299</v>
      </c>
      <c r="E30" s="44">
        <v>46260</v>
      </c>
      <c r="F30" s="43" t="s">
        <v>300</v>
      </c>
      <c r="G30" s="43"/>
      <c r="H30" s="43" t="s">
        <v>301</v>
      </c>
      <c r="I30" s="43" t="s">
        <v>302</v>
      </c>
      <c r="J30" s="43" t="s">
        <v>215</v>
      </c>
      <c r="K30" s="45"/>
      <c r="L30" s="45" t="s">
        <v>889</v>
      </c>
      <c r="M30" s="45">
        <v>0.60799999999999998</v>
      </c>
      <c r="N30" s="46" t="s">
        <v>51</v>
      </c>
      <c r="O30" s="46"/>
      <c r="P30" s="43" t="s">
        <v>762</v>
      </c>
      <c r="Q30" s="43" t="s">
        <v>682</v>
      </c>
      <c r="R30" s="43" t="s">
        <v>303</v>
      </c>
      <c r="S30" s="66"/>
      <c r="T30" s="46" t="s">
        <v>918</v>
      </c>
      <c r="U30" s="66"/>
      <c r="V30" s="45"/>
      <c r="W30" s="45"/>
      <c r="X30" s="45" t="s">
        <v>893</v>
      </c>
      <c r="Y30" s="43"/>
      <c r="Z30" s="43"/>
      <c r="AA30" s="46"/>
      <c r="AB30" s="45"/>
      <c r="AC30" s="46"/>
      <c r="AD30" s="43"/>
      <c r="AE30" s="43"/>
      <c r="AF30" s="43"/>
      <c r="AG30" s="43"/>
      <c r="AH30" s="43" t="s">
        <v>763</v>
      </c>
    </row>
    <row r="31" spans="2:34">
      <c r="B31" s="42">
        <f t="shared" si="0"/>
        <v>27</v>
      </c>
      <c r="C31" s="42" t="str">
        <f t="shared" si="1"/>
        <v>WK-20260827-027</v>
      </c>
      <c r="D31" s="43" t="s">
        <v>304</v>
      </c>
      <c r="E31" s="44">
        <v>46261</v>
      </c>
      <c r="F31" s="43" t="s">
        <v>305</v>
      </c>
      <c r="G31" s="43"/>
      <c r="H31" s="43" t="s">
        <v>306</v>
      </c>
      <c r="I31" s="43" t="s">
        <v>307</v>
      </c>
      <c r="J31" s="43" t="s">
        <v>308</v>
      </c>
      <c r="K31" s="45"/>
      <c r="L31" s="45" t="s">
        <v>889</v>
      </c>
      <c r="M31" s="45">
        <v>0.51600000000000001</v>
      </c>
      <c r="N31" s="46" t="s">
        <v>51</v>
      </c>
      <c r="O31" s="46"/>
      <c r="P31" s="43" t="s">
        <v>762</v>
      </c>
      <c r="Q31" s="43" t="s">
        <v>682</v>
      </c>
      <c r="R31" s="43" t="s">
        <v>309</v>
      </c>
      <c r="S31" s="66"/>
      <c r="T31" s="46" t="s">
        <v>918</v>
      </c>
      <c r="U31" s="66"/>
      <c r="V31" s="45"/>
      <c r="W31" s="45"/>
      <c r="X31" s="45" t="s">
        <v>893</v>
      </c>
      <c r="Y31" s="43"/>
      <c r="Z31" s="43"/>
      <c r="AA31" s="46"/>
      <c r="AB31" s="45"/>
      <c r="AC31" s="46"/>
      <c r="AD31" s="43"/>
      <c r="AE31" s="43"/>
      <c r="AF31" s="43"/>
      <c r="AG31" s="43"/>
      <c r="AH31" s="43" t="s">
        <v>763</v>
      </c>
    </row>
    <row r="32" spans="2:34">
      <c r="B32" s="42">
        <f t="shared" si="0"/>
        <v>28</v>
      </c>
      <c r="C32" s="42" t="str">
        <f t="shared" si="1"/>
        <v>WK-20260828-028</v>
      </c>
      <c r="D32" s="43" t="s">
        <v>310</v>
      </c>
      <c r="E32" s="44">
        <v>46262</v>
      </c>
      <c r="F32" s="43" t="s">
        <v>161</v>
      </c>
      <c r="G32" s="43"/>
      <c r="H32" s="43" t="s">
        <v>311</v>
      </c>
      <c r="I32" s="43" t="s">
        <v>312</v>
      </c>
      <c r="J32" s="43" t="s">
        <v>313</v>
      </c>
      <c r="K32" s="45"/>
      <c r="L32" s="45" t="s">
        <v>890</v>
      </c>
      <c r="M32" s="45">
        <v>0.48799999999999999</v>
      </c>
      <c r="N32" s="46" t="s">
        <v>51</v>
      </c>
      <c r="O32" s="46"/>
      <c r="P32" s="43" t="s">
        <v>762</v>
      </c>
      <c r="Q32" s="43"/>
      <c r="R32" s="43"/>
      <c r="S32" s="66"/>
      <c r="T32" s="46" t="s">
        <v>918</v>
      </c>
      <c r="U32" s="66"/>
      <c r="V32" s="45"/>
      <c r="W32" s="45"/>
      <c r="X32" s="45" t="s">
        <v>893</v>
      </c>
      <c r="Y32" s="43"/>
      <c r="Z32" s="43"/>
      <c r="AA32" s="46"/>
      <c r="AB32" s="45" t="s">
        <v>924</v>
      </c>
      <c r="AC32" s="46"/>
      <c r="AD32" s="43"/>
      <c r="AE32" s="43"/>
      <c r="AF32" s="43"/>
      <c r="AG32" s="43"/>
      <c r="AH32" s="43" t="s">
        <v>763</v>
      </c>
    </row>
    <row r="33" spans="2:34">
      <c r="B33" s="42">
        <f t="shared" si="0"/>
        <v>29</v>
      </c>
      <c r="C33" s="42" t="str">
        <f t="shared" si="1"/>
        <v>WK-20260829-029</v>
      </c>
      <c r="D33" s="43" t="s">
        <v>314</v>
      </c>
      <c r="E33" s="44">
        <v>46263</v>
      </c>
      <c r="F33" s="43" t="s">
        <v>315</v>
      </c>
      <c r="G33" s="43"/>
      <c r="H33" s="43" t="s">
        <v>316</v>
      </c>
      <c r="I33" s="43" t="s">
        <v>317</v>
      </c>
      <c r="J33" s="43" t="s">
        <v>318</v>
      </c>
      <c r="K33" s="45"/>
      <c r="L33" s="45" t="s">
        <v>889</v>
      </c>
      <c r="M33" s="45">
        <v>0.55600000000000005</v>
      </c>
      <c r="N33" s="46" t="s">
        <v>51</v>
      </c>
      <c r="O33" s="46"/>
      <c r="P33" s="43" t="s">
        <v>762</v>
      </c>
      <c r="Q33" s="43" t="s">
        <v>682</v>
      </c>
      <c r="R33" s="43" t="s">
        <v>319</v>
      </c>
      <c r="S33" s="66"/>
      <c r="T33" s="46" t="s">
        <v>918</v>
      </c>
      <c r="U33" s="66"/>
      <c r="V33" s="45"/>
      <c r="W33" s="45"/>
      <c r="X33" s="45" t="s">
        <v>893</v>
      </c>
      <c r="Y33" s="43"/>
      <c r="Z33" s="43"/>
      <c r="AA33" s="46"/>
      <c r="AB33" s="45"/>
      <c r="AC33" s="46"/>
      <c r="AD33" s="43"/>
      <c r="AE33" s="43"/>
      <c r="AF33" s="43"/>
      <c r="AG33" s="43"/>
      <c r="AH33" s="43" t="s">
        <v>763</v>
      </c>
    </row>
    <row r="34" spans="2:34">
      <c r="B34" s="42">
        <f t="shared" si="0"/>
        <v>30</v>
      </c>
      <c r="C34" s="42" t="str">
        <f t="shared" si="1"/>
        <v>WK-20260830-030</v>
      </c>
      <c r="D34" s="43" t="s">
        <v>320</v>
      </c>
      <c r="E34" s="44">
        <v>46264</v>
      </c>
      <c r="F34" s="43" t="s">
        <v>321</v>
      </c>
      <c r="G34" s="43"/>
      <c r="H34" s="43" t="s">
        <v>322</v>
      </c>
      <c r="I34" s="43" t="s">
        <v>323</v>
      </c>
      <c r="J34" s="43" t="s">
        <v>324</v>
      </c>
      <c r="K34" s="45"/>
      <c r="L34" s="45" t="s">
        <v>890</v>
      </c>
      <c r="M34" s="45">
        <v>0.55600000000000005</v>
      </c>
      <c r="N34" s="46" t="s">
        <v>51</v>
      </c>
      <c r="O34" s="46"/>
      <c r="P34" s="43" t="s">
        <v>762</v>
      </c>
      <c r="Q34" s="43" t="s">
        <v>682</v>
      </c>
      <c r="R34" s="43" t="s">
        <v>247</v>
      </c>
      <c r="S34" s="66"/>
      <c r="T34" s="46" t="s">
        <v>918</v>
      </c>
      <c r="U34" s="66"/>
      <c r="V34" s="45"/>
      <c r="W34" s="45"/>
      <c r="X34" s="45" t="s">
        <v>893</v>
      </c>
      <c r="Y34" s="43"/>
      <c r="Z34" s="43"/>
      <c r="AA34" s="46"/>
      <c r="AB34" s="45" t="s">
        <v>925</v>
      </c>
      <c r="AC34" s="46"/>
      <c r="AD34" s="43"/>
      <c r="AE34" s="43"/>
      <c r="AF34" s="43"/>
      <c r="AG34" s="43"/>
      <c r="AH34" s="43" t="s">
        <v>763</v>
      </c>
    </row>
    <row r="35" spans="2:34">
      <c r="B35" s="42"/>
      <c r="C35" s="42"/>
      <c r="D35" s="43"/>
      <c r="E35" s="43"/>
      <c r="F35" s="43"/>
      <c r="G35" s="43"/>
      <c r="H35" s="43"/>
      <c r="I35" s="43"/>
      <c r="J35" s="43"/>
      <c r="K35" s="45"/>
      <c r="L35" s="45"/>
      <c r="M35" s="45"/>
      <c r="N35" s="46"/>
      <c r="O35" s="46"/>
      <c r="P35" s="43"/>
      <c r="Q35" s="43"/>
      <c r="R35" s="43"/>
      <c r="S35" s="66"/>
      <c r="T35" s="46"/>
      <c r="U35" s="66"/>
      <c r="V35" s="45"/>
      <c r="W35" s="45"/>
      <c r="X35" s="45"/>
      <c r="Y35" s="43"/>
      <c r="Z35" s="43"/>
      <c r="AA35" s="46"/>
      <c r="AB35" s="45"/>
      <c r="AC35" s="46"/>
      <c r="AD35" s="43"/>
      <c r="AE35" s="43"/>
      <c r="AF35" s="43"/>
      <c r="AG35" s="43"/>
      <c r="AH35" s="43"/>
    </row>
    <row r="36" spans="2:34">
      <c r="B36" s="42"/>
      <c r="C36" s="42"/>
      <c r="D36" s="43"/>
      <c r="E36" s="43"/>
      <c r="F36" s="43"/>
      <c r="G36" s="43"/>
      <c r="H36" s="43"/>
      <c r="I36" s="43"/>
      <c r="J36" s="43"/>
      <c r="K36" s="45"/>
      <c r="L36" s="45"/>
      <c r="M36" s="45"/>
      <c r="N36" s="46"/>
      <c r="O36" s="46"/>
      <c r="P36" s="43"/>
      <c r="Q36" s="43"/>
      <c r="R36" s="43"/>
      <c r="S36" s="66"/>
      <c r="T36" s="46"/>
      <c r="U36" s="66"/>
      <c r="V36" s="45"/>
      <c r="W36" s="45"/>
      <c r="X36" s="45"/>
      <c r="Y36" s="43"/>
      <c r="Z36" s="43"/>
      <c r="AA36" s="46"/>
      <c r="AB36" s="45"/>
      <c r="AC36" s="46"/>
      <c r="AD36" s="43"/>
      <c r="AE36" s="43"/>
      <c r="AF36" s="43"/>
      <c r="AG36" s="43"/>
      <c r="AH36" s="43"/>
    </row>
    <row r="37" spans="2:34">
      <c r="B37" s="42"/>
      <c r="C37" s="42"/>
      <c r="D37" s="43"/>
      <c r="E37" s="43"/>
      <c r="F37" s="43"/>
      <c r="G37" s="43"/>
      <c r="H37" s="43"/>
      <c r="I37" s="43"/>
      <c r="J37" s="43"/>
      <c r="K37" s="45"/>
      <c r="L37" s="45"/>
      <c r="M37" s="45"/>
      <c r="N37" s="46"/>
      <c r="O37" s="46"/>
      <c r="P37" s="43"/>
      <c r="Q37" s="43"/>
      <c r="R37" s="43"/>
      <c r="S37" s="66"/>
      <c r="T37" s="46"/>
      <c r="U37" s="66"/>
      <c r="V37" s="45"/>
      <c r="W37" s="45"/>
      <c r="X37" s="45"/>
      <c r="Y37" s="43"/>
      <c r="Z37" s="43"/>
      <c r="AA37" s="46"/>
      <c r="AB37" s="45"/>
      <c r="AC37" s="46"/>
      <c r="AD37" s="43"/>
      <c r="AE37" s="43"/>
      <c r="AF37" s="43"/>
      <c r="AG37" s="43"/>
      <c r="AH37" s="43"/>
    </row>
    <row r="38" spans="2:34">
      <c r="B38" s="42"/>
      <c r="C38" s="42"/>
      <c r="D38" s="43"/>
      <c r="E38" s="43"/>
      <c r="F38" s="43"/>
      <c r="G38" s="43"/>
      <c r="H38" s="43"/>
      <c r="I38" s="43"/>
      <c r="J38" s="43"/>
      <c r="K38" s="45"/>
      <c r="L38" s="45"/>
      <c r="M38" s="45"/>
      <c r="N38" s="46"/>
      <c r="O38" s="46"/>
      <c r="P38" s="43"/>
      <c r="Q38" s="43"/>
      <c r="R38" s="43"/>
      <c r="S38" s="66"/>
      <c r="T38" s="46"/>
      <c r="U38" s="66"/>
      <c r="V38" s="45"/>
      <c r="W38" s="45"/>
      <c r="X38" s="45"/>
      <c r="Y38" s="43"/>
      <c r="Z38" s="43"/>
      <c r="AA38" s="46"/>
      <c r="AB38" s="45"/>
      <c r="AC38" s="46"/>
      <c r="AD38" s="43"/>
      <c r="AE38" s="43"/>
      <c r="AF38" s="43"/>
      <c r="AG38" s="43"/>
      <c r="AH38" s="43"/>
    </row>
    <row r="39" spans="2:34">
      <c r="B39" s="42"/>
      <c r="C39" s="42"/>
      <c r="D39" s="43"/>
      <c r="E39" s="43"/>
      <c r="F39" s="43"/>
      <c r="G39" s="43"/>
      <c r="H39" s="43"/>
      <c r="I39" s="43"/>
      <c r="J39" s="43"/>
      <c r="K39" s="45"/>
      <c r="L39" s="45"/>
      <c r="M39" s="45"/>
      <c r="N39" s="46"/>
      <c r="O39" s="46"/>
      <c r="P39" s="43"/>
      <c r="Q39" s="43"/>
      <c r="R39" s="43"/>
      <c r="S39" s="66"/>
      <c r="T39" s="46"/>
      <c r="U39" s="66"/>
      <c r="V39" s="45"/>
      <c r="W39" s="45"/>
      <c r="X39" s="45"/>
      <c r="Y39" s="43"/>
      <c r="Z39" s="43"/>
      <c r="AA39" s="46"/>
      <c r="AB39" s="45"/>
      <c r="AC39" s="46"/>
      <c r="AD39" s="43"/>
      <c r="AE39" s="43"/>
      <c r="AF39" s="43"/>
      <c r="AG39" s="43"/>
      <c r="AH39" s="43"/>
    </row>
    <row r="40" spans="2:34">
      <c r="B40" s="42"/>
      <c r="C40" s="42"/>
      <c r="D40" s="43"/>
      <c r="E40" s="43"/>
      <c r="F40" s="43"/>
      <c r="G40" s="43"/>
      <c r="H40" s="43"/>
      <c r="I40" s="43"/>
      <c r="J40" s="43"/>
      <c r="K40" s="45"/>
      <c r="L40" s="45"/>
      <c r="M40" s="45"/>
      <c r="N40" s="46"/>
      <c r="O40" s="46"/>
      <c r="P40" s="43"/>
      <c r="Q40" s="43"/>
      <c r="R40" s="43"/>
      <c r="S40" s="66"/>
      <c r="T40" s="46"/>
      <c r="U40" s="66"/>
      <c r="V40" s="45"/>
      <c r="W40" s="45"/>
      <c r="X40" s="45"/>
      <c r="Y40" s="43"/>
      <c r="Z40" s="43"/>
      <c r="AA40" s="46"/>
      <c r="AB40" s="45"/>
      <c r="AC40" s="46"/>
      <c r="AD40" s="43"/>
      <c r="AE40" s="43"/>
      <c r="AF40" s="43"/>
      <c r="AG40" s="43"/>
      <c r="AH40" s="43"/>
    </row>
    <row r="41" spans="2:34">
      <c r="B41" s="42"/>
      <c r="C41" s="42"/>
      <c r="D41" s="43"/>
      <c r="E41" s="43"/>
      <c r="F41" s="43"/>
      <c r="G41" s="43"/>
      <c r="H41" s="43"/>
      <c r="I41" s="43"/>
      <c r="J41" s="43"/>
      <c r="K41" s="45"/>
      <c r="L41" s="45"/>
      <c r="M41" s="45"/>
      <c r="N41" s="46"/>
      <c r="O41" s="46"/>
      <c r="P41" s="43"/>
      <c r="Q41" s="43"/>
      <c r="R41" s="43"/>
      <c r="S41" s="66"/>
      <c r="T41" s="46"/>
      <c r="U41" s="66"/>
      <c r="V41" s="45"/>
      <c r="W41" s="45"/>
      <c r="X41" s="45"/>
      <c r="Y41" s="43"/>
      <c r="Z41" s="43"/>
      <c r="AA41" s="46"/>
      <c r="AB41" s="45"/>
      <c r="AC41" s="46"/>
      <c r="AD41" s="43"/>
      <c r="AE41" s="43"/>
      <c r="AF41" s="43"/>
      <c r="AG41" s="43"/>
      <c r="AH41" s="43"/>
    </row>
    <row r="42" spans="2:34">
      <c r="B42" s="42"/>
      <c r="C42" s="42"/>
      <c r="D42" s="43"/>
      <c r="E42" s="43"/>
      <c r="F42" s="43"/>
      <c r="G42" s="43"/>
      <c r="H42" s="43"/>
      <c r="I42" s="43"/>
      <c r="J42" s="43"/>
      <c r="K42" s="45"/>
      <c r="L42" s="45"/>
      <c r="M42" s="45"/>
      <c r="N42" s="46"/>
      <c r="O42" s="46"/>
      <c r="P42" s="43"/>
      <c r="Q42" s="43"/>
      <c r="R42" s="43"/>
      <c r="S42" s="66"/>
      <c r="T42" s="46"/>
      <c r="U42" s="66"/>
      <c r="V42" s="45"/>
      <c r="W42" s="45"/>
      <c r="X42" s="45"/>
      <c r="Y42" s="43"/>
      <c r="Z42" s="43"/>
      <c r="AA42" s="46"/>
      <c r="AB42" s="45"/>
      <c r="AC42" s="46"/>
      <c r="AD42" s="43"/>
      <c r="AE42" s="43"/>
      <c r="AF42" s="43"/>
      <c r="AG42" s="43"/>
      <c r="AH42" s="43"/>
    </row>
    <row r="43" spans="2:34">
      <c r="B43" s="42"/>
      <c r="C43" s="42"/>
      <c r="D43" s="43"/>
      <c r="E43" s="43"/>
      <c r="F43" s="43"/>
      <c r="G43" s="43"/>
      <c r="H43" s="43"/>
      <c r="I43" s="43"/>
      <c r="J43" s="43"/>
      <c r="K43" s="45"/>
      <c r="L43" s="45"/>
      <c r="M43" s="45"/>
      <c r="N43" s="46"/>
      <c r="O43" s="46"/>
      <c r="P43" s="43"/>
      <c r="Q43" s="43"/>
      <c r="R43" s="43"/>
      <c r="S43" s="66"/>
      <c r="T43" s="46"/>
      <c r="U43" s="66"/>
      <c r="V43" s="45"/>
      <c r="W43" s="45"/>
      <c r="X43" s="45"/>
      <c r="Y43" s="43"/>
      <c r="Z43" s="43"/>
      <c r="AA43" s="46"/>
      <c r="AB43" s="45"/>
      <c r="AC43" s="46"/>
      <c r="AD43" s="43"/>
      <c r="AE43" s="43"/>
      <c r="AF43" s="43"/>
      <c r="AG43" s="43"/>
      <c r="AH43" s="43"/>
    </row>
    <row r="44" spans="2:34">
      <c r="B44" s="42"/>
      <c r="C44" s="42"/>
      <c r="D44" s="43"/>
      <c r="E44" s="43"/>
      <c r="F44" s="43"/>
      <c r="G44" s="43"/>
      <c r="H44" s="43"/>
      <c r="I44" s="43"/>
      <c r="J44" s="43"/>
      <c r="K44" s="45"/>
      <c r="L44" s="45"/>
      <c r="M44" s="45"/>
      <c r="N44" s="46"/>
      <c r="O44" s="46"/>
      <c r="P44" s="43"/>
      <c r="Q44" s="43"/>
      <c r="R44" s="43"/>
      <c r="S44" s="66"/>
      <c r="T44" s="46"/>
      <c r="U44" s="66"/>
      <c r="V44" s="45"/>
      <c r="W44" s="45"/>
      <c r="X44" s="45"/>
      <c r="Y44" s="43"/>
      <c r="Z44" s="43"/>
      <c r="AA44" s="46"/>
      <c r="AB44" s="45"/>
      <c r="AC44" s="46"/>
      <c r="AD44" s="43"/>
      <c r="AE44" s="43"/>
      <c r="AF44" s="43"/>
      <c r="AG44" s="43"/>
      <c r="AH44" s="43"/>
    </row>
    <row r="45" spans="2:34">
      <c r="B45" s="42"/>
      <c r="C45" s="42"/>
      <c r="D45" s="43"/>
      <c r="E45" s="43"/>
      <c r="F45" s="43"/>
      <c r="G45" s="43"/>
      <c r="H45" s="43"/>
      <c r="I45" s="43"/>
      <c r="J45" s="43"/>
      <c r="K45" s="45"/>
      <c r="L45" s="45"/>
      <c r="M45" s="45"/>
      <c r="N45" s="46"/>
      <c r="O45" s="46"/>
      <c r="P45" s="43"/>
      <c r="Q45" s="43"/>
      <c r="R45" s="43"/>
      <c r="S45" s="66"/>
      <c r="T45" s="46"/>
      <c r="U45" s="66"/>
      <c r="V45" s="45"/>
      <c r="W45" s="45"/>
      <c r="X45" s="45"/>
      <c r="Y45" s="43"/>
      <c r="Z45" s="43"/>
      <c r="AA45" s="46"/>
      <c r="AB45" s="45"/>
      <c r="AC45" s="46"/>
      <c r="AD45" s="43"/>
      <c r="AE45" s="43"/>
      <c r="AF45" s="43"/>
      <c r="AG45" s="43"/>
      <c r="AH45" s="43"/>
    </row>
    <row r="46" spans="2:34">
      <c r="B46" s="42"/>
      <c r="C46" s="42"/>
      <c r="D46" s="43"/>
      <c r="E46" s="43"/>
      <c r="F46" s="43"/>
      <c r="G46" s="43"/>
      <c r="H46" s="43"/>
      <c r="I46" s="43"/>
      <c r="J46" s="43"/>
      <c r="K46" s="45"/>
      <c r="L46" s="45"/>
      <c r="M46" s="45"/>
      <c r="N46" s="46"/>
      <c r="O46" s="46"/>
      <c r="P46" s="43"/>
      <c r="Q46" s="43"/>
      <c r="R46" s="43"/>
      <c r="S46" s="66"/>
      <c r="T46" s="46"/>
      <c r="U46" s="66"/>
      <c r="V46" s="45"/>
      <c r="W46" s="45"/>
      <c r="X46" s="45"/>
      <c r="Y46" s="43"/>
      <c r="Z46" s="43"/>
      <c r="AA46" s="46"/>
      <c r="AB46" s="45"/>
      <c r="AC46" s="46"/>
      <c r="AD46" s="43"/>
      <c r="AE46" s="43"/>
      <c r="AF46" s="43"/>
      <c r="AG46" s="43"/>
      <c r="AH46" s="43"/>
    </row>
    <row r="47" spans="2:34">
      <c r="B47" s="42"/>
      <c r="C47" s="42"/>
      <c r="D47" s="43"/>
      <c r="E47" s="43"/>
      <c r="F47" s="43"/>
      <c r="G47" s="43"/>
      <c r="H47" s="43"/>
      <c r="I47" s="43"/>
      <c r="J47" s="43"/>
      <c r="K47" s="45"/>
      <c r="L47" s="45"/>
      <c r="M47" s="45"/>
      <c r="N47" s="46"/>
      <c r="O47" s="46"/>
      <c r="P47" s="43"/>
      <c r="Q47" s="43"/>
      <c r="R47" s="43"/>
      <c r="S47" s="66"/>
      <c r="T47" s="46"/>
      <c r="U47" s="66"/>
      <c r="V47" s="45"/>
      <c r="W47" s="45"/>
      <c r="X47" s="45"/>
      <c r="Y47" s="43"/>
      <c r="Z47" s="43"/>
      <c r="AA47" s="46"/>
      <c r="AB47" s="45"/>
      <c r="AC47" s="46"/>
      <c r="AD47" s="43"/>
      <c r="AE47" s="43"/>
      <c r="AF47" s="43"/>
      <c r="AG47" s="43"/>
      <c r="AH47" s="43"/>
    </row>
    <row r="48" spans="2:34">
      <c r="B48" s="42"/>
      <c r="C48" s="42"/>
      <c r="D48" s="43"/>
      <c r="E48" s="43"/>
      <c r="F48" s="43"/>
      <c r="G48" s="43"/>
      <c r="H48" s="43"/>
      <c r="I48" s="43"/>
      <c r="J48" s="43"/>
      <c r="K48" s="45"/>
      <c r="L48" s="45"/>
      <c r="M48" s="45"/>
      <c r="N48" s="46"/>
      <c r="O48" s="46"/>
      <c r="P48" s="43"/>
      <c r="Q48" s="43"/>
      <c r="R48" s="43"/>
      <c r="S48" s="66"/>
      <c r="T48" s="46"/>
      <c r="U48" s="66"/>
      <c r="V48" s="45"/>
      <c r="W48" s="45"/>
      <c r="X48" s="45"/>
      <c r="Y48" s="43"/>
      <c r="Z48" s="43"/>
      <c r="AA48" s="46"/>
      <c r="AB48" s="45"/>
      <c r="AC48" s="46"/>
      <c r="AD48" s="43"/>
      <c r="AE48" s="43"/>
      <c r="AF48" s="43"/>
      <c r="AG48" s="43"/>
      <c r="AH48" s="43"/>
    </row>
    <row r="49" spans="2:34">
      <c r="B49" s="42"/>
      <c r="C49" s="42"/>
      <c r="D49" s="43"/>
      <c r="E49" s="43"/>
      <c r="F49" s="43"/>
      <c r="G49" s="43"/>
      <c r="H49" s="43"/>
      <c r="I49" s="43"/>
      <c r="J49" s="43"/>
      <c r="K49" s="45"/>
      <c r="L49" s="45"/>
      <c r="M49" s="45"/>
      <c r="N49" s="46"/>
      <c r="O49" s="46"/>
      <c r="P49" s="43"/>
      <c r="Q49" s="43"/>
      <c r="R49" s="43"/>
      <c r="S49" s="66"/>
      <c r="T49" s="46"/>
      <c r="U49" s="66"/>
      <c r="V49" s="45"/>
      <c r="W49" s="45"/>
      <c r="X49" s="45"/>
      <c r="Y49" s="43"/>
      <c r="Z49" s="43"/>
      <c r="AA49" s="46"/>
      <c r="AB49" s="45"/>
      <c r="AC49" s="46"/>
      <c r="AD49" s="43"/>
      <c r="AE49" s="43"/>
      <c r="AF49" s="43"/>
      <c r="AG49" s="43"/>
      <c r="AH49" s="43"/>
    </row>
    <row r="50" spans="2:34">
      <c r="B50" s="42"/>
      <c r="C50" s="42"/>
      <c r="D50" s="43"/>
      <c r="E50" s="43"/>
      <c r="F50" s="43"/>
      <c r="G50" s="43"/>
      <c r="H50" s="43"/>
      <c r="I50" s="43"/>
      <c r="J50" s="43"/>
      <c r="K50" s="45"/>
      <c r="L50" s="45"/>
      <c r="M50" s="45"/>
      <c r="N50" s="46"/>
      <c r="O50" s="46"/>
      <c r="P50" s="43"/>
      <c r="Q50" s="43"/>
      <c r="R50" s="43"/>
      <c r="S50" s="66"/>
      <c r="T50" s="46"/>
      <c r="U50" s="66"/>
      <c r="V50" s="45"/>
      <c r="W50" s="45"/>
      <c r="X50" s="45"/>
      <c r="Y50" s="43"/>
      <c r="Z50" s="43"/>
      <c r="AA50" s="46"/>
      <c r="AB50" s="45"/>
      <c r="AC50" s="46"/>
      <c r="AD50" s="43"/>
      <c r="AE50" s="43"/>
      <c r="AF50" s="43"/>
      <c r="AG50" s="43"/>
      <c r="AH50" s="43"/>
    </row>
    <row r="51" spans="2:34">
      <c r="B51" s="42"/>
      <c r="C51" s="42"/>
      <c r="D51" s="43"/>
      <c r="E51" s="43"/>
      <c r="F51" s="43"/>
      <c r="G51" s="43"/>
      <c r="H51" s="43"/>
      <c r="I51" s="43"/>
      <c r="J51" s="43"/>
      <c r="K51" s="45"/>
      <c r="L51" s="45"/>
      <c r="M51" s="45"/>
      <c r="N51" s="46"/>
      <c r="O51" s="46"/>
      <c r="P51" s="43"/>
      <c r="Q51" s="43"/>
      <c r="R51" s="43"/>
      <c r="S51" s="66"/>
      <c r="T51" s="46"/>
      <c r="U51" s="66"/>
      <c r="V51" s="45"/>
      <c r="W51" s="45"/>
      <c r="X51" s="45"/>
      <c r="Y51" s="43"/>
      <c r="Z51" s="43"/>
      <c r="AA51" s="46"/>
      <c r="AB51" s="45"/>
      <c r="AC51" s="46"/>
      <c r="AD51" s="43"/>
      <c r="AE51" s="43"/>
      <c r="AF51" s="43"/>
      <c r="AG51" s="43"/>
      <c r="AH51" s="43"/>
    </row>
    <row r="52" spans="2:34">
      <c r="B52" s="42"/>
      <c r="C52" s="42"/>
      <c r="D52" s="43"/>
      <c r="E52" s="43"/>
      <c r="F52" s="43"/>
      <c r="G52" s="43"/>
      <c r="H52" s="43"/>
      <c r="I52" s="43"/>
      <c r="J52" s="43"/>
      <c r="K52" s="45"/>
      <c r="L52" s="45"/>
      <c r="M52" s="45"/>
      <c r="N52" s="46"/>
      <c r="O52" s="46"/>
      <c r="P52" s="43"/>
      <c r="Q52" s="43"/>
      <c r="R52" s="43"/>
      <c r="S52" s="66"/>
      <c r="T52" s="46"/>
      <c r="U52" s="66"/>
      <c r="V52" s="45"/>
      <c r="W52" s="45"/>
      <c r="X52" s="45"/>
      <c r="Y52" s="43"/>
      <c r="Z52" s="43"/>
      <c r="AA52" s="46"/>
      <c r="AB52" s="45"/>
      <c r="AC52" s="46"/>
      <c r="AD52" s="43"/>
      <c r="AE52" s="43"/>
      <c r="AF52" s="43"/>
      <c r="AG52" s="43"/>
      <c r="AH52" s="43"/>
    </row>
    <row r="53" spans="2:34">
      <c r="B53" s="42"/>
      <c r="C53" s="42"/>
      <c r="D53" s="43"/>
      <c r="E53" s="43"/>
      <c r="F53" s="43"/>
      <c r="G53" s="43"/>
      <c r="H53" s="43"/>
      <c r="I53" s="43"/>
      <c r="J53" s="43"/>
      <c r="K53" s="45"/>
      <c r="L53" s="45"/>
      <c r="M53" s="45"/>
      <c r="N53" s="46"/>
      <c r="O53" s="46"/>
      <c r="P53" s="43"/>
      <c r="Q53" s="43"/>
      <c r="R53" s="43"/>
      <c r="S53" s="66"/>
      <c r="T53" s="46"/>
      <c r="U53" s="66"/>
      <c r="V53" s="45"/>
      <c r="W53" s="45"/>
      <c r="X53" s="45"/>
      <c r="Y53" s="43"/>
      <c r="Z53" s="43"/>
      <c r="AA53" s="46"/>
      <c r="AB53" s="45"/>
      <c r="AC53" s="46"/>
      <c r="AD53" s="43"/>
      <c r="AE53" s="43"/>
      <c r="AF53" s="43"/>
      <c r="AG53" s="43"/>
      <c r="AH53" s="43"/>
    </row>
    <row r="54" spans="2:34">
      <c r="B54" s="42"/>
      <c r="C54" s="42"/>
      <c r="D54" s="43"/>
      <c r="E54" s="43"/>
      <c r="F54" s="43"/>
      <c r="G54" s="43"/>
      <c r="H54" s="43"/>
      <c r="I54" s="43"/>
      <c r="J54" s="43"/>
      <c r="K54" s="45"/>
      <c r="L54" s="45"/>
      <c r="M54" s="45"/>
      <c r="N54" s="46"/>
      <c r="O54" s="46"/>
      <c r="P54" s="43"/>
      <c r="Q54" s="43"/>
      <c r="R54" s="43"/>
      <c r="S54" s="66"/>
      <c r="T54" s="46"/>
      <c r="U54" s="66"/>
      <c r="V54" s="45"/>
      <c r="W54" s="45"/>
      <c r="X54" s="45"/>
      <c r="Y54" s="43"/>
      <c r="Z54" s="43"/>
      <c r="AA54" s="46"/>
      <c r="AB54" s="45"/>
      <c r="AC54" s="46"/>
      <c r="AD54" s="43"/>
      <c r="AE54" s="43"/>
      <c r="AF54" s="43"/>
      <c r="AG54" s="43"/>
      <c r="AH54" s="43"/>
    </row>
    <row r="55" spans="2:34">
      <c r="B55" s="42"/>
      <c r="C55" s="42"/>
      <c r="D55" s="43"/>
      <c r="E55" s="43"/>
      <c r="F55" s="43"/>
      <c r="G55" s="43"/>
      <c r="H55" s="43"/>
      <c r="I55" s="43"/>
      <c r="J55" s="43"/>
      <c r="K55" s="45"/>
      <c r="L55" s="45"/>
      <c r="M55" s="45"/>
      <c r="N55" s="46"/>
      <c r="O55" s="46"/>
      <c r="P55" s="43"/>
      <c r="Q55" s="43"/>
      <c r="R55" s="43"/>
      <c r="S55" s="66"/>
      <c r="T55" s="46"/>
      <c r="U55" s="66"/>
      <c r="V55" s="45"/>
      <c r="W55" s="45"/>
      <c r="X55" s="45"/>
      <c r="Y55" s="43"/>
      <c r="Z55" s="43"/>
      <c r="AA55" s="46"/>
      <c r="AB55" s="45"/>
      <c r="AC55" s="46"/>
      <c r="AD55" s="43"/>
      <c r="AE55" s="43"/>
      <c r="AF55" s="43"/>
      <c r="AG55" s="43"/>
      <c r="AH55" s="43"/>
    </row>
    <row r="56" spans="2:34">
      <c r="B56" s="42"/>
      <c r="C56" s="42"/>
      <c r="D56" s="43"/>
      <c r="E56" s="43"/>
      <c r="F56" s="43"/>
      <c r="G56" s="43"/>
      <c r="H56" s="43"/>
      <c r="I56" s="43"/>
      <c r="J56" s="43"/>
      <c r="K56" s="45"/>
      <c r="L56" s="45"/>
      <c r="M56" s="45"/>
      <c r="N56" s="46"/>
      <c r="O56" s="46"/>
      <c r="P56" s="43"/>
      <c r="Q56" s="43"/>
      <c r="R56" s="43"/>
      <c r="S56" s="66"/>
      <c r="T56" s="46"/>
      <c r="U56" s="66"/>
      <c r="V56" s="45"/>
      <c r="W56" s="45"/>
      <c r="X56" s="45"/>
      <c r="Y56" s="43"/>
      <c r="Z56" s="43"/>
      <c r="AA56" s="46"/>
      <c r="AB56" s="45"/>
      <c r="AC56" s="46"/>
      <c r="AD56" s="43"/>
      <c r="AE56" s="43"/>
      <c r="AF56" s="43"/>
      <c r="AG56" s="43"/>
      <c r="AH56" s="43"/>
    </row>
    <row r="57" spans="2:34">
      <c r="B57" s="42"/>
      <c r="C57" s="42"/>
      <c r="D57" s="43"/>
      <c r="E57" s="43"/>
      <c r="F57" s="43"/>
      <c r="G57" s="43"/>
      <c r="H57" s="43"/>
      <c r="I57" s="43"/>
      <c r="J57" s="43"/>
      <c r="K57" s="45"/>
      <c r="L57" s="45"/>
      <c r="M57" s="45"/>
      <c r="N57" s="46"/>
      <c r="O57" s="46"/>
      <c r="P57" s="43"/>
      <c r="Q57" s="43"/>
      <c r="R57" s="43"/>
      <c r="S57" s="66"/>
      <c r="T57" s="46"/>
      <c r="U57" s="66"/>
      <c r="V57" s="45"/>
      <c r="W57" s="45"/>
      <c r="X57" s="45"/>
      <c r="Y57" s="43"/>
      <c r="Z57" s="43"/>
      <c r="AA57" s="46"/>
      <c r="AB57" s="45"/>
      <c r="AC57" s="46"/>
      <c r="AD57" s="43"/>
      <c r="AE57" s="43"/>
      <c r="AF57" s="43"/>
      <c r="AG57" s="43"/>
      <c r="AH57" s="43"/>
    </row>
    <row r="58" spans="2:34">
      <c r="B58" s="42"/>
      <c r="C58" s="42"/>
      <c r="D58" s="43"/>
      <c r="E58" s="43"/>
      <c r="F58" s="43"/>
      <c r="G58" s="43"/>
      <c r="H58" s="43"/>
      <c r="I58" s="43"/>
      <c r="J58" s="43"/>
      <c r="K58" s="45"/>
      <c r="L58" s="45"/>
      <c r="M58" s="45"/>
      <c r="N58" s="46"/>
      <c r="O58" s="46"/>
      <c r="P58" s="43"/>
      <c r="Q58" s="43"/>
      <c r="R58" s="43"/>
      <c r="S58" s="66"/>
      <c r="T58" s="46"/>
      <c r="U58" s="66"/>
      <c r="V58" s="45"/>
      <c r="W58" s="45"/>
      <c r="X58" s="45"/>
      <c r="Y58" s="43"/>
      <c r="Z58" s="43"/>
      <c r="AA58" s="46"/>
      <c r="AB58" s="45"/>
      <c r="AC58" s="46"/>
      <c r="AD58" s="43"/>
      <c r="AE58" s="43"/>
      <c r="AF58" s="43"/>
      <c r="AG58" s="43"/>
      <c r="AH58" s="43"/>
    </row>
    <row r="59" spans="2:34">
      <c r="B59" s="42"/>
      <c r="C59" s="42"/>
      <c r="D59" s="43"/>
      <c r="E59" s="43"/>
      <c r="F59" s="43"/>
      <c r="G59" s="43"/>
      <c r="H59" s="43"/>
      <c r="I59" s="43"/>
      <c r="J59" s="43"/>
      <c r="K59" s="45"/>
      <c r="L59" s="45"/>
      <c r="M59" s="45"/>
      <c r="N59" s="46"/>
      <c r="O59" s="46"/>
      <c r="P59" s="43"/>
      <c r="Q59" s="43"/>
      <c r="R59" s="43"/>
      <c r="S59" s="66"/>
      <c r="T59" s="46"/>
      <c r="U59" s="66"/>
      <c r="V59" s="45"/>
      <c r="W59" s="45"/>
      <c r="X59" s="45"/>
      <c r="Y59" s="43"/>
      <c r="Z59" s="43"/>
      <c r="AA59" s="46"/>
      <c r="AB59" s="45"/>
      <c r="AC59" s="46"/>
      <c r="AD59" s="43"/>
      <c r="AE59" s="43"/>
      <c r="AF59" s="43"/>
      <c r="AG59" s="43"/>
      <c r="AH59" s="43"/>
    </row>
    <row r="60" spans="2:34">
      <c r="B60" s="42"/>
      <c r="C60" s="42"/>
      <c r="D60" s="43"/>
      <c r="E60" s="43"/>
      <c r="F60" s="43"/>
      <c r="G60" s="43"/>
      <c r="H60" s="43"/>
      <c r="I60" s="43"/>
      <c r="J60" s="43"/>
      <c r="K60" s="45"/>
      <c r="L60" s="45"/>
      <c r="M60" s="45"/>
      <c r="N60" s="46"/>
      <c r="O60" s="46"/>
      <c r="P60" s="43"/>
      <c r="Q60" s="43"/>
      <c r="R60" s="43"/>
      <c r="S60" s="66"/>
      <c r="T60" s="46"/>
      <c r="U60" s="66"/>
      <c r="V60" s="45"/>
      <c r="W60" s="45"/>
      <c r="X60" s="45"/>
      <c r="Y60" s="43"/>
      <c r="Z60" s="43"/>
      <c r="AA60" s="46"/>
      <c r="AB60" s="45"/>
      <c r="AC60" s="46"/>
      <c r="AD60" s="43"/>
      <c r="AE60" s="43"/>
      <c r="AF60" s="43"/>
      <c r="AG60" s="43"/>
      <c r="AH60" s="43"/>
    </row>
    <row r="61" spans="2:34">
      <c r="B61" s="42"/>
      <c r="C61" s="42"/>
      <c r="D61" s="43"/>
      <c r="E61" s="43"/>
      <c r="F61" s="43"/>
      <c r="G61" s="43"/>
      <c r="H61" s="43"/>
      <c r="I61" s="43"/>
      <c r="J61" s="43"/>
      <c r="K61" s="45"/>
      <c r="L61" s="45"/>
      <c r="M61" s="45"/>
      <c r="N61" s="46"/>
      <c r="O61" s="46"/>
      <c r="P61" s="43"/>
      <c r="Q61" s="43"/>
      <c r="R61" s="43"/>
      <c r="S61" s="66"/>
      <c r="T61" s="46"/>
      <c r="U61" s="66"/>
      <c r="V61" s="45"/>
      <c r="W61" s="45"/>
      <c r="X61" s="45"/>
      <c r="Y61" s="43"/>
      <c r="Z61" s="43"/>
      <c r="AA61" s="46"/>
      <c r="AB61" s="45"/>
      <c r="AC61" s="46"/>
      <c r="AD61" s="43"/>
      <c r="AE61" s="43"/>
      <c r="AF61" s="43"/>
      <c r="AG61" s="43"/>
      <c r="AH61" s="43"/>
    </row>
    <row r="62" spans="2:34">
      <c r="B62" s="42"/>
      <c r="C62" s="42"/>
      <c r="D62" s="43"/>
      <c r="E62" s="43"/>
      <c r="F62" s="43"/>
      <c r="G62" s="43"/>
      <c r="H62" s="43"/>
      <c r="I62" s="43"/>
      <c r="J62" s="43"/>
      <c r="K62" s="45"/>
      <c r="L62" s="45"/>
      <c r="M62" s="45"/>
      <c r="N62" s="46"/>
      <c r="O62" s="46"/>
      <c r="P62" s="43"/>
      <c r="Q62" s="43"/>
      <c r="R62" s="43"/>
      <c r="S62" s="66"/>
      <c r="T62" s="46"/>
      <c r="U62" s="66"/>
      <c r="V62" s="45"/>
      <c r="W62" s="45"/>
      <c r="X62" s="45"/>
      <c r="Y62" s="43"/>
      <c r="Z62" s="43"/>
      <c r="AA62" s="46"/>
      <c r="AB62" s="45"/>
      <c r="AC62" s="46"/>
      <c r="AD62" s="43"/>
      <c r="AE62" s="43"/>
      <c r="AF62" s="43"/>
      <c r="AG62" s="43"/>
      <c r="AH62" s="43"/>
    </row>
    <row r="63" spans="2:34">
      <c r="B63" s="42"/>
      <c r="C63" s="42"/>
      <c r="D63" s="43"/>
      <c r="E63" s="43"/>
      <c r="F63" s="43"/>
      <c r="G63" s="43"/>
      <c r="H63" s="43"/>
      <c r="I63" s="43"/>
      <c r="J63" s="43"/>
      <c r="K63" s="45"/>
      <c r="L63" s="45"/>
      <c r="M63" s="45"/>
      <c r="N63" s="46"/>
      <c r="O63" s="46"/>
      <c r="P63" s="43"/>
      <c r="Q63" s="43"/>
      <c r="R63" s="43"/>
      <c r="S63" s="66"/>
      <c r="T63" s="46"/>
      <c r="U63" s="66"/>
      <c r="V63" s="45"/>
      <c r="W63" s="45"/>
      <c r="X63" s="45"/>
      <c r="Y63" s="43"/>
      <c r="Z63" s="43"/>
      <c r="AA63" s="46"/>
      <c r="AB63" s="45"/>
      <c r="AC63" s="46"/>
      <c r="AD63" s="43"/>
      <c r="AE63" s="43"/>
      <c r="AF63" s="43"/>
      <c r="AG63" s="43"/>
      <c r="AH63" s="43"/>
    </row>
    <row r="64" spans="2:34">
      <c r="B64" s="42"/>
      <c r="C64" s="42"/>
      <c r="D64" s="43"/>
      <c r="E64" s="43"/>
      <c r="F64" s="43"/>
      <c r="G64" s="43"/>
      <c r="H64" s="43"/>
      <c r="I64" s="43"/>
      <c r="J64" s="43"/>
      <c r="K64" s="45"/>
      <c r="L64" s="45"/>
      <c r="M64" s="45"/>
      <c r="N64" s="46"/>
      <c r="O64" s="46"/>
      <c r="P64" s="43"/>
      <c r="Q64" s="43"/>
      <c r="R64" s="43"/>
      <c r="S64" s="66"/>
      <c r="T64" s="46"/>
      <c r="U64" s="66"/>
      <c r="V64" s="45"/>
      <c r="W64" s="45"/>
      <c r="X64" s="45"/>
      <c r="Y64" s="43"/>
      <c r="Z64" s="43"/>
      <c r="AA64" s="46"/>
      <c r="AB64" s="45"/>
      <c r="AC64" s="46"/>
      <c r="AD64" s="43"/>
      <c r="AE64" s="43"/>
      <c r="AF64" s="43"/>
      <c r="AG64" s="43"/>
      <c r="AH64" s="43"/>
    </row>
    <row r="65" spans="2:34">
      <c r="B65" s="42"/>
      <c r="C65" s="42"/>
      <c r="D65" s="43"/>
      <c r="E65" s="43"/>
      <c r="F65" s="43"/>
      <c r="G65" s="43"/>
      <c r="H65" s="43"/>
      <c r="I65" s="43"/>
      <c r="J65" s="43"/>
      <c r="K65" s="45"/>
      <c r="L65" s="45"/>
      <c r="M65" s="45"/>
      <c r="N65" s="46"/>
      <c r="O65" s="46"/>
      <c r="P65" s="43"/>
      <c r="Q65" s="43"/>
      <c r="R65" s="43"/>
      <c r="S65" s="66"/>
      <c r="T65" s="46"/>
      <c r="U65" s="66"/>
      <c r="V65" s="45"/>
      <c r="W65" s="45"/>
      <c r="X65" s="45"/>
      <c r="Y65" s="43"/>
      <c r="Z65" s="43"/>
      <c r="AA65" s="46"/>
      <c r="AB65" s="45"/>
      <c r="AC65" s="46"/>
      <c r="AD65" s="43"/>
      <c r="AE65" s="43"/>
      <c r="AF65" s="43"/>
      <c r="AG65" s="43"/>
      <c r="AH65" s="43"/>
    </row>
    <row r="66" spans="2:34">
      <c r="B66" s="42"/>
      <c r="C66" s="42"/>
      <c r="D66" s="43"/>
      <c r="E66" s="43"/>
      <c r="F66" s="43"/>
      <c r="G66" s="43"/>
      <c r="H66" s="43"/>
      <c r="I66" s="43"/>
      <c r="J66" s="43"/>
      <c r="K66" s="45"/>
      <c r="L66" s="45"/>
      <c r="M66" s="45"/>
      <c r="N66" s="46"/>
      <c r="O66" s="46"/>
      <c r="P66" s="43"/>
      <c r="Q66" s="43"/>
      <c r="R66" s="43"/>
      <c r="S66" s="66"/>
      <c r="T66" s="46"/>
      <c r="U66" s="66"/>
      <c r="V66" s="45"/>
      <c r="W66" s="45"/>
      <c r="X66" s="45"/>
      <c r="Y66" s="43"/>
      <c r="Z66" s="43"/>
      <c r="AA66" s="46"/>
      <c r="AB66" s="45"/>
      <c r="AC66" s="46"/>
      <c r="AD66" s="43"/>
      <c r="AE66" s="43"/>
      <c r="AF66" s="43"/>
      <c r="AG66" s="43"/>
      <c r="AH66" s="43"/>
    </row>
    <row r="67" spans="2:34">
      <c r="B67" s="42"/>
      <c r="C67" s="42"/>
      <c r="D67" s="43"/>
      <c r="E67" s="43"/>
      <c r="F67" s="43"/>
      <c r="G67" s="43"/>
      <c r="H67" s="43"/>
      <c r="I67" s="43"/>
      <c r="J67" s="43"/>
      <c r="K67" s="45"/>
      <c r="L67" s="45"/>
      <c r="M67" s="45"/>
      <c r="N67" s="46"/>
      <c r="O67" s="46"/>
      <c r="P67" s="43"/>
      <c r="Q67" s="43"/>
      <c r="R67" s="43"/>
      <c r="S67" s="66"/>
      <c r="T67" s="46"/>
      <c r="U67" s="66"/>
      <c r="V67" s="45"/>
      <c r="W67" s="45"/>
      <c r="X67" s="45"/>
      <c r="Y67" s="43"/>
      <c r="Z67" s="43"/>
      <c r="AA67" s="46"/>
      <c r="AB67" s="45"/>
      <c r="AC67" s="46"/>
      <c r="AD67" s="43"/>
      <c r="AE67" s="43"/>
      <c r="AF67" s="43"/>
      <c r="AG67" s="43"/>
      <c r="AH67" s="43"/>
    </row>
    <row r="68" spans="2:34">
      <c r="B68" s="42"/>
      <c r="C68" s="42"/>
      <c r="D68" s="43"/>
      <c r="E68" s="43"/>
      <c r="F68" s="43"/>
      <c r="G68" s="43"/>
      <c r="H68" s="43"/>
      <c r="I68" s="43"/>
      <c r="J68" s="43"/>
      <c r="K68" s="45"/>
      <c r="L68" s="45"/>
      <c r="M68" s="45"/>
      <c r="N68" s="46"/>
      <c r="O68" s="46"/>
      <c r="P68" s="43"/>
      <c r="Q68" s="43"/>
      <c r="R68" s="43"/>
      <c r="S68" s="66"/>
      <c r="T68" s="46"/>
      <c r="U68" s="66"/>
      <c r="V68" s="45"/>
      <c r="W68" s="45"/>
      <c r="X68" s="45"/>
      <c r="Y68" s="43"/>
      <c r="Z68" s="43"/>
      <c r="AA68" s="46"/>
      <c r="AB68" s="45"/>
      <c r="AC68" s="46"/>
      <c r="AD68" s="43"/>
      <c r="AE68" s="43"/>
      <c r="AF68" s="43"/>
      <c r="AG68" s="43"/>
      <c r="AH68" s="43"/>
    </row>
    <row r="69" spans="2:34">
      <c r="B69" s="42"/>
      <c r="C69" s="42"/>
      <c r="D69" s="43"/>
      <c r="E69" s="43"/>
      <c r="F69" s="43"/>
      <c r="G69" s="43"/>
      <c r="H69" s="43"/>
      <c r="I69" s="43"/>
      <c r="J69" s="43"/>
      <c r="K69" s="45"/>
      <c r="L69" s="45"/>
      <c r="M69" s="45"/>
      <c r="N69" s="46"/>
      <c r="O69" s="46"/>
      <c r="P69" s="43"/>
      <c r="Q69" s="43"/>
      <c r="R69" s="43"/>
      <c r="S69" s="66"/>
      <c r="T69" s="46"/>
      <c r="U69" s="66"/>
      <c r="V69" s="45"/>
      <c r="W69" s="45"/>
      <c r="X69" s="45"/>
      <c r="Y69" s="43"/>
      <c r="Z69" s="43"/>
      <c r="AA69" s="46"/>
      <c r="AB69" s="45"/>
      <c r="AC69" s="46"/>
      <c r="AD69" s="43"/>
      <c r="AE69" s="43"/>
      <c r="AF69" s="43"/>
      <c r="AG69" s="43"/>
      <c r="AH69" s="43"/>
    </row>
    <row r="70" spans="2:34">
      <c r="B70" s="42"/>
      <c r="C70" s="42"/>
      <c r="D70" s="43"/>
      <c r="E70" s="43"/>
      <c r="F70" s="43"/>
      <c r="G70" s="43"/>
      <c r="H70" s="43"/>
      <c r="I70" s="43"/>
      <c r="J70" s="43"/>
      <c r="K70" s="45"/>
      <c r="L70" s="45"/>
      <c r="M70" s="45"/>
      <c r="N70" s="46"/>
      <c r="O70" s="46"/>
      <c r="P70" s="43"/>
      <c r="Q70" s="43"/>
      <c r="R70" s="43"/>
      <c r="S70" s="66"/>
      <c r="T70" s="46"/>
      <c r="U70" s="66"/>
      <c r="V70" s="45"/>
      <c r="W70" s="45"/>
      <c r="X70" s="45"/>
      <c r="Y70" s="43"/>
      <c r="Z70" s="43"/>
      <c r="AA70" s="46"/>
      <c r="AB70" s="45"/>
      <c r="AC70" s="46"/>
      <c r="AD70" s="43"/>
      <c r="AE70" s="43"/>
      <c r="AF70" s="43"/>
      <c r="AG70" s="43"/>
      <c r="AH70" s="43"/>
    </row>
    <row r="71" spans="2:34">
      <c r="B71" s="42"/>
      <c r="C71" s="42"/>
      <c r="D71" s="43"/>
      <c r="E71" s="43"/>
      <c r="F71" s="43"/>
      <c r="G71" s="43"/>
      <c r="H71" s="43"/>
      <c r="I71" s="43"/>
      <c r="J71" s="43"/>
      <c r="K71" s="45"/>
      <c r="L71" s="45"/>
      <c r="M71" s="45"/>
      <c r="N71" s="46"/>
      <c r="O71" s="46"/>
      <c r="P71" s="43"/>
      <c r="Q71" s="43"/>
      <c r="R71" s="43"/>
      <c r="S71" s="66"/>
      <c r="T71" s="46"/>
      <c r="U71" s="66"/>
      <c r="V71" s="45"/>
      <c r="W71" s="45"/>
      <c r="X71" s="45"/>
      <c r="Y71" s="43"/>
      <c r="Z71" s="43"/>
      <c r="AA71" s="46"/>
      <c r="AB71" s="45"/>
      <c r="AC71" s="46"/>
      <c r="AD71" s="43"/>
      <c r="AE71" s="43"/>
      <c r="AF71" s="43"/>
      <c r="AG71" s="43"/>
      <c r="AH71" s="43"/>
    </row>
    <row r="72" spans="2:34">
      <c r="B72" s="42"/>
      <c r="C72" s="42"/>
      <c r="D72" s="43"/>
      <c r="E72" s="43"/>
      <c r="F72" s="43"/>
      <c r="G72" s="43"/>
      <c r="H72" s="43"/>
      <c r="I72" s="43"/>
      <c r="J72" s="43"/>
      <c r="K72" s="45"/>
      <c r="L72" s="45"/>
      <c r="M72" s="45"/>
      <c r="N72" s="46"/>
      <c r="O72" s="46"/>
      <c r="P72" s="43"/>
      <c r="Q72" s="43"/>
      <c r="R72" s="43"/>
      <c r="S72" s="66"/>
      <c r="T72" s="46"/>
      <c r="U72" s="66"/>
      <c r="V72" s="45"/>
      <c r="W72" s="45"/>
      <c r="X72" s="45"/>
      <c r="Y72" s="43"/>
      <c r="Z72" s="43"/>
      <c r="AA72" s="46"/>
      <c r="AB72" s="45"/>
      <c r="AC72" s="46"/>
      <c r="AD72" s="43"/>
      <c r="AE72" s="43"/>
      <c r="AF72" s="43"/>
      <c r="AG72" s="43"/>
      <c r="AH72" s="43"/>
    </row>
    <row r="73" spans="2:34">
      <c r="B73" s="42"/>
      <c r="C73" s="42"/>
      <c r="D73" s="43"/>
      <c r="E73" s="43"/>
      <c r="F73" s="43"/>
      <c r="G73" s="43"/>
      <c r="H73" s="43"/>
      <c r="I73" s="43"/>
      <c r="J73" s="43"/>
      <c r="K73" s="45"/>
      <c r="L73" s="45"/>
      <c r="M73" s="45"/>
      <c r="N73" s="46"/>
      <c r="O73" s="46"/>
      <c r="P73" s="43"/>
      <c r="Q73" s="43"/>
      <c r="R73" s="43"/>
      <c r="S73" s="66"/>
      <c r="T73" s="46"/>
      <c r="U73" s="66"/>
      <c r="V73" s="45"/>
      <c r="W73" s="45"/>
      <c r="X73" s="45"/>
      <c r="Y73" s="43"/>
      <c r="Z73" s="43"/>
      <c r="AA73" s="46"/>
      <c r="AB73" s="45"/>
      <c r="AC73" s="46"/>
      <c r="AD73" s="43"/>
      <c r="AE73" s="43"/>
      <c r="AF73" s="43"/>
      <c r="AG73" s="43"/>
      <c r="AH73" s="43"/>
    </row>
    <row r="74" spans="2:34">
      <c r="B74" s="42"/>
      <c r="C74" s="42"/>
      <c r="D74" s="43"/>
      <c r="E74" s="43"/>
      <c r="F74" s="43"/>
      <c r="G74" s="43"/>
      <c r="H74" s="43"/>
      <c r="I74" s="43"/>
      <c r="J74" s="43"/>
      <c r="K74" s="45"/>
      <c r="L74" s="45"/>
      <c r="M74" s="45"/>
      <c r="N74" s="46"/>
      <c r="O74" s="46"/>
      <c r="P74" s="43"/>
      <c r="Q74" s="43"/>
      <c r="R74" s="43"/>
      <c r="S74" s="66"/>
      <c r="T74" s="46"/>
      <c r="U74" s="66"/>
      <c r="V74" s="45"/>
      <c r="W74" s="45"/>
      <c r="X74" s="45"/>
      <c r="Y74" s="43"/>
      <c r="Z74" s="43"/>
      <c r="AA74" s="46"/>
      <c r="AB74" s="45"/>
      <c r="AC74" s="46"/>
      <c r="AD74" s="43"/>
      <c r="AE74" s="43"/>
      <c r="AF74" s="43"/>
      <c r="AG74" s="43"/>
      <c r="AH74" s="43"/>
    </row>
    <row r="75" spans="2:34">
      <c r="B75" s="42"/>
      <c r="C75" s="42"/>
      <c r="D75" s="43"/>
      <c r="E75" s="43"/>
      <c r="F75" s="43"/>
      <c r="G75" s="43"/>
      <c r="H75" s="43"/>
      <c r="I75" s="43"/>
      <c r="J75" s="43"/>
      <c r="K75" s="45"/>
      <c r="L75" s="45"/>
      <c r="M75" s="45"/>
      <c r="N75" s="46"/>
      <c r="O75" s="46"/>
      <c r="P75" s="43"/>
      <c r="Q75" s="43"/>
      <c r="R75" s="43"/>
      <c r="S75" s="66"/>
      <c r="T75" s="46"/>
      <c r="U75" s="66"/>
      <c r="V75" s="45"/>
      <c r="W75" s="45"/>
      <c r="X75" s="45"/>
      <c r="Y75" s="43"/>
      <c r="Z75" s="43"/>
      <c r="AA75" s="46"/>
      <c r="AB75" s="45"/>
      <c r="AC75" s="46"/>
      <c r="AD75" s="43"/>
      <c r="AE75" s="43"/>
      <c r="AF75" s="43"/>
      <c r="AG75" s="43"/>
      <c r="AH75" s="43"/>
    </row>
    <row r="76" spans="2:34">
      <c r="B76" s="42"/>
      <c r="C76" s="42"/>
      <c r="D76" s="43"/>
      <c r="E76" s="43"/>
      <c r="F76" s="43"/>
      <c r="G76" s="43"/>
      <c r="H76" s="43"/>
      <c r="I76" s="43"/>
      <c r="J76" s="43"/>
      <c r="K76" s="45"/>
      <c r="L76" s="45"/>
      <c r="M76" s="45"/>
      <c r="N76" s="46"/>
      <c r="O76" s="46"/>
      <c r="P76" s="43"/>
      <c r="Q76" s="43"/>
      <c r="R76" s="43"/>
      <c r="S76" s="66"/>
      <c r="T76" s="46"/>
      <c r="U76" s="66"/>
      <c r="V76" s="45"/>
      <c r="W76" s="45"/>
      <c r="X76" s="45"/>
      <c r="Y76" s="43"/>
      <c r="Z76" s="43"/>
      <c r="AA76" s="46"/>
      <c r="AB76" s="45"/>
      <c r="AC76" s="46"/>
      <c r="AD76" s="43"/>
      <c r="AE76" s="43"/>
      <c r="AF76" s="43"/>
      <c r="AG76" s="43"/>
      <c r="AH76" s="43"/>
    </row>
    <row r="77" spans="2:34">
      <c r="B77" s="42"/>
      <c r="C77" s="42"/>
      <c r="D77" s="43"/>
      <c r="E77" s="43"/>
      <c r="F77" s="43"/>
      <c r="G77" s="43"/>
      <c r="H77" s="43"/>
      <c r="I77" s="43"/>
      <c r="J77" s="43"/>
      <c r="K77" s="45"/>
      <c r="L77" s="45"/>
      <c r="M77" s="45"/>
      <c r="N77" s="46"/>
      <c r="O77" s="46"/>
      <c r="P77" s="43"/>
      <c r="Q77" s="43"/>
      <c r="R77" s="43"/>
      <c r="S77" s="66"/>
      <c r="T77" s="46"/>
      <c r="U77" s="66"/>
      <c r="V77" s="45"/>
      <c r="W77" s="45"/>
      <c r="X77" s="45"/>
      <c r="Y77" s="43"/>
      <c r="Z77" s="43"/>
      <c r="AA77" s="46"/>
      <c r="AB77" s="45"/>
      <c r="AC77" s="46"/>
      <c r="AD77" s="43"/>
      <c r="AE77" s="43"/>
      <c r="AF77" s="43"/>
      <c r="AG77" s="43"/>
      <c r="AH77" s="43"/>
    </row>
    <row r="78" spans="2:34">
      <c r="B78" s="42"/>
      <c r="C78" s="42"/>
      <c r="D78" s="43"/>
      <c r="E78" s="43"/>
      <c r="F78" s="43"/>
      <c r="G78" s="43"/>
      <c r="H78" s="43"/>
      <c r="I78" s="43"/>
      <c r="J78" s="43"/>
      <c r="K78" s="45"/>
      <c r="L78" s="45"/>
      <c r="M78" s="45"/>
      <c r="N78" s="46"/>
      <c r="O78" s="46"/>
      <c r="P78" s="43"/>
      <c r="Q78" s="43"/>
      <c r="R78" s="43"/>
      <c r="S78" s="66"/>
      <c r="T78" s="46"/>
      <c r="U78" s="66"/>
      <c r="V78" s="45"/>
      <c r="W78" s="45"/>
      <c r="X78" s="45"/>
      <c r="Y78" s="43"/>
      <c r="Z78" s="43"/>
      <c r="AA78" s="46"/>
      <c r="AB78" s="45"/>
      <c r="AC78" s="46"/>
      <c r="AD78" s="43"/>
      <c r="AE78" s="43"/>
      <c r="AF78" s="43"/>
      <c r="AG78" s="43"/>
      <c r="AH78" s="43"/>
    </row>
    <row r="79" spans="2:34">
      <c r="B79" s="42"/>
      <c r="C79" s="42"/>
      <c r="D79" s="43"/>
      <c r="E79" s="43"/>
      <c r="F79" s="43"/>
      <c r="G79" s="43"/>
      <c r="H79" s="43"/>
      <c r="I79" s="43"/>
      <c r="J79" s="43"/>
      <c r="K79" s="45"/>
      <c r="L79" s="45"/>
      <c r="M79" s="45"/>
      <c r="N79" s="46"/>
      <c r="O79" s="46"/>
      <c r="P79" s="43"/>
      <c r="Q79" s="43"/>
      <c r="R79" s="43"/>
      <c r="S79" s="66"/>
      <c r="T79" s="46"/>
      <c r="U79" s="66"/>
      <c r="V79" s="45"/>
      <c r="W79" s="45"/>
      <c r="X79" s="45"/>
      <c r="Y79" s="43"/>
      <c r="Z79" s="43"/>
      <c r="AA79" s="46"/>
      <c r="AB79" s="45"/>
      <c r="AC79" s="46"/>
      <c r="AD79" s="43"/>
      <c r="AE79" s="43"/>
      <c r="AF79" s="43"/>
      <c r="AG79" s="43"/>
      <c r="AH79" s="43"/>
    </row>
    <row r="80" spans="2:34">
      <c r="B80" s="42"/>
      <c r="C80" s="42"/>
      <c r="D80" s="43"/>
      <c r="E80" s="43"/>
      <c r="F80" s="43"/>
      <c r="G80" s="43"/>
      <c r="H80" s="43"/>
      <c r="I80" s="43"/>
      <c r="J80" s="43"/>
      <c r="K80" s="45"/>
      <c r="L80" s="45"/>
      <c r="M80" s="45"/>
      <c r="N80" s="46"/>
      <c r="O80" s="46"/>
      <c r="P80" s="43"/>
      <c r="Q80" s="43"/>
      <c r="R80" s="43"/>
      <c r="S80" s="66"/>
      <c r="T80" s="46"/>
      <c r="U80" s="66"/>
      <c r="V80" s="45"/>
      <c r="W80" s="45"/>
      <c r="X80" s="45"/>
      <c r="Y80" s="43"/>
      <c r="Z80" s="43"/>
      <c r="AA80" s="46"/>
      <c r="AB80" s="45"/>
      <c r="AC80" s="46"/>
      <c r="AD80" s="43"/>
      <c r="AE80" s="43"/>
      <c r="AF80" s="43"/>
      <c r="AG80" s="43"/>
      <c r="AH80" s="43"/>
    </row>
    <row r="81" spans="2:34">
      <c r="B81" s="42"/>
      <c r="C81" s="42"/>
      <c r="D81" s="43"/>
      <c r="E81" s="43"/>
      <c r="F81" s="43"/>
      <c r="G81" s="43"/>
      <c r="H81" s="43"/>
      <c r="I81" s="43"/>
      <c r="J81" s="43"/>
      <c r="K81" s="45"/>
      <c r="L81" s="45"/>
      <c r="M81" s="45"/>
      <c r="N81" s="46"/>
      <c r="O81" s="46"/>
      <c r="P81" s="43"/>
      <c r="Q81" s="43"/>
      <c r="R81" s="43"/>
      <c r="S81" s="66"/>
      <c r="T81" s="46"/>
      <c r="U81" s="66"/>
      <c r="V81" s="45"/>
      <c r="W81" s="45"/>
      <c r="X81" s="45"/>
      <c r="Y81" s="43"/>
      <c r="Z81" s="43"/>
      <c r="AA81" s="46"/>
      <c r="AB81" s="45"/>
      <c r="AC81" s="46"/>
      <c r="AD81" s="43"/>
      <c r="AE81" s="43"/>
      <c r="AF81" s="43"/>
      <c r="AG81" s="43"/>
      <c r="AH81" s="43"/>
    </row>
    <row r="82" spans="2:34">
      <c r="B82" s="42"/>
      <c r="C82" s="42"/>
      <c r="D82" s="43"/>
      <c r="E82" s="43"/>
      <c r="F82" s="43"/>
      <c r="G82" s="43"/>
      <c r="H82" s="43"/>
      <c r="I82" s="43"/>
      <c r="J82" s="43"/>
      <c r="K82" s="45"/>
      <c r="L82" s="45"/>
      <c r="M82" s="45"/>
      <c r="N82" s="46"/>
      <c r="O82" s="46"/>
      <c r="P82" s="43"/>
      <c r="Q82" s="43"/>
      <c r="R82" s="43"/>
      <c r="S82" s="66"/>
      <c r="T82" s="46"/>
      <c r="U82" s="66"/>
      <c r="V82" s="45"/>
      <c r="W82" s="45"/>
      <c r="X82" s="45"/>
      <c r="Y82" s="43"/>
      <c r="Z82" s="43"/>
      <c r="AA82" s="46"/>
      <c r="AB82" s="45"/>
      <c r="AC82" s="46"/>
      <c r="AD82" s="43"/>
      <c r="AE82" s="43"/>
      <c r="AF82" s="43"/>
      <c r="AG82" s="43"/>
      <c r="AH82" s="43"/>
    </row>
    <row r="83" spans="2:34">
      <c r="B83" s="42"/>
      <c r="C83" s="42"/>
      <c r="D83" s="43"/>
      <c r="E83" s="43"/>
      <c r="F83" s="43"/>
      <c r="G83" s="43"/>
      <c r="H83" s="43"/>
      <c r="I83" s="43"/>
      <c r="J83" s="43"/>
      <c r="K83" s="45"/>
      <c r="L83" s="45"/>
      <c r="M83" s="45"/>
      <c r="N83" s="46"/>
      <c r="O83" s="46"/>
      <c r="P83" s="43"/>
      <c r="Q83" s="43"/>
      <c r="R83" s="43"/>
      <c r="S83" s="66"/>
      <c r="T83" s="46"/>
      <c r="U83" s="66"/>
      <c r="V83" s="45"/>
      <c r="W83" s="45"/>
      <c r="X83" s="45"/>
      <c r="Y83" s="43"/>
      <c r="Z83" s="43"/>
      <c r="AA83" s="46"/>
      <c r="AB83" s="45"/>
      <c r="AC83" s="46"/>
      <c r="AD83" s="43"/>
      <c r="AE83" s="43"/>
      <c r="AF83" s="43"/>
      <c r="AG83" s="43"/>
      <c r="AH83" s="43"/>
    </row>
    <row r="84" spans="2:34">
      <c r="B84" s="42"/>
      <c r="C84" s="42"/>
      <c r="D84" s="43"/>
      <c r="E84" s="43"/>
      <c r="F84" s="43"/>
      <c r="G84" s="43"/>
      <c r="H84" s="43"/>
      <c r="I84" s="43"/>
      <c r="J84" s="43"/>
      <c r="K84" s="45"/>
      <c r="L84" s="45"/>
      <c r="M84" s="45"/>
      <c r="N84" s="46"/>
      <c r="O84" s="46"/>
      <c r="P84" s="43"/>
      <c r="Q84" s="43"/>
      <c r="R84" s="43"/>
      <c r="S84" s="66"/>
      <c r="T84" s="46"/>
      <c r="U84" s="66"/>
      <c r="V84" s="45"/>
      <c r="W84" s="45"/>
      <c r="X84" s="45"/>
      <c r="Y84" s="43"/>
      <c r="Z84" s="43"/>
      <c r="AA84" s="46"/>
      <c r="AB84" s="45"/>
      <c r="AC84" s="46"/>
      <c r="AD84" s="43"/>
      <c r="AE84" s="43"/>
      <c r="AF84" s="43"/>
      <c r="AG84" s="43"/>
      <c r="AH84" s="43"/>
    </row>
    <row r="85" spans="2:34">
      <c r="B85" s="42"/>
      <c r="C85" s="42"/>
      <c r="D85" s="43"/>
      <c r="E85" s="43"/>
      <c r="F85" s="43"/>
      <c r="G85" s="43"/>
      <c r="H85" s="43"/>
      <c r="I85" s="43"/>
      <c r="J85" s="43"/>
      <c r="K85" s="45"/>
      <c r="L85" s="45"/>
      <c r="M85" s="45"/>
      <c r="N85" s="46"/>
      <c r="O85" s="46"/>
      <c r="P85" s="43"/>
      <c r="Q85" s="43"/>
      <c r="R85" s="43"/>
      <c r="S85" s="66"/>
      <c r="T85" s="46"/>
      <c r="U85" s="66"/>
      <c r="V85" s="45"/>
      <c r="W85" s="45"/>
      <c r="X85" s="45"/>
      <c r="Y85" s="43"/>
      <c r="Z85" s="43"/>
      <c r="AA85" s="46"/>
      <c r="AB85" s="45"/>
      <c r="AC85" s="46"/>
      <c r="AD85" s="43"/>
      <c r="AE85" s="43"/>
      <c r="AF85" s="43"/>
      <c r="AG85" s="43"/>
      <c r="AH85" s="43"/>
    </row>
    <row r="86" spans="2:34">
      <c r="B86" s="42"/>
      <c r="C86" s="42"/>
      <c r="D86" s="43"/>
      <c r="E86" s="43"/>
      <c r="F86" s="43"/>
      <c r="G86" s="43"/>
      <c r="H86" s="43"/>
      <c r="I86" s="43"/>
      <c r="J86" s="43"/>
      <c r="K86" s="45"/>
      <c r="L86" s="45"/>
      <c r="M86" s="45"/>
      <c r="N86" s="46"/>
      <c r="O86" s="46"/>
      <c r="P86" s="43"/>
      <c r="Q86" s="43"/>
      <c r="R86" s="43"/>
      <c r="S86" s="66"/>
      <c r="T86" s="46"/>
      <c r="U86" s="66"/>
      <c r="V86" s="45"/>
      <c r="W86" s="45"/>
      <c r="X86" s="45"/>
      <c r="Y86" s="43"/>
      <c r="Z86" s="43"/>
      <c r="AA86" s="46"/>
      <c r="AB86" s="45"/>
      <c r="AC86" s="46"/>
      <c r="AD86" s="43"/>
      <c r="AE86" s="43"/>
      <c r="AF86" s="43"/>
      <c r="AG86" s="43"/>
      <c r="AH86" s="43"/>
    </row>
    <row r="87" spans="2:34">
      <c r="B87" s="42"/>
      <c r="C87" s="42"/>
      <c r="D87" s="43"/>
      <c r="E87" s="43"/>
      <c r="F87" s="43"/>
      <c r="G87" s="43"/>
      <c r="H87" s="43"/>
      <c r="I87" s="43"/>
      <c r="J87" s="43"/>
      <c r="K87" s="45"/>
      <c r="L87" s="45"/>
      <c r="M87" s="45"/>
      <c r="N87" s="46"/>
      <c r="O87" s="46"/>
      <c r="P87" s="43"/>
      <c r="Q87" s="43"/>
      <c r="R87" s="43"/>
      <c r="S87" s="66"/>
      <c r="T87" s="46"/>
      <c r="U87" s="66"/>
      <c r="V87" s="45"/>
      <c r="W87" s="45"/>
      <c r="X87" s="45"/>
      <c r="Y87" s="43"/>
      <c r="Z87" s="43"/>
      <c r="AA87" s="46"/>
      <c r="AB87" s="45"/>
      <c r="AC87" s="46"/>
      <c r="AD87" s="43"/>
      <c r="AE87" s="43"/>
      <c r="AF87" s="43"/>
      <c r="AG87" s="43"/>
      <c r="AH87" s="43"/>
    </row>
    <row r="88" spans="2:34">
      <c r="B88" s="42"/>
      <c r="C88" s="42"/>
      <c r="D88" s="43"/>
      <c r="E88" s="43"/>
      <c r="F88" s="43"/>
      <c r="G88" s="43"/>
      <c r="H88" s="43"/>
      <c r="I88" s="43"/>
      <c r="J88" s="43"/>
      <c r="K88" s="45"/>
      <c r="L88" s="45"/>
      <c r="M88" s="45"/>
      <c r="N88" s="46"/>
      <c r="O88" s="46"/>
      <c r="P88" s="43"/>
      <c r="Q88" s="43"/>
      <c r="R88" s="43"/>
      <c r="S88" s="66"/>
      <c r="T88" s="46"/>
      <c r="U88" s="66"/>
      <c r="V88" s="45"/>
      <c r="W88" s="45"/>
      <c r="X88" s="45"/>
      <c r="Y88" s="43"/>
      <c r="Z88" s="43"/>
      <c r="AA88" s="46"/>
      <c r="AB88" s="45"/>
      <c r="AC88" s="46"/>
      <c r="AD88" s="43"/>
      <c r="AE88" s="43"/>
      <c r="AF88" s="43"/>
      <c r="AG88" s="43"/>
      <c r="AH88" s="43"/>
    </row>
    <row r="89" spans="2:34">
      <c r="B89" s="42"/>
      <c r="C89" s="42"/>
      <c r="D89" s="43"/>
      <c r="E89" s="43"/>
      <c r="F89" s="43"/>
      <c r="G89" s="43"/>
      <c r="H89" s="43"/>
      <c r="I89" s="43"/>
      <c r="J89" s="43"/>
      <c r="K89" s="45"/>
      <c r="L89" s="45"/>
      <c r="M89" s="45"/>
      <c r="N89" s="46"/>
      <c r="O89" s="46"/>
      <c r="P89" s="43"/>
      <c r="Q89" s="43"/>
      <c r="R89" s="43"/>
      <c r="S89" s="66"/>
      <c r="T89" s="46"/>
      <c r="U89" s="66"/>
      <c r="V89" s="45"/>
      <c r="W89" s="45"/>
      <c r="X89" s="45"/>
      <c r="Y89" s="43"/>
      <c r="Z89" s="43"/>
      <c r="AA89" s="46"/>
      <c r="AB89" s="45"/>
      <c r="AC89" s="46"/>
      <c r="AD89" s="43"/>
      <c r="AE89" s="43"/>
      <c r="AF89" s="43"/>
      <c r="AG89" s="43"/>
      <c r="AH89" s="43"/>
    </row>
    <row r="90" spans="2:34">
      <c r="B90" s="42"/>
      <c r="C90" s="42"/>
      <c r="D90" s="43"/>
      <c r="E90" s="43"/>
      <c r="F90" s="43"/>
      <c r="G90" s="43"/>
      <c r="H90" s="43"/>
      <c r="I90" s="43"/>
      <c r="J90" s="43"/>
      <c r="K90" s="45"/>
      <c r="L90" s="45"/>
      <c r="M90" s="45"/>
      <c r="N90" s="46"/>
      <c r="O90" s="46"/>
      <c r="P90" s="43"/>
      <c r="Q90" s="43"/>
      <c r="R90" s="43"/>
      <c r="S90" s="66"/>
      <c r="T90" s="46"/>
      <c r="U90" s="66"/>
      <c r="V90" s="45"/>
      <c r="W90" s="45"/>
      <c r="X90" s="45"/>
      <c r="Y90" s="43"/>
      <c r="Z90" s="43"/>
      <c r="AA90" s="46"/>
      <c r="AB90" s="45"/>
      <c r="AC90" s="46"/>
      <c r="AD90" s="43"/>
      <c r="AE90" s="43"/>
      <c r="AF90" s="43"/>
      <c r="AG90" s="43"/>
      <c r="AH90" s="43"/>
    </row>
    <row r="91" spans="2:34">
      <c r="B91" s="42"/>
      <c r="C91" s="42"/>
      <c r="D91" s="43"/>
      <c r="E91" s="43"/>
      <c r="F91" s="43"/>
      <c r="G91" s="43"/>
      <c r="H91" s="43"/>
      <c r="I91" s="43"/>
      <c r="J91" s="43"/>
      <c r="K91" s="45"/>
      <c r="L91" s="45"/>
      <c r="M91" s="45"/>
      <c r="N91" s="46"/>
      <c r="O91" s="46"/>
      <c r="P91" s="43"/>
      <c r="Q91" s="43"/>
      <c r="R91" s="43"/>
      <c r="S91" s="66"/>
      <c r="T91" s="46"/>
      <c r="U91" s="66"/>
      <c r="V91" s="45"/>
      <c r="W91" s="45"/>
      <c r="X91" s="45"/>
      <c r="Y91" s="43"/>
      <c r="Z91" s="43"/>
      <c r="AA91" s="46"/>
      <c r="AB91" s="45"/>
      <c r="AC91" s="46"/>
      <c r="AD91" s="43"/>
      <c r="AE91" s="43"/>
      <c r="AF91" s="43"/>
      <c r="AG91" s="43"/>
      <c r="AH91" s="43"/>
    </row>
    <row r="92" spans="2:34">
      <c r="B92" s="42"/>
      <c r="C92" s="42"/>
      <c r="D92" s="43"/>
      <c r="E92" s="43"/>
      <c r="F92" s="43"/>
      <c r="G92" s="43"/>
      <c r="H92" s="43"/>
      <c r="I92" s="43"/>
      <c r="J92" s="43"/>
      <c r="K92" s="45"/>
      <c r="L92" s="45"/>
      <c r="M92" s="45"/>
      <c r="N92" s="46"/>
      <c r="O92" s="46"/>
      <c r="P92" s="43"/>
      <c r="Q92" s="43"/>
      <c r="R92" s="43"/>
      <c r="S92" s="66"/>
      <c r="T92" s="46"/>
      <c r="U92" s="66"/>
      <c r="V92" s="45"/>
      <c r="W92" s="45"/>
      <c r="X92" s="45"/>
      <c r="Y92" s="43"/>
      <c r="Z92" s="43"/>
      <c r="AA92" s="46"/>
      <c r="AB92" s="45"/>
      <c r="AC92" s="46"/>
      <c r="AD92" s="43"/>
      <c r="AE92" s="43"/>
      <c r="AF92" s="43"/>
      <c r="AG92" s="43"/>
      <c r="AH92" s="43"/>
    </row>
    <row r="93" spans="2:34">
      <c r="B93" s="42"/>
      <c r="C93" s="42"/>
      <c r="D93" s="43"/>
      <c r="E93" s="43"/>
      <c r="F93" s="43"/>
      <c r="G93" s="43"/>
      <c r="H93" s="43"/>
      <c r="I93" s="43"/>
      <c r="J93" s="43"/>
      <c r="K93" s="45"/>
      <c r="L93" s="45"/>
      <c r="M93" s="45"/>
      <c r="N93" s="46"/>
      <c r="O93" s="46"/>
      <c r="P93" s="43"/>
      <c r="Q93" s="43"/>
      <c r="R93" s="43"/>
      <c r="S93" s="66"/>
      <c r="T93" s="46"/>
      <c r="U93" s="66"/>
      <c r="V93" s="45"/>
      <c r="W93" s="45"/>
      <c r="X93" s="45"/>
      <c r="Y93" s="43"/>
      <c r="Z93" s="43"/>
      <c r="AA93" s="46"/>
      <c r="AB93" s="45"/>
      <c r="AC93" s="46"/>
      <c r="AD93" s="43"/>
      <c r="AE93" s="43"/>
      <c r="AF93" s="43"/>
      <c r="AG93" s="43"/>
      <c r="AH93" s="43"/>
    </row>
    <row r="94" spans="2:34">
      <c r="B94" s="42"/>
      <c r="C94" s="42"/>
      <c r="D94" s="43"/>
      <c r="E94" s="43"/>
      <c r="F94" s="43"/>
      <c r="G94" s="43"/>
      <c r="H94" s="43"/>
      <c r="I94" s="43"/>
      <c r="J94" s="43"/>
      <c r="K94" s="45"/>
      <c r="L94" s="45"/>
      <c r="M94" s="45"/>
      <c r="N94" s="46"/>
      <c r="O94" s="46"/>
      <c r="P94" s="43"/>
      <c r="Q94" s="43"/>
      <c r="R94" s="43"/>
      <c r="S94" s="66"/>
      <c r="T94" s="46"/>
      <c r="U94" s="66"/>
      <c r="V94" s="45"/>
      <c r="W94" s="45"/>
      <c r="X94" s="45"/>
      <c r="Y94" s="43"/>
      <c r="Z94" s="43"/>
      <c r="AA94" s="46"/>
      <c r="AB94" s="45"/>
      <c r="AC94" s="46"/>
      <c r="AD94" s="43"/>
      <c r="AE94" s="43"/>
      <c r="AF94" s="43"/>
      <c r="AG94" s="43"/>
      <c r="AH94" s="43"/>
    </row>
    <row r="95" spans="2:34">
      <c r="B95" s="42"/>
      <c r="C95" s="42"/>
      <c r="D95" s="43"/>
      <c r="E95" s="43"/>
      <c r="F95" s="43"/>
      <c r="G95" s="43"/>
      <c r="H95" s="43"/>
      <c r="I95" s="43"/>
      <c r="J95" s="43"/>
      <c r="K95" s="45"/>
      <c r="L95" s="45"/>
      <c r="M95" s="45"/>
      <c r="N95" s="46"/>
      <c r="O95" s="46"/>
      <c r="P95" s="43"/>
      <c r="Q95" s="43"/>
      <c r="R95" s="43"/>
      <c r="S95" s="66"/>
      <c r="T95" s="46"/>
      <c r="U95" s="66"/>
      <c r="V95" s="45"/>
      <c r="W95" s="45"/>
      <c r="X95" s="45"/>
      <c r="Y95" s="43"/>
      <c r="Z95" s="43"/>
      <c r="AA95" s="46"/>
      <c r="AB95" s="45"/>
      <c r="AC95" s="46"/>
      <c r="AD95" s="43"/>
      <c r="AE95" s="43"/>
      <c r="AF95" s="43"/>
      <c r="AG95" s="43"/>
      <c r="AH95" s="43"/>
    </row>
    <row r="96" spans="2:34">
      <c r="B96" s="42"/>
      <c r="C96" s="42"/>
      <c r="D96" s="43"/>
      <c r="E96" s="43"/>
      <c r="F96" s="43"/>
      <c r="G96" s="43"/>
      <c r="H96" s="43"/>
      <c r="I96" s="43"/>
      <c r="J96" s="43"/>
      <c r="K96" s="45"/>
      <c r="L96" s="45"/>
      <c r="M96" s="45"/>
      <c r="N96" s="46"/>
      <c r="O96" s="46"/>
      <c r="P96" s="43"/>
      <c r="Q96" s="43"/>
      <c r="R96" s="43"/>
      <c r="S96" s="66"/>
      <c r="T96" s="46"/>
      <c r="U96" s="66"/>
      <c r="V96" s="45"/>
      <c r="W96" s="45"/>
      <c r="X96" s="45"/>
      <c r="Y96" s="43"/>
      <c r="Z96" s="43"/>
      <c r="AA96" s="46"/>
      <c r="AB96" s="45"/>
      <c r="AC96" s="46"/>
      <c r="AD96" s="43"/>
      <c r="AE96" s="43"/>
      <c r="AF96" s="43"/>
      <c r="AG96" s="43"/>
      <c r="AH96" s="43"/>
    </row>
    <row r="97" spans="2:34">
      <c r="B97" s="42"/>
      <c r="C97" s="42"/>
      <c r="D97" s="43"/>
      <c r="E97" s="43"/>
      <c r="F97" s="43"/>
      <c r="G97" s="43"/>
      <c r="H97" s="43"/>
      <c r="I97" s="43"/>
      <c r="J97" s="43"/>
      <c r="K97" s="45"/>
      <c r="L97" s="45"/>
      <c r="M97" s="45"/>
      <c r="N97" s="46"/>
      <c r="O97" s="46"/>
      <c r="P97" s="43"/>
      <c r="Q97" s="43"/>
      <c r="R97" s="43"/>
      <c r="S97" s="66"/>
      <c r="T97" s="46"/>
      <c r="U97" s="66"/>
      <c r="V97" s="45"/>
      <c r="W97" s="45"/>
      <c r="X97" s="45"/>
      <c r="Y97" s="43"/>
      <c r="Z97" s="43"/>
      <c r="AA97" s="46"/>
      <c r="AB97" s="45"/>
      <c r="AC97" s="46"/>
      <c r="AD97" s="43"/>
      <c r="AE97" s="43"/>
      <c r="AF97" s="43"/>
      <c r="AG97" s="43"/>
      <c r="AH97" s="43"/>
    </row>
    <row r="98" spans="2:34">
      <c r="B98" s="42"/>
      <c r="C98" s="42"/>
      <c r="D98" s="43"/>
      <c r="E98" s="43"/>
      <c r="F98" s="43"/>
      <c r="G98" s="43"/>
      <c r="H98" s="43"/>
      <c r="I98" s="43"/>
      <c r="J98" s="43"/>
      <c r="K98" s="45"/>
      <c r="L98" s="45"/>
      <c r="M98" s="45"/>
      <c r="N98" s="46"/>
      <c r="O98" s="46"/>
      <c r="P98" s="43"/>
      <c r="Q98" s="43"/>
      <c r="R98" s="43"/>
      <c r="S98" s="66"/>
      <c r="T98" s="46"/>
      <c r="U98" s="66"/>
      <c r="V98" s="45"/>
      <c r="W98" s="45"/>
      <c r="X98" s="45"/>
      <c r="Y98" s="43"/>
      <c r="Z98" s="43"/>
      <c r="AA98" s="46"/>
      <c r="AB98" s="45"/>
      <c r="AC98" s="46"/>
      <c r="AD98" s="43"/>
      <c r="AE98" s="43"/>
      <c r="AF98" s="43"/>
      <c r="AG98" s="43"/>
      <c r="AH98" s="43"/>
    </row>
    <row r="99" spans="2:34">
      <c r="B99" s="42"/>
      <c r="C99" s="42"/>
      <c r="D99" s="43"/>
      <c r="E99" s="43"/>
      <c r="F99" s="43"/>
      <c r="G99" s="43"/>
      <c r="H99" s="43"/>
      <c r="I99" s="43"/>
      <c r="J99" s="43"/>
      <c r="K99" s="45"/>
      <c r="L99" s="45"/>
      <c r="M99" s="45"/>
      <c r="N99" s="46"/>
      <c r="O99" s="46"/>
      <c r="P99" s="43"/>
      <c r="Q99" s="43"/>
      <c r="R99" s="43"/>
      <c r="S99" s="66"/>
      <c r="T99" s="46"/>
      <c r="U99" s="66"/>
      <c r="V99" s="45"/>
      <c r="W99" s="45"/>
      <c r="X99" s="45"/>
      <c r="Y99" s="43"/>
      <c r="Z99" s="43"/>
      <c r="AA99" s="46"/>
      <c r="AB99" s="45"/>
      <c r="AC99" s="46"/>
      <c r="AD99" s="43"/>
      <c r="AE99" s="43"/>
      <c r="AF99" s="43"/>
      <c r="AG99" s="43"/>
      <c r="AH99" s="43"/>
    </row>
    <row r="100" spans="2:34">
      <c r="B100" s="42"/>
      <c r="C100" s="42"/>
      <c r="D100" s="43"/>
      <c r="E100" s="43"/>
      <c r="F100" s="43"/>
      <c r="G100" s="43"/>
      <c r="H100" s="43"/>
      <c r="I100" s="43"/>
      <c r="J100" s="43"/>
      <c r="K100" s="45"/>
      <c r="L100" s="45"/>
      <c r="M100" s="45"/>
      <c r="N100" s="46"/>
      <c r="O100" s="46"/>
      <c r="P100" s="43"/>
      <c r="Q100" s="43"/>
      <c r="R100" s="43"/>
      <c r="S100" s="66"/>
      <c r="T100" s="46"/>
      <c r="U100" s="66"/>
      <c r="V100" s="45"/>
      <c r="W100" s="45"/>
      <c r="X100" s="45"/>
      <c r="Y100" s="43"/>
      <c r="Z100" s="43"/>
      <c r="AA100" s="46"/>
      <c r="AB100" s="45"/>
      <c r="AC100" s="46"/>
      <c r="AD100" s="43"/>
      <c r="AE100" s="43"/>
      <c r="AF100" s="43"/>
      <c r="AG100" s="43"/>
      <c r="AH100" s="43"/>
    </row>
    <row r="101" spans="2:34">
      <c r="B101" s="42"/>
      <c r="C101" s="42"/>
      <c r="D101" s="43"/>
      <c r="E101" s="43"/>
      <c r="F101" s="43"/>
      <c r="G101" s="43"/>
      <c r="H101" s="43"/>
      <c r="I101" s="43"/>
      <c r="J101" s="43"/>
      <c r="K101" s="45"/>
      <c r="L101" s="45"/>
      <c r="M101" s="45"/>
      <c r="N101" s="46"/>
      <c r="O101" s="46"/>
      <c r="P101" s="43"/>
      <c r="Q101" s="43"/>
      <c r="R101" s="43"/>
      <c r="S101" s="66"/>
      <c r="T101" s="46"/>
      <c r="U101" s="66"/>
      <c r="V101" s="45"/>
      <c r="W101" s="45"/>
      <c r="X101" s="45"/>
      <c r="Y101" s="43"/>
      <c r="Z101" s="43"/>
      <c r="AA101" s="46"/>
      <c r="AB101" s="45"/>
      <c r="AC101" s="46"/>
      <c r="AD101" s="43"/>
      <c r="AE101" s="43"/>
      <c r="AF101" s="43"/>
      <c r="AG101" s="43"/>
      <c r="AH101" s="43"/>
    </row>
    <row r="102" spans="2:34">
      <c r="B102" s="42"/>
      <c r="C102" s="42"/>
      <c r="D102" s="43"/>
      <c r="E102" s="43"/>
      <c r="F102" s="43"/>
      <c r="G102" s="43"/>
      <c r="H102" s="43"/>
      <c r="I102" s="43"/>
      <c r="J102" s="43"/>
      <c r="K102" s="45"/>
      <c r="L102" s="45"/>
      <c r="M102" s="45"/>
      <c r="N102" s="46"/>
      <c r="O102" s="46"/>
      <c r="P102" s="43"/>
      <c r="Q102" s="43"/>
      <c r="R102" s="43"/>
      <c r="S102" s="66"/>
      <c r="T102" s="46"/>
      <c r="U102" s="66"/>
      <c r="V102" s="45"/>
      <c r="W102" s="45"/>
      <c r="X102" s="45"/>
      <c r="Y102" s="43"/>
      <c r="Z102" s="43"/>
      <c r="AA102" s="46"/>
      <c r="AB102" s="45"/>
      <c r="AC102" s="46"/>
      <c r="AD102" s="43"/>
      <c r="AE102" s="43"/>
      <c r="AF102" s="43"/>
      <c r="AG102" s="43"/>
      <c r="AH102" s="43"/>
    </row>
    <row r="103" spans="2:34">
      <c r="B103" s="42"/>
      <c r="C103" s="42"/>
      <c r="D103" s="43"/>
      <c r="E103" s="43"/>
      <c r="F103" s="43"/>
      <c r="G103" s="43"/>
      <c r="H103" s="43"/>
      <c r="I103" s="43"/>
      <c r="J103" s="43"/>
      <c r="K103" s="45"/>
      <c r="L103" s="45"/>
      <c r="M103" s="45"/>
      <c r="N103" s="46"/>
      <c r="O103" s="46"/>
      <c r="P103" s="43"/>
      <c r="Q103" s="43"/>
      <c r="R103" s="43"/>
      <c r="S103" s="66"/>
      <c r="T103" s="46"/>
      <c r="U103" s="66"/>
      <c r="V103" s="45"/>
      <c r="W103" s="45"/>
      <c r="X103" s="45"/>
      <c r="Y103" s="43"/>
      <c r="Z103" s="43"/>
      <c r="AA103" s="46"/>
      <c r="AB103" s="45"/>
      <c r="AC103" s="46"/>
      <c r="AD103" s="43"/>
      <c r="AE103" s="43"/>
      <c r="AF103" s="43"/>
      <c r="AG103" s="43"/>
      <c r="AH103" s="43"/>
    </row>
    <row r="104" spans="2:34">
      <c r="B104" s="42"/>
      <c r="C104" s="42"/>
      <c r="D104" s="43"/>
      <c r="E104" s="43"/>
      <c r="F104" s="43"/>
      <c r="G104" s="43"/>
      <c r="H104" s="43"/>
      <c r="I104" s="43"/>
      <c r="J104" s="43"/>
      <c r="K104" s="45"/>
      <c r="L104" s="45"/>
      <c r="M104" s="45"/>
      <c r="N104" s="46"/>
      <c r="O104" s="46"/>
      <c r="P104" s="43"/>
      <c r="Q104" s="43"/>
      <c r="R104" s="43"/>
      <c r="S104" s="66"/>
      <c r="T104" s="46"/>
      <c r="U104" s="66"/>
      <c r="V104" s="45"/>
      <c r="W104" s="45"/>
      <c r="X104" s="45"/>
      <c r="Y104" s="43"/>
      <c r="Z104" s="43"/>
      <c r="AA104" s="46"/>
      <c r="AB104" s="45"/>
      <c r="AC104" s="46"/>
      <c r="AD104" s="43"/>
      <c r="AE104" s="43"/>
      <c r="AF104" s="43"/>
      <c r="AG104" s="43"/>
      <c r="AH104" s="43"/>
    </row>
    <row r="105" spans="2:34">
      <c r="B105" s="42"/>
      <c r="C105" s="42"/>
      <c r="D105" s="43"/>
      <c r="E105" s="43"/>
      <c r="F105" s="43"/>
      <c r="G105" s="43"/>
      <c r="H105" s="43"/>
      <c r="I105" s="43"/>
      <c r="J105" s="43"/>
      <c r="K105" s="45"/>
      <c r="L105" s="45"/>
      <c r="M105" s="45"/>
      <c r="N105" s="46"/>
      <c r="O105" s="46"/>
      <c r="P105" s="43"/>
      <c r="Q105" s="43"/>
      <c r="R105" s="43"/>
      <c r="S105" s="66"/>
      <c r="T105" s="46"/>
      <c r="U105" s="66"/>
      <c r="V105" s="45"/>
      <c r="W105" s="45"/>
      <c r="X105" s="45"/>
      <c r="Y105" s="43"/>
      <c r="Z105" s="43"/>
      <c r="AA105" s="46"/>
      <c r="AB105" s="45"/>
      <c r="AC105" s="46"/>
      <c r="AD105" s="43"/>
      <c r="AE105" s="43"/>
      <c r="AF105" s="43"/>
      <c r="AG105" s="43"/>
      <c r="AH105" s="43"/>
    </row>
    <row r="106" spans="2:34">
      <c r="B106" s="42"/>
      <c r="C106" s="42"/>
      <c r="D106" s="43"/>
      <c r="E106" s="43"/>
      <c r="F106" s="43"/>
      <c r="G106" s="43"/>
      <c r="H106" s="43"/>
      <c r="I106" s="43"/>
      <c r="J106" s="43"/>
      <c r="K106" s="45"/>
      <c r="L106" s="45"/>
      <c r="M106" s="45"/>
      <c r="N106" s="46"/>
      <c r="O106" s="46"/>
      <c r="P106" s="43"/>
      <c r="Q106" s="43"/>
      <c r="R106" s="43"/>
      <c r="S106" s="66"/>
      <c r="T106" s="46"/>
      <c r="U106" s="66"/>
      <c r="V106" s="45"/>
      <c r="W106" s="45"/>
      <c r="X106" s="45"/>
      <c r="Y106" s="43"/>
      <c r="Z106" s="43"/>
      <c r="AA106" s="46"/>
      <c r="AB106" s="45"/>
      <c r="AC106" s="46"/>
      <c r="AD106" s="43"/>
      <c r="AE106" s="43"/>
      <c r="AF106" s="43"/>
      <c r="AG106" s="43"/>
      <c r="AH106" s="43"/>
    </row>
    <row r="107" spans="2:34">
      <c r="B107" s="42"/>
      <c r="C107" s="42"/>
      <c r="D107" s="43"/>
      <c r="E107" s="43"/>
      <c r="F107" s="43"/>
      <c r="G107" s="43"/>
      <c r="H107" s="43"/>
      <c r="I107" s="43"/>
      <c r="J107" s="43"/>
      <c r="K107" s="45"/>
      <c r="L107" s="45"/>
      <c r="M107" s="45"/>
      <c r="N107" s="46"/>
      <c r="O107" s="46"/>
      <c r="P107" s="43"/>
      <c r="Q107" s="43"/>
      <c r="R107" s="43"/>
      <c r="S107" s="66"/>
      <c r="T107" s="46"/>
      <c r="U107" s="66"/>
      <c r="V107" s="45"/>
      <c r="W107" s="45"/>
      <c r="X107" s="45"/>
      <c r="Y107" s="43"/>
      <c r="Z107" s="43"/>
      <c r="AA107" s="46"/>
      <c r="AB107" s="45"/>
      <c r="AC107" s="46"/>
      <c r="AD107" s="43"/>
      <c r="AE107" s="43"/>
      <c r="AF107" s="43"/>
      <c r="AG107" s="43"/>
      <c r="AH107" s="43"/>
    </row>
    <row r="108" spans="2:34">
      <c r="B108" s="42"/>
      <c r="C108" s="42"/>
      <c r="D108" s="43"/>
      <c r="E108" s="43"/>
      <c r="F108" s="43"/>
      <c r="G108" s="43"/>
      <c r="H108" s="43"/>
      <c r="I108" s="43"/>
      <c r="J108" s="43"/>
      <c r="K108" s="45"/>
      <c r="L108" s="45"/>
      <c r="M108" s="45"/>
      <c r="N108" s="46"/>
      <c r="O108" s="46"/>
      <c r="P108" s="43"/>
      <c r="Q108" s="43"/>
      <c r="R108" s="43"/>
      <c r="S108" s="66"/>
      <c r="T108" s="46"/>
      <c r="U108" s="66"/>
      <c r="V108" s="45"/>
      <c r="W108" s="45"/>
      <c r="X108" s="45"/>
      <c r="Y108" s="43"/>
      <c r="Z108" s="43"/>
      <c r="AA108" s="46"/>
      <c r="AB108" s="45"/>
      <c r="AC108" s="46"/>
      <c r="AD108" s="43"/>
      <c r="AE108" s="43"/>
      <c r="AF108" s="43"/>
      <c r="AG108" s="43"/>
      <c r="AH108" s="43"/>
    </row>
    <row r="109" spans="2:34">
      <c r="B109" s="42"/>
      <c r="C109" s="42"/>
      <c r="D109" s="43"/>
      <c r="E109" s="43"/>
      <c r="F109" s="43"/>
      <c r="G109" s="43"/>
      <c r="H109" s="43"/>
      <c r="I109" s="43"/>
      <c r="J109" s="43"/>
      <c r="K109" s="45"/>
      <c r="L109" s="45"/>
      <c r="M109" s="45"/>
      <c r="N109" s="46"/>
      <c r="O109" s="46"/>
      <c r="P109" s="43"/>
      <c r="Q109" s="43"/>
      <c r="R109" s="43"/>
      <c r="S109" s="66"/>
      <c r="T109" s="46"/>
      <c r="U109" s="66"/>
      <c r="V109" s="45"/>
      <c r="W109" s="45"/>
      <c r="X109" s="45"/>
      <c r="Y109" s="43"/>
      <c r="Z109" s="43"/>
      <c r="AA109" s="46"/>
      <c r="AB109" s="45"/>
      <c r="AC109" s="46"/>
      <c r="AD109" s="43"/>
      <c r="AE109" s="43"/>
      <c r="AF109" s="43"/>
      <c r="AG109" s="43"/>
      <c r="AH109" s="43"/>
    </row>
    <row r="110" spans="2:34">
      <c r="B110" s="42"/>
      <c r="C110" s="42"/>
      <c r="D110" s="43"/>
      <c r="E110" s="43"/>
      <c r="F110" s="43"/>
      <c r="G110" s="43"/>
      <c r="H110" s="43"/>
      <c r="I110" s="43"/>
      <c r="J110" s="43"/>
      <c r="K110" s="45"/>
      <c r="L110" s="45"/>
      <c r="M110" s="45"/>
      <c r="N110" s="46"/>
      <c r="O110" s="46"/>
      <c r="P110" s="43"/>
      <c r="Q110" s="43"/>
      <c r="R110" s="43"/>
      <c r="S110" s="66"/>
      <c r="T110" s="46"/>
      <c r="U110" s="66"/>
      <c r="V110" s="45"/>
      <c r="W110" s="45"/>
      <c r="X110" s="45"/>
      <c r="Y110" s="43"/>
      <c r="Z110" s="43"/>
      <c r="AA110" s="46"/>
      <c r="AB110" s="45"/>
      <c r="AC110" s="46"/>
      <c r="AD110" s="43"/>
      <c r="AE110" s="43"/>
      <c r="AF110" s="43"/>
      <c r="AG110" s="43"/>
      <c r="AH110" s="43"/>
    </row>
    <row r="111" spans="2:34">
      <c r="B111" s="42"/>
      <c r="C111" s="42"/>
      <c r="D111" s="43"/>
      <c r="E111" s="43"/>
      <c r="F111" s="43"/>
      <c r="G111" s="43"/>
      <c r="H111" s="43"/>
      <c r="I111" s="43"/>
      <c r="J111" s="43"/>
      <c r="K111" s="45"/>
      <c r="L111" s="45"/>
      <c r="M111" s="45"/>
      <c r="N111" s="46"/>
      <c r="O111" s="46"/>
      <c r="P111" s="43"/>
      <c r="Q111" s="43"/>
      <c r="R111" s="43"/>
      <c r="S111" s="66"/>
      <c r="T111" s="46"/>
      <c r="U111" s="66"/>
      <c r="V111" s="45"/>
      <c r="W111" s="45"/>
      <c r="X111" s="45"/>
      <c r="Y111" s="43"/>
      <c r="Z111" s="43"/>
      <c r="AA111" s="46"/>
      <c r="AB111" s="45"/>
      <c r="AC111" s="46"/>
      <c r="AD111" s="43"/>
      <c r="AE111" s="43"/>
      <c r="AF111" s="43"/>
      <c r="AG111" s="43"/>
      <c r="AH111" s="43"/>
    </row>
    <row r="112" spans="2:34">
      <c r="B112" s="42"/>
      <c r="C112" s="42"/>
      <c r="D112" s="43"/>
      <c r="E112" s="43"/>
      <c r="F112" s="43"/>
      <c r="G112" s="43"/>
      <c r="H112" s="43"/>
      <c r="I112" s="43"/>
      <c r="J112" s="43"/>
      <c r="K112" s="45"/>
      <c r="L112" s="45"/>
      <c r="M112" s="45"/>
      <c r="N112" s="46"/>
      <c r="O112" s="46"/>
      <c r="P112" s="43"/>
      <c r="Q112" s="43"/>
      <c r="R112" s="43"/>
      <c r="S112" s="66"/>
      <c r="T112" s="46"/>
      <c r="U112" s="66"/>
      <c r="V112" s="45"/>
      <c r="W112" s="45"/>
      <c r="X112" s="45"/>
      <c r="Y112" s="43"/>
      <c r="Z112" s="43"/>
      <c r="AA112" s="46"/>
      <c r="AB112" s="45"/>
      <c r="AC112" s="46"/>
      <c r="AD112" s="43"/>
      <c r="AE112" s="43"/>
      <c r="AF112" s="43"/>
      <c r="AG112" s="43"/>
      <c r="AH112" s="43"/>
    </row>
    <row r="113" spans="2:34">
      <c r="B113" s="42"/>
      <c r="C113" s="42"/>
      <c r="D113" s="43"/>
      <c r="E113" s="43"/>
      <c r="F113" s="43"/>
      <c r="G113" s="43"/>
      <c r="H113" s="43"/>
      <c r="I113" s="43"/>
      <c r="J113" s="43"/>
      <c r="K113" s="45"/>
      <c r="L113" s="45"/>
      <c r="M113" s="45"/>
      <c r="N113" s="46"/>
      <c r="O113" s="46"/>
      <c r="P113" s="43"/>
      <c r="Q113" s="43"/>
      <c r="R113" s="43"/>
      <c r="S113" s="66"/>
      <c r="T113" s="46"/>
      <c r="U113" s="66"/>
      <c r="V113" s="45"/>
      <c r="W113" s="45"/>
      <c r="X113" s="45"/>
      <c r="Y113" s="43"/>
      <c r="Z113" s="43"/>
      <c r="AA113" s="46"/>
      <c r="AB113" s="45"/>
      <c r="AC113" s="46"/>
      <c r="AD113" s="43"/>
      <c r="AE113" s="43"/>
      <c r="AF113" s="43"/>
      <c r="AG113" s="43"/>
      <c r="AH113" s="43"/>
    </row>
    <row r="114" spans="2:34">
      <c r="B114" s="42"/>
      <c r="C114" s="42"/>
      <c r="D114" s="43"/>
      <c r="E114" s="43"/>
      <c r="F114" s="43"/>
      <c r="G114" s="43"/>
      <c r="H114" s="43"/>
      <c r="I114" s="43"/>
      <c r="J114" s="43"/>
      <c r="K114" s="45"/>
      <c r="L114" s="45"/>
      <c r="M114" s="45"/>
      <c r="N114" s="46"/>
      <c r="O114" s="46"/>
      <c r="P114" s="43"/>
      <c r="Q114" s="43"/>
      <c r="R114" s="43"/>
      <c r="S114" s="66"/>
      <c r="T114" s="46"/>
      <c r="U114" s="66"/>
      <c r="V114" s="45"/>
      <c r="W114" s="45"/>
      <c r="X114" s="45"/>
      <c r="Y114" s="43"/>
      <c r="Z114" s="43"/>
      <c r="AA114" s="46"/>
      <c r="AB114" s="45"/>
      <c r="AC114" s="46"/>
      <c r="AD114" s="43"/>
      <c r="AE114" s="43"/>
      <c r="AF114" s="43"/>
      <c r="AG114" s="43"/>
      <c r="AH114" s="43"/>
    </row>
    <row r="115" spans="2:34">
      <c r="B115" s="42"/>
      <c r="C115" s="42"/>
      <c r="D115" s="43"/>
      <c r="E115" s="43"/>
      <c r="F115" s="43"/>
      <c r="G115" s="43"/>
      <c r="H115" s="43"/>
      <c r="I115" s="43"/>
      <c r="J115" s="43"/>
      <c r="K115" s="45"/>
      <c r="L115" s="45"/>
      <c r="M115" s="45"/>
      <c r="N115" s="46"/>
      <c r="O115" s="46"/>
      <c r="P115" s="43"/>
      <c r="Q115" s="43"/>
      <c r="R115" s="43"/>
      <c r="S115" s="66"/>
      <c r="T115" s="46"/>
      <c r="U115" s="66"/>
      <c r="V115" s="45"/>
      <c r="W115" s="45"/>
      <c r="X115" s="45"/>
      <c r="Y115" s="43"/>
      <c r="Z115" s="43"/>
      <c r="AA115" s="46"/>
      <c r="AB115" s="45"/>
      <c r="AC115" s="46"/>
      <c r="AD115" s="43"/>
      <c r="AE115" s="43"/>
      <c r="AF115" s="43"/>
      <c r="AG115" s="43"/>
      <c r="AH115" s="43"/>
    </row>
    <row r="116" spans="2:34">
      <c r="B116" s="42"/>
      <c r="C116" s="42"/>
      <c r="D116" s="43"/>
      <c r="E116" s="43"/>
      <c r="F116" s="43"/>
      <c r="G116" s="43"/>
      <c r="H116" s="43"/>
      <c r="I116" s="43"/>
      <c r="J116" s="43"/>
      <c r="K116" s="45"/>
      <c r="L116" s="45"/>
      <c r="M116" s="45"/>
      <c r="N116" s="46"/>
      <c r="O116" s="46"/>
      <c r="P116" s="43"/>
      <c r="Q116" s="43"/>
      <c r="R116" s="43"/>
      <c r="S116" s="66"/>
      <c r="T116" s="46"/>
      <c r="U116" s="66"/>
      <c r="V116" s="45"/>
      <c r="W116" s="45"/>
      <c r="X116" s="45"/>
      <c r="Y116" s="43"/>
      <c r="Z116" s="43"/>
      <c r="AA116" s="46"/>
      <c r="AB116" s="45"/>
      <c r="AC116" s="46"/>
      <c r="AD116" s="43"/>
      <c r="AE116" s="43"/>
      <c r="AF116" s="43"/>
      <c r="AG116" s="43"/>
      <c r="AH116" s="43"/>
    </row>
    <row r="117" spans="2:34">
      <c r="B117" s="42"/>
      <c r="C117" s="42"/>
      <c r="D117" s="43"/>
      <c r="E117" s="43"/>
      <c r="F117" s="43"/>
      <c r="G117" s="43"/>
      <c r="H117" s="43"/>
      <c r="I117" s="43"/>
      <c r="J117" s="43"/>
      <c r="K117" s="45"/>
      <c r="L117" s="45"/>
      <c r="M117" s="45"/>
      <c r="N117" s="46"/>
      <c r="O117" s="46"/>
      <c r="P117" s="43"/>
      <c r="Q117" s="43"/>
      <c r="R117" s="43"/>
      <c r="S117" s="66"/>
      <c r="T117" s="46"/>
      <c r="U117" s="66"/>
      <c r="V117" s="45"/>
      <c r="W117" s="45"/>
      <c r="X117" s="45"/>
      <c r="Y117" s="43"/>
      <c r="Z117" s="43"/>
      <c r="AA117" s="46"/>
      <c r="AB117" s="45"/>
      <c r="AC117" s="46"/>
      <c r="AD117" s="43"/>
      <c r="AE117" s="43"/>
      <c r="AF117" s="43"/>
      <c r="AG117" s="43"/>
      <c r="AH117" s="43"/>
    </row>
    <row r="118" spans="2:34">
      <c r="B118" s="42"/>
      <c r="C118" s="42"/>
      <c r="D118" s="43"/>
      <c r="E118" s="43"/>
      <c r="F118" s="43"/>
      <c r="G118" s="43"/>
      <c r="H118" s="43"/>
      <c r="I118" s="43"/>
      <c r="J118" s="43"/>
      <c r="K118" s="45"/>
      <c r="L118" s="45"/>
      <c r="M118" s="45"/>
      <c r="N118" s="46"/>
      <c r="O118" s="46"/>
      <c r="P118" s="43"/>
      <c r="Q118" s="43"/>
      <c r="R118" s="43"/>
      <c r="S118" s="66"/>
      <c r="T118" s="46"/>
      <c r="U118" s="66"/>
      <c r="V118" s="45"/>
      <c r="W118" s="45"/>
      <c r="X118" s="45"/>
      <c r="Y118" s="43"/>
      <c r="Z118" s="43"/>
      <c r="AA118" s="46"/>
      <c r="AB118" s="45"/>
      <c r="AC118" s="46"/>
      <c r="AD118" s="43"/>
      <c r="AE118" s="43"/>
      <c r="AF118" s="43"/>
      <c r="AG118" s="43"/>
      <c r="AH118" s="43"/>
    </row>
    <row r="119" spans="2:34">
      <c r="B119" s="42"/>
      <c r="C119" s="42"/>
      <c r="D119" s="43"/>
      <c r="E119" s="43"/>
      <c r="F119" s="43"/>
      <c r="G119" s="43"/>
      <c r="H119" s="43"/>
      <c r="I119" s="43"/>
      <c r="J119" s="43"/>
      <c r="K119" s="45"/>
      <c r="L119" s="45"/>
      <c r="M119" s="45"/>
      <c r="N119" s="46"/>
      <c r="O119" s="46"/>
      <c r="P119" s="43"/>
      <c r="Q119" s="43"/>
      <c r="R119" s="43"/>
      <c r="S119" s="66"/>
      <c r="T119" s="46"/>
      <c r="U119" s="66"/>
      <c r="V119" s="45"/>
      <c r="W119" s="45"/>
      <c r="X119" s="45"/>
      <c r="Y119" s="43"/>
      <c r="Z119" s="43"/>
      <c r="AA119" s="46"/>
      <c r="AB119" s="45"/>
      <c r="AC119" s="46"/>
      <c r="AD119" s="43"/>
      <c r="AE119" s="43"/>
      <c r="AF119" s="43"/>
      <c r="AG119" s="43"/>
      <c r="AH119" s="43"/>
    </row>
    <row r="120" spans="2:34">
      <c r="B120" s="42"/>
      <c r="C120" s="42"/>
      <c r="D120" s="43"/>
      <c r="E120" s="43"/>
      <c r="F120" s="43"/>
      <c r="G120" s="43"/>
      <c r="H120" s="43"/>
      <c r="I120" s="43"/>
      <c r="J120" s="43"/>
      <c r="K120" s="45"/>
      <c r="L120" s="45"/>
      <c r="M120" s="45"/>
      <c r="N120" s="46"/>
      <c r="O120" s="46"/>
      <c r="P120" s="43"/>
      <c r="Q120" s="43"/>
      <c r="R120" s="43"/>
      <c r="S120" s="66"/>
      <c r="T120" s="46"/>
      <c r="U120" s="66"/>
      <c r="V120" s="45"/>
      <c r="W120" s="45"/>
      <c r="X120" s="45"/>
      <c r="Y120" s="43"/>
      <c r="Z120" s="43"/>
      <c r="AA120" s="46"/>
      <c r="AB120" s="45"/>
      <c r="AC120" s="46"/>
      <c r="AD120" s="43"/>
      <c r="AE120" s="43"/>
      <c r="AF120" s="43"/>
      <c r="AG120" s="43"/>
      <c r="AH120" s="43"/>
    </row>
    <row r="121" spans="2:34">
      <c r="B121" s="42"/>
      <c r="C121" s="42"/>
      <c r="D121" s="43"/>
      <c r="E121" s="43"/>
      <c r="F121" s="43"/>
      <c r="G121" s="43"/>
      <c r="H121" s="43"/>
      <c r="I121" s="43"/>
      <c r="J121" s="43"/>
      <c r="K121" s="45"/>
      <c r="L121" s="45"/>
      <c r="M121" s="45"/>
      <c r="N121" s="46"/>
      <c r="O121" s="46"/>
      <c r="P121" s="43"/>
      <c r="Q121" s="43"/>
      <c r="R121" s="43"/>
      <c r="S121" s="66"/>
      <c r="T121" s="46"/>
      <c r="U121" s="66"/>
      <c r="V121" s="45"/>
      <c r="W121" s="45"/>
      <c r="X121" s="45"/>
      <c r="Y121" s="43"/>
      <c r="Z121" s="43"/>
      <c r="AA121" s="46"/>
      <c r="AB121" s="45"/>
      <c r="AC121" s="46"/>
      <c r="AD121" s="43"/>
      <c r="AE121" s="43"/>
      <c r="AF121" s="43"/>
      <c r="AG121" s="43"/>
      <c r="AH121" s="43"/>
    </row>
    <row r="122" spans="2:34">
      <c r="B122" s="42"/>
      <c r="C122" s="42"/>
      <c r="D122" s="43"/>
      <c r="E122" s="43"/>
      <c r="F122" s="43"/>
      <c r="G122" s="43"/>
      <c r="H122" s="43"/>
      <c r="I122" s="43"/>
      <c r="J122" s="43"/>
      <c r="K122" s="45"/>
      <c r="L122" s="45"/>
      <c r="M122" s="45"/>
      <c r="N122" s="46"/>
      <c r="O122" s="46"/>
      <c r="P122" s="43"/>
      <c r="Q122" s="43"/>
      <c r="R122" s="43"/>
      <c r="S122" s="66"/>
      <c r="T122" s="46"/>
      <c r="U122" s="66"/>
      <c r="V122" s="45"/>
      <c r="W122" s="45"/>
      <c r="X122" s="45"/>
      <c r="Y122" s="43"/>
      <c r="Z122" s="43"/>
      <c r="AA122" s="46"/>
      <c r="AB122" s="45"/>
      <c r="AC122" s="46"/>
      <c r="AD122" s="43"/>
      <c r="AE122" s="43"/>
      <c r="AF122" s="43"/>
      <c r="AG122" s="43"/>
      <c r="AH122" s="43"/>
    </row>
    <row r="123" spans="2:34">
      <c r="B123" s="42"/>
      <c r="C123" s="42"/>
      <c r="D123" s="43"/>
      <c r="E123" s="43"/>
      <c r="F123" s="43"/>
      <c r="G123" s="43"/>
      <c r="H123" s="43"/>
      <c r="I123" s="43"/>
      <c r="J123" s="43"/>
      <c r="K123" s="45"/>
      <c r="L123" s="45"/>
      <c r="M123" s="45"/>
      <c r="N123" s="46"/>
      <c r="O123" s="46"/>
      <c r="P123" s="43"/>
      <c r="Q123" s="43"/>
      <c r="R123" s="43"/>
      <c r="S123" s="66"/>
      <c r="T123" s="46"/>
      <c r="U123" s="66"/>
      <c r="V123" s="45"/>
      <c r="W123" s="45"/>
      <c r="X123" s="45"/>
      <c r="Y123" s="43"/>
      <c r="Z123" s="43"/>
      <c r="AA123" s="46"/>
      <c r="AB123" s="45"/>
      <c r="AC123" s="46"/>
      <c r="AD123" s="43"/>
      <c r="AE123" s="43"/>
      <c r="AF123" s="43"/>
      <c r="AG123" s="43"/>
      <c r="AH123" s="43"/>
    </row>
    <row r="124" spans="2:34">
      <c r="B124" s="42"/>
      <c r="C124" s="42"/>
      <c r="D124" s="43"/>
      <c r="E124" s="43"/>
      <c r="F124" s="43"/>
      <c r="G124" s="43"/>
      <c r="H124" s="43"/>
      <c r="I124" s="43"/>
      <c r="J124" s="43"/>
      <c r="K124" s="45"/>
      <c r="L124" s="45"/>
      <c r="M124" s="45"/>
      <c r="N124" s="46"/>
      <c r="O124" s="46"/>
      <c r="P124" s="43"/>
      <c r="Q124" s="43"/>
      <c r="R124" s="43"/>
      <c r="S124" s="66"/>
      <c r="T124" s="46"/>
      <c r="U124" s="66"/>
      <c r="V124" s="45"/>
      <c r="W124" s="45"/>
      <c r="X124" s="45"/>
      <c r="Y124" s="43"/>
      <c r="Z124" s="43"/>
      <c r="AA124" s="46"/>
      <c r="AB124" s="45"/>
      <c r="AC124" s="46"/>
      <c r="AD124" s="43"/>
      <c r="AE124" s="43"/>
      <c r="AF124" s="43"/>
      <c r="AG124" s="43"/>
      <c r="AH124" s="43"/>
    </row>
    <row r="125" spans="2:34">
      <c r="B125" s="42"/>
      <c r="C125" s="42"/>
      <c r="D125" s="43"/>
      <c r="E125" s="43"/>
      <c r="F125" s="43"/>
      <c r="G125" s="43"/>
      <c r="H125" s="43"/>
      <c r="I125" s="43"/>
      <c r="J125" s="43"/>
      <c r="K125" s="45"/>
      <c r="L125" s="45"/>
      <c r="M125" s="45"/>
      <c r="N125" s="46"/>
      <c r="O125" s="46"/>
      <c r="P125" s="43"/>
      <c r="Q125" s="43"/>
      <c r="R125" s="43"/>
      <c r="S125" s="66"/>
      <c r="T125" s="46"/>
      <c r="U125" s="66"/>
      <c r="V125" s="45"/>
      <c r="W125" s="45"/>
      <c r="X125" s="45"/>
      <c r="Y125" s="43"/>
      <c r="Z125" s="43"/>
      <c r="AA125" s="46"/>
      <c r="AB125" s="45"/>
      <c r="AC125" s="46"/>
      <c r="AD125" s="43"/>
      <c r="AE125" s="43"/>
      <c r="AF125" s="43"/>
      <c r="AG125" s="43"/>
      <c r="AH125" s="43"/>
    </row>
    <row r="126" spans="2:34">
      <c r="B126" s="42"/>
      <c r="C126" s="42"/>
      <c r="D126" s="43"/>
      <c r="E126" s="43"/>
      <c r="F126" s="43"/>
      <c r="G126" s="43"/>
      <c r="H126" s="43"/>
      <c r="I126" s="43"/>
      <c r="J126" s="43"/>
      <c r="K126" s="45"/>
      <c r="L126" s="45"/>
      <c r="M126" s="45"/>
      <c r="N126" s="46"/>
      <c r="O126" s="46"/>
      <c r="P126" s="43"/>
      <c r="Q126" s="43"/>
      <c r="R126" s="43"/>
      <c r="S126" s="66"/>
      <c r="T126" s="46"/>
      <c r="U126" s="66"/>
      <c r="V126" s="45"/>
      <c r="W126" s="45"/>
      <c r="X126" s="45"/>
      <c r="Y126" s="43"/>
      <c r="Z126" s="43"/>
      <c r="AA126" s="46"/>
      <c r="AB126" s="45"/>
      <c r="AC126" s="46"/>
      <c r="AD126" s="43"/>
      <c r="AE126" s="43"/>
      <c r="AF126" s="43"/>
      <c r="AG126" s="43"/>
      <c r="AH126" s="43"/>
    </row>
    <row r="127" spans="2:34">
      <c r="B127" s="42"/>
      <c r="C127" s="42"/>
      <c r="D127" s="43"/>
      <c r="E127" s="43"/>
      <c r="F127" s="43"/>
      <c r="G127" s="43"/>
      <c r="H127" s="43"/>
      <c r="I127" s="43"/>
      <c r="J127" s="43"/>
      <c r="K127" s="45"/>
      <c r="L127" s="45"/>
      <c r="M127" s="45"/>
      <c r="N127" s="46"/>
      <c r="O127" s="46"/>
      <c r="P127" s="43"/>
      <c r="Q127" s="43"/>
      <c r="R127" s="43"/>
      <c r="S127" s="66"/>
      <c r="T127" s="46"/>
      <c r="U127" s="66"/>
      <c r="V127" s="45"/>
      <c r="W127" s="45"/>
      <c r="X127" s="45"/>
      <c r="Y127" s="43"/>
      <c r="Z127" s="43"/>
      <c r="AA127" s="46"/>
      <c r="AB127" s="45"/>
      <c r="AC127" s="46"/>
      <c r="AD127" s="43"/>
      <c r="AE127" s="43"/>
      <c r="AF127" s="43"/>
      <c r="AG127" s="43"/>
      <c r="AH127" s="43"/>
    </row>
    <row r="128" spans="2:34">
      <c r="B128" s="42"/>
      <c r="C128" s="42"/>
      <c r="D128" s="43"/>
      <c r="E128" s="43"/>
      <c r="F128" s="43"/>
      <c r="G128" s="43"/>
      <c r="H128" s="43"/>
      <c r="I128" s="43"/>
      <c r="J128" s="43"/>
      <c r="K128" s="45"/>
      <c r="L128" s="45"/>
      <c r="M128" s="45"/>
      <c r="N128" s="46"/>
      <c r="O128" s="46"/>
      <c r="P128" s="43"/>
      <c r="Q128" s="43"/>
      <c r="R128" s="43"/>
      <c r="S128" s="66"/>
      <c r="T128" s="46"/>
      <c r="U128" s="66"/>
      <c r="V128" s="45"/>
      <c r="W128" s="45"/>
      <c r="X128" s="45"/>
      <c r="Y128" s="43"/>
      <c r="Z128" s="43"/>
      <c r="AA128" s="46"/>
      <c r="AB128" s="45"/>
      <c r="AC128" s="46"/>
      <c r="AD128" s="43"/>
      <c r="AE128" s="43"/>
      <c r="AF128" s="43"/>
      <c r="AG128" s="43"/>
      <c r="AH128" s="43"/>
    </row>
    <row r="129" spans="2:34">
      <c r="B129" s="42"/>
      <c r="C129" s="42"/>
      <c r="D129" s="43"/>
      <c r="E129" s="43"/>
      <c r="F129" s="43"/>
      <c r="G129" s="43"/>
      <c r="H129" s="43"/>
      <c r="I129" s="43"/>
      <c r="J129" s="43"/>
      <c r="K129" s="45"/>
      <c r="L129" s="45"/>
      <c r="M129" s="45"/>
      <c r="N129" s="46"/>
      <c r="O129" s="46"/>
      <c r="P129" s="43"/>
      <c r="Q129" s="43"/>
      <c r="R129" s="43"/>
      <c r="S129" s="66"/>
      <c r="T129" s="46"/>
      <c r="U129" s="66"/>
      <c r="V129" s="45"/>
      <c r="W129" s="45"/>
      <c r="X129" s="45"/>
      <c r="Y129" s="43"/>
      <c r="Z129" s="43"/>
      <c r="AA129" s="46"/>
      <c r="AB129" s="45"/>
      <c r="AC129" s="46"/>
      <c r="AD129" s="43"/>
      <c r="AE129" s="43"/>
      <c r="AF129" s="43"/>
      <c r="AG129" s="43"/>
      <c r="AH129" s="43"/>
    </row>
    <row r="130" spans="2:34">
      <c r="B130" s="42"/>
      <c r="C130" s="42"/>
      <c r="D130" s="43"/>
      <c r="E130" s="43"/>
      <c r="F130" s="43"/>
      <c r="G130" s="43"/>
      <c r="H130" s="43"/>
      <c r="I130" s="43"/>
      <c r="J130" s="43"/>
      <c r="K130" s="45"/>
      <c r="L130" s="45"/>
      <c r="M130" s="45"/>
      <c r="N130" s="46"/>
      <c r="O130" s="46"/>
      <c r="P130" s="43"/>
      <c r="Q130" s="43"/>
      <c r="R130" s="43"/>
      <c r="S130" s="66"/>
      <c r="T130" s="46"/>
      <c r="U130" s="66"/>
      <c r="V130" s="45"/>
      <c r="W130" s="45"/>
      <c r="X130" s="45"/>
      <c r="Y130" s="43"/>
      <c r="Z130" s="43"/>
      <c r="AA130" s="46"/>
      <c r="AB130" s="45"/>
      <c r="AC130" s="46"/>
      <c r="AD130" s="43"/>
      <c r="AE130" s="43"/>
      <c r="AF130" s="43"/>
      <c r="AG130" s="43"/>
      <c r="AH130" s="43"/>
    </row>
    <row r="131" spans="2:34">
      <c r="B131" s="42"/>
      <c r="C131" s="42"/>
      <c r="D131" s="43"/>
      <c r="E131" s="43"/>
      <c r="F131" s="43"/>
      <c r="G131" s="43"/>
      <c r="H131" s="43"/>
      <c r="I131" s="43"/>
      <c r="J131" s="43"/>
      <c r="K131" s="45"/>
      <c r="L131" s="45"/>
      <c r="M131" s="45"/>
      <c r="N131" s="46"/>
      <c r="O131" s="46"/>
      <c r="P131" s="43"/>
      <c r="Q131" s="43"/>
      <c r="R131" s="43"/>
      <c r="S131" s="66"/>
      <c r="T131" s="46"/>
      <c r="U131" s="66"/>
      <c r="V131" s="45"/>
      <c r="W131" s="45"/>
      <c r="X131" s="45"/>
      <c r="Y131" s="43"/>
      <c r="Z131" s="43"/>
      <c r="AA131" s="46"/>
      <c r="AB131" s="45"/>
      <c r="AC131" s="46"/>
      <c r="AD131" s="43"/>
      <c r="AE131" s="43"/>
      <c r="AF131" s="43"/>
      <c r="AG131" s="43"/>
      <c r="AH131" s="43"/>
    </row>
    <row r="132" spans="2:34">
      <c r="B132" s="42"/>
      <c r="C132" s="42"/>
      <c r="D132" s="43"/>
      <c r="E132" s="43"/>
      <c r="F132" s="43"/>
      <c r="G132" s="43"/>
      <c r="H132" s="43"/>
      <c r="I132" s="43"/>
      <c r="J132" s="43"/>
      <c r="K132" s="45"/>
      <c r="L132" s="45"/>
      <c r="M132" s="45"/>
      <c r="N132" s="46"/>
      <c r="O132" s="46"/>
      <c r="P132" s="43"/>
      <c r="Q132" s="43"/>
      <c r="R132" s="43"/>
      <c r="S132" s="66"/>
      <c r="T132" s="46"/>
      <c r="U132" s="66"/>
      <c r="V132" s="45"/>
      <c r="W132" s="45"/>
      <c r="X132" s="45"/>
      <c r="Y132" s="43"/>
      <c r="Z132" s="43"/>
      <c r="AA132" s="46"/>
      <c r="AB132" s="45"/>
      <c r="AC132" s="46"/>
      <c r="AD132" s="43"/>
      <c r="AE132" s="43"/>
      <c r="AF132" s="43"/>
      <c r="AG132" s="43"/>
      <c r="AH132" s="43"/>
    </row>
    <row r="133" spans="2:34">
      <c r="B133" s="42"/>
      <c r="C133" s="42"/>
      <c r="D133" s="43"/>
      <c r="E133" s="43"/>
      <c r="F133" s="43"/>
      <c r="G133" s="43"/>
      <c r="H133" s="43"/>
      <c r="I133" s="43"/>
      <c r="J133" s="43"/>
      <c r="K133" s="45"/>
      <c r="L133" s="45"/>
      <c r="M133" s="45"/>
      <c r="N133" s="46"/>
      <c r="O133" s="46"/>
      <c r="P133" s="43"/>
      <c r="Q133" s="43"/>
      <c r="R133" s="43"/>
      <c r="S133" s="66"/>
      <c r="T133" s="46"/>
      <c r="U133" s="66"/>
      <c r="V133" s="45"/>
      <c r="W133" s="45"/>
      <c r="X133" s="45"/>
      <c r="Y133" s="43"/>
      <c r="Z133" s="43"/>
      <c r="AA133" s="46"/>
      <c r="AB133" s="45"/>
      <c r="AC133" s="46"/>
      <c r="AD133" s="43"/>
      <c r="AE133" s="43"/>
      <c r="AF133" s="43"/>
      <c r="AG133" s="43"/>
      <c r="AH133" s="43"/>
    </row>
    <row r="134" spans="2:34">
      <c r="B134" s="42"/>
      <c r="C134" s="42"/>
      <c r="D134" s="43"/>
      <c r="E134" s="43"/>
      <c r="F134" s="43"/>
      <c r="G134" s="43"/>
      <c r="H134" s="43"/>
      <c r="I134" s="43"/>
      <c r="J134" s="43"/>
      <c r="K134" s="45"/>
      <c r="L134" s="45"/>
      <c r="M134" s="45"/>
      <c r="N134" s="46"/>
      <c r="O134" s="46"/>
      <c r="P134" s="43"/>
      <c r="Q134" s="43"/>
      <c r="R134" s="43"/>
      <c r="S134" s="66"/>
      <c r="T134" s="46"/>
      <c r="U134" s="66"/>
      <c r="V134" s="45"/>
      <c r="W134" s="45"/>
      <c r="X134" s="45"/>
      <c r="Y134" s="43"/>
      <c r="Z134" s="43"/>
      <c r="AA134" s="46"/>
      <c r="AB134" s="45"/>
      <c r="AC134" s="46"/>
      <c r="AD134" s="43"/>
      <c r="AE134" s="43"/>
      <c r="AF134" s="43"/>
      <c r="AG134" s="43"/>
      <c r="AH134" s="43"/>
    </row>
    <row r="135" spans="2:34">
      <c r="B135" s="42"/>
      <c r="C135" s="42"/>
      <c r="D135" s="43"/>
      <c r="E135" s="43"/>
      <c r="F135" s="43"/>
      <c r="G135" s="43"/>
      <c r="H135" s="43"/>
      <c r="I135" s="43"/>
      <c r="J135" s="43"/>
      <c r="K135" s="45"/>
      <c r="L135" s="45"/>
      <c r="M135" s="45"/>
      <c r="N135" s="46"/>
      <c r="O135" s="46"/>
      <c r="P135" s="43"/>
      <c r="Q135" s="43"/>
      <c r="R135" s="43"/>
      <c r="S135" s="66"/>
      <c r="T135" s="46"/>
      <c r="U135" s="66"/>
      <c r="V135" s="45"/>
      <c r="W135" s="45"/>
      <c r="X135" s="45"/>
      <c r="Y135" s="43"/>
      <c r="Z135" s="43"/>
      <c r="AA135" s="46"/>
      <c r="AB135" s="45"/>
      <c r="AC135" s="46"/>
      <c r="AD135" s="43"/>
      <c r="AE135" s="43"/>
      <c r="AF135" s="43"/>
      <c r="AG135" s="43"/>
      <c r="AH135" s="43"/>
    </row>
    <row r="136" spans="2:34">
      <c r="B136" s="42"/>
      <c r="C136" s="42"/>
      <c r="D136" s="43"/>
      <c r="E136" s="43"/>
      <c r="F136" s="43"/>
      <c r="G136" s="43"/>
      <c r="H136" s="43"/>
      <c r="I136" s="43"/>
      <c r="J136" s="43"/>
      <c r="K136" s="45"/>
      <c r="L136" s="45"/>
      <c r="M136" s="45"/>
      <c r="N136" s="46"/>
      <c r="O136" s="46"/>
      <c r="P136" s="43"/>
      <c r="Q136" s="43"/>
      <c r="R136" s="43"/>
      <c r="S136" s="66"/>
      <c r="T136" s="46"/>
      <c r="U136" s="66"/>
      <c r="V136" s="45"/>
      <c r="W136" s="45"/>
      <c r="X136" s="45"/>
      <c r="Y136" s="43"/>
      <c r="Z136" s="43"/>
      <c r="AA136" s="46"/>
      <c r="AB136" s="45"/>
      <c r="AC136" s="46"/>
      <c r="AD136" s="43"/>
      <c r="AE136" s="43"/>
      <c r="AF136" s="43"/>
      <c r="AG136" s="43"/>
      <c r="AH136" s="43"/>
    </row>
    <row r="137" spans="2:34">
      <c r="B137" s="42"/>
      <c r="C137" s="42"/>
      <c r="D137" s="43"/>
      <c r="E137" s="43"/>
      <c r="F137" s="43"/>
      <c r="G137" s="43"/>
      <c r="H137" s="43"/>
      <c r="I137" s="43"/>
      <c r="J137" s="43"/>
      <c r="K137" s="45"/>
      <c r="L137" s="45"/>
      <c r="M137" s="45"/>
      <c r="N137" s="46"/>
      <c r="O137" s="46"/>
      <c r="P137" s="43"/>
      <c r="Q137" s="43"/>
      <c r="R137" s="43"/>
      <c r="S137" s="66"/>
      <c r="T137" s="46"/>
      <c r="U137" s="66"/>
      <c r="V137" s="45"/>
      <c r="W137" s="45"/>
      <c r="X137" s="45"/>
      <c r="Y137" s="43"/>
      <c r="Z137" s="43"/>
      <c r="AA137" s="46"/>
      <c r="AB137" s="45"/>
      <c r="AC137" s="46"/>
      <c r="AD137" s="43"/>
      <c r="AE137" s="43"/>
      <c r="AF137" s="43"/>
      <c r="AG137" s="43"/>
      <c r="AH137" s="43"/>
    </row>
    <row r="138" spans="2:34">
      <c r="B138" s="42"/>
      <c r="C138" s="42"/>
      <c r="D138" s="43"/>
      <c r="E138" s="43"/>
      <c r="F138" s="43"/>
      <c r="G138" s="43"/>
      <c r="H138" s="43"/>
      <c r="I138" s="43"/>
      <c r="J138" s="43"/>
      <c r="K138" s="45"/>
      <c r="L138" s="45"/>
      <c r="M138" s="45"/>
      <c r="N138" s="46"/>
      <c r="O138" s="46"/>
      <c r="P138" s="43"/>
      <c r="Q138" s="43"/>
      <c r="R138" s="43"/>
      <c r="S138" s="66"/>
      <c r="T138" s="46"/>
      <c r="U138" s="66"/>
      <c r="V138" s="45"/>
      <c r="W138" s="45"/>
      <c r="X138" s="45"/>
      <c r="Y138" s="43"/>
      <c r="Z138" s="43"/>
      <c r="AA138" s="46"/>
      <c r="AB138" s="45"/>
      <c r="AC138" s="46"/>
      <c r="AD138" s="43"/>
      <c r="AE138" s="43"/>
      <c r="AF138" s="43"/>
      <c r="AG138" s="43"/>
      <c r="AH138" s="43"/>
    </row>
    <row r="139" spans="2:34">
      <c r="B139" s="42"/>
      <c r="C139" s="42"/>
      <c r="D139" s="43"/>
      <c r="E139" s="43"/>
      <c r="F139" s="43"/>
      <c r="G139" s="43"/>
      <c r="H139" s="43"/>
      <c r="I139" s="43"/>
      <c r="J139" s="43"/>
      <c r="K139" s="45"/>
      <c r="L139" s="45"/>
      <c r="M139" s="45"/>
      <c r="N139" s="46"/>
      <c r="O139" s="46"/>
      <c r="P139" s="43"/>
      <c r="Q139" s="43"/>
      <c r="R139" s="43"/>
      <c r="S139" s="66"/>
      <c r="T139" s="46"/>
      <c r="U139" s="66"/>
      <c r="V139" s="45"/>
      <c r="W139" s="45"/>
      <c r="X139" s="45"/>
      <c r="Y139" s="43"/>
      <c r="Z139" s="43"/>
      <c r="AA139" s="46"/>
      <c r="AB139" s="45"/>
      <c r="AC139" s="46"/>
      <c r="AD139" s="43"/>
      <c r="AE139" s="43"/>
      <c r="AF139" s="43"/>
      <c r="AG139" s="43"/>
      <c r="AH139" s="43"/>
    </row>
    <row r="140" spans="2:34">
      <c r="B140" s="42"/>
      <c r="C140" s="42"/>
      <c r="D140" s="43"/>
      <c r="E140" s="43"/>
      <c r="F140" s="43"/>
      <c r="G140" s="43"/>
      <c r="H140" s="43"/>
      <c r="I140" s="43"/>
      <c r="J140" s="43"/>
      <c r="K140" s="45"/>
      <c r="L140" s="45"/>
      <c r="M140" s="45"/>
      <c r="N140" s="46"/>
      <c r="O140" s="46"/>
      <c r="P140" s="43"/>
      <c r="Q140" s="43"/>
      <c r="R140" s="43"/>
      <c r="S140" s="66"/>
      <c r="T140" s="46"/>
      <c r="U140" s="66"/>
      <c r="V140" s="45"/>
      <c r="W140" s="45"/>
      <c r="X140" s="45"/>
      <c r="Y140" s="43"/>
      <c r="Z140" s="43"/>
      <c r="AA140" s="46"/>
      <c r="AB140" s="45"/>
      <c r="AC140" s="46"/>
      <c r="AD140" s="43"/>
      <c r="AE140" s="43"/>
      <c r="AF140" s="43"/>
      <c r="AG140" s="43"/>
      <c r="AH140" s="43"/>
    </row>
    <row r="141" spans="2:34">
      <c r="B141" s="42"/>
      <c r="C141" s="42"/>
      <c r="D141" s="43"/>
      <c r="E141" s="43"/>
      <c r="F141" s="43"/>
      <c r="G141" s="43"/>
      <c r="H141" s="43"/>
      <c r="I141" s="43"/>
      <c r="J141" s="43"/>
      <c r="K141" s="45"/>
      <c r="L141" s="45"/>
      <c r="M141" s="45"/>
      <c r="N141" s="46"/>
      <c r="O141" s="46"/>
      <c r="P141" s="43"/>
      <c r="Q141" s="43"/>
      <c r="R141" s="43"/>
      <c r="S141" s="66"/>
      <c r="T141" s="46"/>
      <c r="U141" s="66"/>
      <c r="V141" s="45"/>
      <c r="W141" s="45"/>
      <c r="X141" s="45"/>
      <c r="Y141" s="43"/>
      <c r="Z141" s="43"/>
      <c r="AA141" s="46"/>
      <c r="AB141" s="45"/>
      <c r="AC141" s="46"/>
      <c r="AD141" s="43"/>
      <c r="AE141" s="43"/>
      <c r="AF141" s="43"/>
      <c r="AG141" s="43"/>
      <c r="AH141" s="43"/>
    </row>
    <row r="142" spans="2:34">
      <c r="B142" s="42"/>
      <c r="C142" s="42"/>
      <c r="D142" s="43"/>
      <c r="E142" s="43"/>
      <c r="F142" s="43"/>
      <c r="G142" s="43"/>
      <c r="H142" s="43"/>
      <c r="I142" s="43"/>
      <c r="J142" s="43"/>
      <c r="K142" s="45"/>
      <c r="L142" s="45"/>
      <c r="M142" s="45"/>
      <c r="N142" s="46"/>
      <c r="O142" s="46"/>
      <c r="P142" s="43"/>
      <c r="Q142" s="43"/>
      <c r="R142" s="43"/>
      <c r="S142" s="66"/>
      <c r="T142" s="46"/>
      <c r="U142" s="66"/>
      <c r="V142" s="45"/>
      <c r="W142" s="45"/>
      <c r="X142" s="45"/>
      <c r="Y142" s="43"/>
      <c r="Z142" s="43"/>
      <c r="AA142" s="46"/>
      <c r="AB142" s="45"/>
      <c r="AC142" s="46"/>
      <c r="AD142" s="43"/>
      <c r="AE142" s="43"/>
      <c r="AF142" s="43"/>
      <c r="AG142" s="43"/>
      <c r="AH142" s="43"/>
    </row>
    <row r="143" spans="2:34">
      <c r="B143" s="42"/>
      <c r="C143" s="42"/>
      <c r="D143" s="43"/>
      <c r="E143" s="43"/>
      <c r="F143" s="43"/>
      <c r="G143" s="43"/>
      <c r="H143" s="43"/>
      <c r="I143" s="43"/>
      <c r="J143" s="43"/>
      <c r="K143" s="45"/>
      <c r="L143" s="45"/>
      <c r="M143" s="45"/>
      <c r="N143" s="46"/>
      <c r="O143" s="46"/>
      <c r="P143" s="43"/>
      <c r="Q143" s="43"/>
      <c r="R143" s="43"/>
      <c r="S143" s="66"/>
      <c r="T143" s="46"/>
      <c r="U143" s="66"/>
      <c r="V143" s="45"/>
      <c r="W143" s="45"/>
      <c r="X143" s="45"/>
      <c r="Y143" s="43"/>
      <c r="Z143" s="43"/>
      <c r="AA143" s="46"/>
      <c r="AB143" s="45"/>
      <c r="AC143" s="46"/>
      <c r="AD143" s="43"/>
      <c r="AE143" s="43"/>
      <c r="AF143" s="43"/>
      <c r="AG143" s="43"/>
      <c r="AH143" s="43"/>
    </row>
    <row r="144" spans="2:34">
      <c r="B144" s="42"/>
      <c r="C144" s="42"/>
      <c r="D144" s="43"/>
      <c r="E144" s="43"/>
      <c r="F144" s="43"/>
      <c r="G144" s="43"/>
      <c r="H144" s="43"/>
      <c r="I144" s="43"/>
      <c r="J144" s="43"/>
      <c r="K144" s="45"/>
      <c r="L144" s="45"/>
      <c r="M144" s="45"/>
      <c r="N144" s="46"/>
      <c r="O144" s="46"/>
      <c r="P144" s="43"/>
      <c r="Q144" s="43"/>
      <c r="R144" s="43"/>
      <c r="S144" s="66"/>
      <c r="T144" s="46"/>
      <c r="U144" s="66"/>
      <c r="V144" s="45"/>
      <c r="W144" s="45"/>
      <c r="X144" s="45"/>
      <c r="Y144" s="43"/>
      <c r="Z144" s="43"/>
      <c r="AA144" s="46"/>
      <c r="AB144" s="45"/>
      <c r="AC144" s="46"/>
      <c r="AD144" s="43"/>
      <c r="AE144" s="43"/>
      <c r="AF144" s="43"/>
      <c r="AG144" s="43"/>
      <c r="AH144" s="43"/>
    </row>
    <row r="145" spans="2:34">
      <c r="B145" s="42"/>
      <c r="C145" s="42"/>
      <c r="D145" s="43"/>
      <c r="E145" s="43"/>
      <c r="F145" s="43"/>
      <c r="G145" s="43"/>
      <c r="H145" s="43"/>
      <c r="I145" s="43"/>
      <c r="J145" s="43"/>
      <c r="K145" s="45"/>
      <c r="L145" s="45"/>
      <c r="M145" s="45"/>
      <c r="N145" s="46"/>
      <c r="O145" s="46"/>
      <c r="P145" s="43"/>
      <c r="Q145" s="43"/>
      <c r="R145" s="43"/>
      <c r="S145" s="66"/>
      <c r="T145" s="46"/>
      <c r="U145" s="66"/>
      <c r="V145" s="45"/>
      <c r="W145" s="45"/>
      <c r="X145" s="45"/>
      <c r="Y145" s="43"/>
      <c r="Z145" s="43"/>
      <c r="AA145" s="46"/>
      <c r="AB145" s="45"/>
      <c r="AC145" s="46"/>
      <c r="AD145" s="43"/>
      <c r="AE145" s="43"/>
      <c r="AF145" s="43"/>
      <c r="AG145" s="43"/>
      <c r="AH145" s="43"/>
    </row>
    <row r="146" spans="2:34">
      <c r="B146" s="42"/>
      <c r="C146" s="42"/>
      <c r="D146" s="43"/>
      <c r="E146" s="43"/>
      <c r="F146" s="43"/>
      <c r="G146" s="43"/>
      <c r="H146" s="43"/>
      <c r="I146" s="43"/>
      <c r="J146" s="43"/>
      <c r="K146" s="45"/>
      <c r="L146" s="45"/>
      <c r="M146" s="45"/>
      <c r="N146" s="46"/>
      <c r="O146" s="46"/>
      <c r="P146" s="43"/>
      <c r="Q146" s="43"/>
      <c r="R146" s="43"/>
      <c r="S146" s="66"/>
      <c r="T146" s="46"/>
      <c r="U146" s="66"/>
      <c r="V146" s="45"/>
      <c r="W146" s="45"/>
      <c r="X146" s="45"/>
      <c r="Y146" s="43"/>
      <c r="Z146" s="43"/>
      <c r="AA146" s="46"/>
      <c r="AB146" s="45"/>
      <c r="AC146" s="46"/>
      <c r="AD146" s="43"/>
      <c r="AE146" s="43"/>
      <c r="AF146" s="43"/>
      <c r="AG146" s="43"/>
      <c r="AH146" s="43"/>
    </row>
    <row r="147" spans="2:34">
      <c r="B147" s="42"/>
      <c r="C147" s="42"/>
      <c r="D147" s="43"/>
      <c r="E147" s="43"/>
      <c r="F147" s="43"/>
      <c r="G147" s="43"/>
      <c r="H147" s="43"/>
      <c r="I147" s="43"/>
      <c r="J147" s="43"/>
      <c r="K147" s="45"/>
      <c r="L147" s="45"/>
      <c r="M147" s="45"/>
      <c r="N147" s="46"/>
      <c r="O147" s="46"/>
      <c r="P147" s="43"/>
      <c r="Q147" s="43"/>
      <c r="R147" s="43"/>
      <c r="S147" s="66"/>
      <c r="T147" s="46"/>
      <c r="U147" s="66"/>
      <c r="V147" s="45"/>
      <c r="W147" s="45"/>
      <c r="X147" s="45"/>
      <c r="Y147" s="43"/>
      <c r="Z147" s="43"/>
      <c r="AA147" s="46"/>
      <c r="AB147" s="45"/>
      <c r="AC147" s="46"/>
      <c r="AD147" s="43"/>
      <c r="AE147" s="43"/>
      <c r="AF147" s="43"/>
      <c r="AG147" s="43"/>
      <c r="AH147" s="43"/>
    </row>
    <row r="148" spans="2:34">
      <c r="B148" s="42"/>
      <c r="C148" s="42"/>
      <c r="D148" s="43"/>
      <c r="E148" s="43"/>
      <c r="F148" s="43"/>
      <c r="G148" s="43"/>
      <c r="H148" s="43"/>
      <c r="I148" s="43"/>
      <c r="J148" s="43"/>
      <c r="K148" s="45"/>
      <c r="L148" s="45"/>
      <c r="M148" s="45"/>
      <c r="N148" s="46"/>
      <c r="O148" s="46"/>
      <c r="P148" s="43"/>
      <c r="Q148" s="43"/>
      <c r="R148" s="43"/>
      <c r="S148" s="66"/>
      <c r="T148" s="46"/>
      <c r="U148" s="66"/>
      <c r="V148" s="45"/>
      <c r="W148" s="45"/>
      <c r="X148" s="45"/>
      <c r="Y148" s="43"/>
      <c r="Z148" s="43"/>
      <c r="AA148" s="46"/>
      <c r="AB148" s="45"/>
      <c r="AC148" s="46"/>
      <c r="AD148" s="43"/>
      <c r="AE148" s="43"/>
      <c r="AF148" s="43"/>
      <c r="AG148" s="43"/>
      <c r="AH148" s="43"/>
    </row>
    <row r="149" spans="2:34">
      <c r="B149" s="42"/>
      <c r="C149" s="42"/>
      <c r="D149" s="43"/>
      <c r="E149" s="43"/>
      <c r="F149" s="43"/>
      <c r="G149" s="43"/>
      <c r="H149" s="43"/>
      <c r="I149" s="43"/>
      <c r="J149" s="43"/>
      <c r="K149" s="45"/>
      <c r="L149" s="45"/>
      <c r="M149" s="45"/>
      <c r="N149" s="46"/>
      <c r="O149" s="46"/>
      <c r="P149" s="43"/>
      <c r="Q149" s="43"/>
      <c r="R149" s="43"/>
      <c r="S149" s="66"/>
      <c r="T149" s="46"/>
      <c r="U149" s="66"/>
      <c r="V149" s="45"/>
      <c r="W149" s="45"/>
      <c r="X149" s="45"/>
      <c r="Y149" s="43"/>
      <c r="Z149" s="43"/>
      <c r="AA149" s="46"/>
      <c r="AB149" s="45"/>
      <c r="AC149" s="46"/>
      <c r="AD149" s="43"/>
      <c r="AE149" s="43"/>
      <c r="AF149" s="43"/>
      <c r="AG149" s="43"/>
      <c r="AH149" s="43"/>
    </row>
    <row r="150" spans="2:34">
      <c r="B150" s="42"/>
      <c r="C150" s="42"/>
      <c r="D150" s="43"/>
      <c r="E150" s="43"/>
      <c r="F150" s="43"/>
      <c r="G150" s="43"/>
      <c r="H150" s="43"/>
      <c r="I150" s="43"/>
      <c r="J150" s="43"/>
      <c r="K150" s="45"/>
      <c r="L150" s="45"/>
      <c r="M150" s="45"/>
      <c r="N150" s="46"/>
      <c r="O150" s="46"/>
      <c r="P150" s="43"/>
      <c r="Q150" s="43"/>
      <c r="R150" s="43"/>
      <c r="S150" s="66"/>
      <c r="T150" s="46"/>
      <c r="U150" s="66"/>
      <c r="V150" s="45"/>
      <c r="W150" s="45"/>
      <c r="X150" s="45"/>
      <c r="Y150" s="43"/>
      <c r="Z150" s="43"/>
      <c r="AA150" s="46"/>
      <c r="AB150" s="45"/>
      <c r="AC150" s="46"/>
      <c r="AD150" s="43"/>
      <c r="AE150" s="43"/>
      <c r="AF150" s="43"/>
      <c r="AG150" s="43"/>
      <c r="AH150" s="43"/>
    </row>
    <row r="151" spans="2:34">
      <c r="B151" s="42"/>
      <c r="C151" s="42"/>
      <c r="D151" s="43"/>
      <c r="E151" s="43"/>
      <c r="F151" s="43"/>
      <c r="G151" s="43"/>
      <c r="H151" s="43"/>
      <c r="I151" s="43"/>
      <c r="J151" s="43"/>
      <c r="K151" s="45"/>
      <c r="L151" s="45"/>
      <c r="M151" s="45"/>
      <c r="N151" s="46"/>
      <c r="O151" s="46"/>
      <c r="P151" s="43"/>
      <c r="Q151" s="43"/>
      <c r="R151" s="43"/>
      <c r="S151" s="66"/>
      <c r="T151" s="46"/>
      <c r="U151" s="66"/>
      <c r="V151" s="45"/>
      <c r="W151" s="45"/>
      <c r="X151" s="45"/>
      <c r="Y151" s="43"/>
      <c r="Z151" s="43"/>
      <c r="AA151" s="46"/>
      <c r="AB151" s="45"/>
      <c r="AC151" s="46"/>
      <c r="AD151" s="43"/>
      <c r="AE151" s="43"/>
      <c r="AF151" s="43"/>
      <c r="AG151" s="43"/>
      <c r="AH151" s="43"/>
    </row>
    <row r="152" spans="2:34">
      <c r="B152" s="42"/>
      <c r="C152" s="42"/>
      <c r="D152" s="43"/>
      <c r="E152" s="43"/>
      <c r="F152" s="43"/>
      <c r="G152" s="43"/>
      <c r="H152" s="43"/>
      <c r="I152" s="43"/>
      <c r="J152" s="43"/>
      <c r="K152" s="45"/>
      <c r="L152" s="45"/>
      <c r="M152" s="45"/>
      <c r="N152" s="46"/>
      <c r="O152" s="46"/>
      <c r="P152" s="43"/>
      <c r="Q152" s="43"/>
      <c r="R152" s="43"/>
      <c r="S152" s="66"/>
      <c r="T152" s="46"/>
      <c r="U152" s="66"/>
      <c r="V152" s="45"/>
      <c r="W152" s="45"/>
      <c r="X152" s="45"/>
      <c r="Y152" s="43"/>
      <c r="Z152" s="43"/>
      <c r="AA152" s="46"/>
      <c r="AB152" s="45"/>
      <c r="AC152" s="46"/>
      <c r="AD152" s="43"/>
      <c r="AE152" s="43"/>
      <c r="AF152" s="43"/>
      <c r="AG152" s="43"/>
      <c r="AH152" s="43"/>
    </row>
    <row r="153" spans="2:34">
      <c r="B153" s="42"/>
      <c r="C153" s="42"/>
      <c r="D153" s="43"/>
      <c r="E153" s="43"/>
      <c r="F153" s="43"/>
      <c r="G153" s="43"/>
      <c r="H153" s="43"/>
      <c r="I153" s="43"/>
      <c r="J153" s="43"/>
      <c r="K153" s="45"/>
      <c r="L153" s="45"/>
      <c r="M153" s="45"/>
      <c r="N153" s="46"/>
      <c r="O153" s="46"/>
      <c r="P153" s="43"/>
      <c r="Q153" s="43"/>
      <c r="R153" s="43"/>
      <c r="S153" s="66"/>
      <c r="T153" s="46"/>
      <c r="U153" s="66"/>
      <c r="V153" s="45"/>
      <c r="W153" s="45"/>
      <c r="X153" s="45"/>
      <c r="Y153" s="43"/>
      <c r="Z153" s="43"/>
      <c r="AA153" s="46"/>
      <c r="AB153" s="45"/>
      <c r="AC153" s="46"/>
      <c r="AD153" s="43"/>
      <c r="AE153" s="43"/>
      <c r="AF153" s="43"/>
      <c r="AG153" s="43"/>
      <c r="AH153" s="43"/>
    </row>
    <row r="154" spans="2:34">
      <c r="B154" s="42"/>
      <c r="C154" s="42"/>
      <c r="D154" s="43"/>
      <c r="E154" s="43"/>
      <c r="F154" s="43"/>
      <c r="G154" s="43"/>
      <c r="H154" s="43"/>
      <c r="I154" s="43"/>
      <c r="J154" s="43"/>
      <c r="K154" s="45"/>
      <c r="L154" s="45"/>
      <c r="M154" s="45"/>
      <c r="N154" s="46"/>
      <c r="O154" s="46"/>
      <c r="P154" s="43"/>
      <c r="Q154" s="43"/>
      <c r="R154" s="43"/>
      <c r="S154" s="66"/>
      <c r="T154" s="46"/>
      <c r="U154" s="66"/>
      <c r="V154" s="45"/>
      <c r="W154" s="45"/>
      <c r="X154" s="45"/>
      <c r="Y154" s="43"/>
      <c r="Z154" s="43"/>
      <c r="AA154" s="46"/>
      <c r="AB154" s="45"/>
      <c r="AC154" s="46"/>
      <c r="AD154" s="43"/>
      <c r="AE154" s="43"/>
      <c r="AF154" s="43"/>
      <c r="AG154" s="43"/>
      <c r="AH154" s="43"/>
    </row>
    <row r="155" spans="2:34">
      <c r="B155" s="42"/>
      <c r="C155" s="42"/>
      <c r="D155" s="43"/>
      <c r="E155" s="43"/>
      <c r="F155" s="43"/>
      <c r="G155" s="43"/>
      <c r="H155" s="43"/>
      <c r="I155" s="43"/>
      <c r="J155" s="43"/>
      <c r="K155" s="45"/>
      <c r="L155" s="45"/>
      <c r="M155" s="45"/>
      <c r="N155" s="46"/>
      <c r="O155" s="46"/>
      <c r="P155" s="43"/>
      <c r="Q155" s="43"/>
      <c r="R155" s="43"/>
      <c r="S155" s="66"/>
      <c r="T155" s="46"/>
      <c r="U155" s="66"/>
      <c r="V155" s="45"/>
      <c r="W155" s="45"/>
      <c r="X155" s="45"/>
      <c r="Y155" s="43"/>
      <c r="Z155" s="43"/>
      <c r="AA155" s="46"/>
      <c r="AB155" s="45"/>
      <c r="AC155" s="46"/>
      <c r="AD155" s="43"/>
      <c r="AE155" s="43"/>
      <c r="AF155" s="43"/>
      <c r="AG155" s="43"/>
      <c r="AH155" s="43"/>
    </row>
    <row r="156" spans="2:34">
      <c r="B156" s="42"/>
      <c r="C156" s="42"/>
      <c r="D156" s="43"/>
      <c r="E156" s="43"/>
      <c r="F156" s="43"/>
      <c r="G156" s="43"/>
      <c r="H156" s="43"/>
      <c r="I156" s="43"/>
      <c r="J156" s="43"/>
      <c r="K156" s="45"/>
      <c r="L156" s="45"/>
      <c r="M156" s="45"/>
      <c r="N156" s="46"/>
      <c r="O156" s="46"/>
      <c r="P156" s="43"/>
      <c r="Q156" s="43"/>
      <c r="R156" s="43"/>
      <c r="S156" s="66"/>
      <c r="T156" s="46"/>
      <c r="U156" s="66"/>
      <c r="V156" s="45"/>
      <c r="W156" s="45"/>
      <c r="X156" s="45"/>
      <c r="Y156" s="43"/>
      <c r="Z156" s="43"/>
      <c r="AA156" s="46"/>
      <c r="AB156" s="45"/>
      <c r="AC156" s="46"/>
      <c r="AD156" s="43"/>
      <c r="AE156" s="43"/>
      <c r="AF156" s="43"/>
      <c r="AG156" s="43"/>
      <c r="AH156" s="43"/>
    </row>
    <row r="157" spans="2:34">
      <c r="B157" s="42"/>
      <c r="C157" s="42"/>
      <c r="D157" s="43"/>
      <c r="E157" s="43"/>
      <c r="F157" s="43"/>
      <c r="G157" s="43"/>
      <c r="H157" s="43"/>
      <c r="I157" s="43"/>
      <c r="J157" s="43"/>
      <c r="K157" s="45"/>
      <c r="L157" s="45"/>
      <c r="M157" s="45"/>
      <c r="N157" s="46"/>
      <c r="O157" s="46"/>
      <c r="P157" s="43"/>
      <c r="Q157" s="43"/>
      <c r="R157" s="43"/>
      <c r="S157" s="66"/>
      <c r="T157" s="46"/>
      <c r="U157" s="66"/>
      <c r="V157" s="45"/>
      <c r="W157" s="45"/>
      <c r="X157" s="45"/>
      <c r="Y157" s="43"/>
      <c r="Z157" s="43"/>
      <c r="AA157" s="46"/>
      <c r="AB157" s="45"/>
      <c r="AC157" s="46"/>
      <c r="AD157" s="43"/>
      <c r="AE157" s="43"/>
      <c r="AF157" s="43"/>
      <c r="AG157" s="43"/>
      <c r="AH157" s="43"/>
    </row>
    <row r="158" spans="2:34">
      <c r="B158" s="42"/>
      <c r="C158" s="42"/>
      <c r="D158" s="43"/>
      <c r="E158" s="43"/>
      <c r="F158" s="43"/>
      <c r="G158" s="43"/>
      <c r="H158" s="43"/>
      <c r="I158" s="43"/>
      <c r="J158" s="43"/>
      <c r="K158" s="45"/>
      <c r="L158" s="45"/>
      <c r="M158" s="45"/>
      <c r="N158" s="46"/>
      <c r="O158" s="46"/>
      <c r="P158" s="43"/>
      <c r="Q158" s="43"/>
      <c r="R158" s="43"/>
      <c r="S158" s="66"/>
      <c r="T158" s="46"/>
      <c r="U158" s="66"/>
      <c r="V158" s="45"/>
      <c r="W158" s="45"/>
      <c r="X158" s="45"/>
      <c r="Y158" s="43"/>
      <c r="Z158" s="43"/>
      <c r="AA158" s="46"/>
      <c r="AB158" s="45"/>
      <c r="AC158" s="46"/>
      <c r="AD158" s="43"/>
      <c r="AE158" s="43"/>
      <c r="AF158" s="43"/>
      <c r="AG158" s="43"/>
      <c r="AH158" s="43"/>
    </row>
    <row r="159" spans="2:34">
      <c r="B159" s="42"/>
      <c r="C159" s="42"/>
      <c r="D159" s="43"/>
      <c r="E159" s="43"/>
      <c r="F159" s="43"/>
      <c r="G159" s="43"/>
      <c r="H159" s="43"/>
      <c r="I159" s="43"/>
      <c r="J159" s="43"/>
      <c r="K159" s="45"/>
      <c r="L159" s="45"/>
      <c r="M159" s="45"/>
      <c r="N159" s="46"/>
      <c r="O159" s="46"/>
      <c r="P159" s="43"/>
      <c r="Q159" s="43"/>
      <c r="R159" s="43"/>
      <c r="S159" s="66"/>
      <c r="T159" s="46"/>
      <c r="U159" s="66"/>
      <c r="V159" s="45"/>
      <c r="W159" s="45"/>
      <c r="X159" s="45"/>
      <c r="Y159" s="43"/>
      <c r="Z159" s="43"/>
      <c r="AA159" s="46"/>
      <c r="AB159" s="45"/>
      <c r="AC159" s="46"/>
      <c r="AD159" s="43"/>
      <c r="AE159" s="43"/>
      <c r="AF159" s="43"/>
      <c r="AG159" s="43"/>
      <c r="AH159" s="43"/>
    </row>
    <row r="160" spans="2:34">
      <c r="B160" s="42"/>
      <c r="C160" s="42"/>
      <c r="D160" s="43"/>
      <c r="E160" s="43"/>
      <c r="F160" s="43"/>
      <c r="G160" s="43"/>
      <c r="H160" s="43"/>
      <c r="I160" s="43"/>
      <c r="J160" s="43"/>
      <c r="K160" s="45"/>
      <c r="L160" s="45"/>
      <c r="M160" s="45"/>
      <c r="N160" s="46"/>
      <c r="O160" s="46"/>
      <c r="P160" s="43"/>
      <c r="Q160" s="43"/>
      <c r="R160" s="43"/>
      <c r="S160" s="66"/>
      <c r="T160" s="46"/>
      <c r="U160" s="66"/>
      <c r="V160" s="45"/>
      <c r="W160" s="45"/>
      <c r="X160" s="45"/>
      <c r="Y160" s="43"/>
      <c r="Z160" s="43"/>
      <c r="AA160" s="46"/>
      <c r="AB160" s="45"/>
      <c r="AC160" s="46"/>
      <c r="AD160" s="43"/>
      <c r="AE160" s="43"/>
      <c r="AF160" s="43"/>
      <c r="AG160" s="43"/>
      <c r="AH160" s="43"/>
    </row>
    <row r="161" spans="2:34">
      <c r="B161" s="42"/>
      <c r="C161" s="42"/>
      <c r="D161" s="43"/>
      <c r="E161" s="43"/>
      <c r="F161" s="43"/>
      <c r="G161" s="43"/>
      <c r="H161" s="43"/>
      <c r="I161" s="43"/>
      <c r="J161" s="43"/>
      <c r="K161" s="45"/>
      <c r="L161" s="45"/>
      <c r="M161" s="45"/>
      <c r="N161" s="46"/>
      <c r="O161" s="46"/>
      <c r="P161" s="43"/>
      <c r="Q161" s="43"/>
      <c r="R161" s="43"/>
      <c r="S161" s="66"/>
      <c r="T161" s="46"/>
      <c r="U161" s="66"/>
      <c r="V161" s="45"/>
      <c r="W161" s="45"/>
      <c r="X161" s="45"/>
      <c r="Y161" s="43"/>
      <c r="Z161" s="43"/>
      <c r="AA161" s="46"/>
      <c r="AB161" s="45"/>
      <c r="AC161" s="46"/>
      <c r="AD161" s="43"/>
      <c r="AE161" s="43"/>
      <c r="AF161" s="43"/>
      <c r="AG161" s="43"/>
      <c r="AH161" s="43"/>
    </row>
    <row r="162" spans="2:34">
      <c r="B162" s="42"/>
      <c r="C162" s="42"/>
      <c r="D162" s="43"/>
      <c r="E162" s="43"/>
      <c r="F162" s="43"/>
      <c r="G162" s="43"/>
      <c r="H162" s="43"/>
      <c r="I162" s="43"/>
      <c r="J162" s="43"/>
      <c r="K162" s="45"/>
      <c r="L162" s="45"/>
      <c r="M162" s="45"/>
      <c r="N162" s="46"/>
      <c r="O162" s="46"/>
      <c r="P162" s="43"/>
      <c r="Q162" s="43"/>
      <c r="R162" s="43"/>
      <c r="S162" s="66"/>
      <c r="T162" s="46"/>
      <c r="U162" s="66"/>
      <c r="V162" s="45"/>
      <c r="W162" s="45"/>
      <c r="X162" s="45"/>
      <c r="Y162" s="43"/>
      <c r="Z162" s="43"/>
      <c r="AA162" s="46"/>
      <c r="AB162" s="45"/>
      <c r="AC162" s="46"/>
      <c r="AD162" s="43"/>
      <c r="AE162" s="43"/>
      <c r="AF162" s="43"/>
      <c r="AG162" s="43"/>
      <c r="AH162" s="43"/>
    </row>
    <row r="163" spans="2:34">
      <c r="B163" s="42"/>
      <c r="C163" s="42"/>
      <c r="D163" s="43"/>
      <c r="E163" s="43"/>
      <c r="F163" s="43"/>
      <c r="G163" s="43"/>
      <c r="H163" s="43"/>
      <c r="I163" s="43"/>
      <c r="J163" s="43"/>
      <c r="K163" s="45"/>
      <c r="L163" s="45"/>
      <c r="M163" s="45"/>
      <c r="N163" s="46"/>
      <c r="O163" s="46"/>
      <c r="P163" s="43"/>
      <c r="Q163" s="43"/>
      <c r="R163" s="43"/>
      <c r="S163" s="66"/>
      <c r="T163" s="46"/>
      <c r="U163" s="66"/>
      <c r="V163" s="45"/>
      <c r="W163" s="45"/>
      <c r="X163" s="45"/>
      <c r="Y163" s="43"/>
      <c r="Z163" s="43"/>
      <c r="AA163" s="46"/>
      <c r="AB163" s="45"/>
      <c r="AC163" s="46"/>
      <c r="AD163" s="43"/>
      <c r="AE163" s="43"/>
      <c r="AF163" s="43"/>
      <c r="AG163" s="43"/>
      <c r="AH163" s="43"/>
    </row>
    <row r="164" spans="2:34">
      <c r="B164" s="42"/>
      <c r="C164" s="42"/>
      <c r="D164" s="43"/>
      <c r="E164" s="43"/>
      <c r="F164" s="43"/>
      <c r="G164" s="43"/>
      <c r="H164" s="43"/>
      <c r="I164" s="43"/>
      <c r="J164" s="43"/>
      <c r="K164" s="45"/>
      <c r="L164" s="45"/>
      <c r="M164" s="45"/>
      <c r="N164" s="46"/>
      <c r="O164" s="46"/>
      <c r="P164" s="43"/>
      <c r="Q164" s="43"/>
      <c r="R164" s="43"/>
      <c r="S164" s="66"/>
      <c r="T164" s="46"/>
      <c r="U164" s="66"/>
      <c r="V164" s="45"/>
      <c r="W164" s="45"/>
      <c r="X164" s="45"/>
      <c r="Y164" s="43"/>
      <c r="Z164" s="43"/>
      <c r="AA164" s="46"/>
      <c r="AB164" s="45"/>
      <c r="AC164" s="46"/>
      <c r="AD164" s="43"/>
      <c r="AE164" s="43"/>
      <c r="AF164" s="43"/>
      <c r="AG164" s="43"/>
      <c r="AH164" s="43"/>
    </row>
    <row r="165" spans="2:34">
      <c r="B165" s="42"/>
      <c r="C165" s="42"/>
      <c r="D165" s="43"/>
      <c r="E165" s="43"/>
      <c r="F165" s="43"/>
      <c r="G165" s="43"/>
      <c r="H165" s="43"/>
      <c r="I165" s="43"/>
      <c r="J165" s="43"/>
      <c r="K165" s="45"/>
      <c r="L165" s="45"/>
      <c r="M165" s="45"/>
      <c r="N165" s="46"/>
      <c r="O165" s="46"/>
      <c r="P165" s="43"/>
      <c r="Q165" s="43"/>
      <c r="R165" s="43"/>
      <c r="S165" s="66"/>
      <c r="T165" s="46"/>
      <c r="U165" s="66"/>
      <c r="V165" s="45"/>
      <c r="W165" s="45"/>
      <c r="X165" s="45"/>
      <c r="Y165" s="43"/>
      <c r="Z165" s="43"/>
      <c r="AA165" s="46"/>
      <c r="AB165" s="45"/>
      <c r="AC165" s="46"/>
      <c r="AD165" s="43"/>
      <c r="AE165" s="43"/>
      <c r="AF165" s="43"/>
      <c r="AG165" s="43"/>
      <c r="AH165" s="43"/>
    </row>
    <row r="166" spans="2:34">
      <c r="B166" s="42"/>
      <c r="C166" s="42"/>
      <c r="D166" s="43"/>
      <c r="E166" s="43"/>
      <c r="F166" s="43"/>
      <c r="G166" s="43"/>
      <c r="H166" s="43"/>
      <c r="I166" s="43"/>
      <c r="J166" s="43"/>
      <c r="K166" s="45"/>
      <c r="L166" s="45"/>
      <c r="M166" s="45"/>
      <c r="N166" s="46"/>
      <c r="O166" s="46"/>
      <c r="P166" s="43"/>
      <c r="Q166" s="43"/>
      <c r="R166" s="43"/>
      <c r="S166" s="66"/>
      <c r="T166" s="46"/>
      <c r="U166" s="66"/>
      <c r="V166" s="45"/>
      <c r="W166" s="45"/>
      <c r="X166" s="45"/>
      <c r="Y166" s="43"/>
      <c r="Z166" s="43"/>
      <c r="AA166" s="46"/>
      <c r="AB166" s="45"/>
      <c r="AC166" s="46"/>
      <c r="AD166" s="43"/>
      <c r="AE166" s="43"/>
      <c r="AF166" s="43"/>
      <c r="AG166" s="43"/>
      <c r="AH166" s="43"/>
    </row>
    <row r="167" spans="2:34">
      <c r="B167" s="42"/>
      <c r="C167" s="42"/>
      <c r="D167" s="43"/>
      <c r="E167" s="43"/>
      <c r="F167" s="43"/>
      <c r="G167" s="43"/>
      <c r="H167" s="43"/>
      <c r="I167" s="43"/>
      <c r="J167" s="43"/>
      <c r="K167" s="45"/>
      <c r="L167" s="45"/>
      <c r="M167" s="45"/>
      <c r="N167" s="46"/>
      <c r="O167" s="46"/>
      <c r="P167" s="43"/>
      <c r="Q167" s="43"/>
      <c r="R167" s="43"/>
      <c r="S167" s="66"/>
      <c r="T167" s="46"/>
      <c r="U167" s="66"/>
      <c r="V167" s="45"/>
      <c r="W167" s="45"/>
      <c r="X167" s="45"/>
      <c r="Y167" s="43"/>
      <c r="Z167" s="43"/>
      <c r="AA167" s="46"/>
      <c r="AB167" s="45"/>
      <c r="AC167" s="46"/>
      <c r="AD167" s="43"/>
      <c r="AE167" s="43"/>
      <c r="AF167" s="43"/>
      <c r="AG167" s="43"/>
      <c r="AH167" s="43"/>
    </row>
    <row r="168" spans="2:34">
      <c r="B168" s="42"/>
      <c r="C168" s="42"/>
      <c r="D168" s="43"/>
      <c r="E168" s="43"/>
      <c r="F168" s="43"/>
      <c r="G168" s="43"/>
      <c r="H168" s="43"/>
      <c r="I168" s="43"/>
      <c r="J168" s="43"/>
      <c r="K168" s="45"/>
      <c r="L168" s="45"/>
      <c r="M168" s="45"/>
      <c r="N168" s="46"/>
      <c r="O168" s="46"/>
      <c r="P168" s="43"/>
      <c r="Q168" s="43"/>
      <c r="R168" s="43"/>
      <c r="S168" s="66"/>
      <c r="T168" s="46"/>
      <c r="U168" s="66"/>
      <c r="V168" s="45"/>
      <c r="W168" s="45"/>
      <c r="X168" s="45"/>
      <c r="Y168" s="43"/>
      <c r="Z168" s="43"/>
      <c r="AA168" s="46"/>
      <c r="AB168" s="45"/>
      <c r="AC168" s="46"/>
      <c r="AD168" s="43"/>
      <c r="AE168" s="43"/>
      <c r="AF168" s="43"/>
      <c r="AG168" s="43"/>
      <c r="AH168" s="43"/>
    </row>
    <row r="169" spans="2:34">
      <c r="B169" s="42"/>
      <c r="C169" s="42"/>
      <c r="D169" s="43"/>
      <c r="E169" s="43"/>
      <c r="F169" s="43"/>
      <c r="G169" s="43"/>
      <c r="H169" s="43"/>
      <c r="I169" s="43"/>
      <c r="J169" s="43"/>
      <c r="K169" s="45"/>
      <c r="L169" s="45"/>
      <c r="M169" s="45"/>
      <c r="N169" s="46"/>
      <c r="O169" s="46"/>
      <c r="P169" s="43"/>
      <c r="Q169" s="43"/>
      <c r="R169" s="43"/>
      <c r="S169" s="66"/>
      <c r="T169" s="46"/>
      <c r="U169" s="66"/>
      <c r="V169" s="45"/>
      <c r="W169" s="45"/>
      <c r="X169" s="45"/>
      <c r="Y169" s="43"/>
      <c r="Z169" s="43"/>
      <c r="AA169" s="46"/>
      <c r="AB169" s="45"/>
      <c r="AC169" s="46"/>
      <c r="AD169" s="43"/>
      <c r="AE169" s="43"/>
      <c r="AF169" s="43"/>
      <c r="AG169" s="43"/>
      <c r="AH169" s="43"/>
    </row>
    <row r="170" spans="2:34">
      <c r="B170" s="42"/>
      <c r="C170" s="42"/>
      <c r="D170" s="43"/>
      <c r="E170" s="43"/>
      <c r="F170" s="43"/>
      <c r="G170" s="43"/>
      <c r="H170" s="43"/>
      <c r="I170" s="43"/>
      <c r="J170" s="43"/>
      <c r="K170" s="45"/>
      <c r="L170" s="45"/>
      <c r="M170" s="45"/>
      <c r="N170" s="46"/>
      <c r="O170" s="46"/>
      <c r="P170" s="43"/>
      <c r="Q170" s="43"/>
      <c r="R170" s="43"/>
      <c r="S170" s="66"/>
      <c r="T170" s="46"/>
      <c r="U170" s="66"/>
      <c r="V170" s="45"/>
      <c r="W170" s="45"/>
      <c r="X170" s="45"/>
      <c r="Y170" s="43"/>
      <c r="Z170" s="43"/>
      <c r="AA170" s="46"/>
      <c r="AB170" s="45"/>
      <c r="AC170" s="46"/>
      <c r="AD170" s="43"/>
      <c r="AE170" s="43"/>
      <c r="AF170" s="43"/>
      <c r="AG170" s="43"/>
      <c r="AH170" s="43"/>
    </row>
    <row r="171" spans="2:34">
      <c r="B171" s="42"/>
      <c r="C171" s="42"/>
      <c r="D171" s="43"/>
      <c r="E171" s="43"/>
      <c r="F171" s="43"/>
      <c r="G171" s="43"/>
      <c r="H171" s="43"/>
      <c r="I171" s="43"/>
      <c r="J171" s="43"/>
      <c r="K171" s="45"/>
      <c r="L171" s="45"/>
      <c r="M171" s="45"/>
      <c r="N171" s="46"/>
      <c r="O171" s="46"/>
      <c r="P171" s="43"/>
      <c r="Q171" s="43"/>
      <c r="R171" s="43"/>
      <c r="S171" s="66"/>
      <c r="T171" s="46"/>
      <c r="U171" s="66"/>
      <c r="V171" s="45"/>
      <c r="W171" s="45"/>
      <c r="X171" s="45"/>
      <c r="Y171" s="43"/>
      <c r="Z171" s="43"/>
      <c r="AA171" s="46"/>
      <c r="AB171" s="45"/>
      <c r="AC171" s="46"/>
      <c r="AD171" s="43"/>
      <c r="AE171" s="43"/>
      <c r="AF171" s="43"/>
      <c r="AG171" s="43"/>
      <c r="AH171" s="43"/>
    </row>
    <row r="172" spans="2:34">
      <c r="B172" s="42"/>
      <c r="C172" s="42"/>
      <c r="D172" s="43"/>
      <c r="E172" s="43"/>
      <c r="F172" s="43"/>
      <c r="G172" s="43"/>
      <c r="H172" s="43"/>
      <c r="I172" s="43"/>
      <c r="J172" s="43"/>
      <c r="K172" s="45"/>
      <c r="L172" s="45"/>
      <c r="M172" s="45"/>
      <c r="N172" s="46"/>
      <c r="O172" s="46"/>
      <c r="P172" s="43"/>
      <c r="Q172" s="43"/>
      <c r="R172" s="43"/>
      <c r="S172" s="66"/>
      <c r="T172" s="46"/>
      <c r="U172" s="66"/>
      <c r="V172" s="45"/>
      <c r="W172" s="45"/>
      <c r="X172" s="45"/>
      <c r="Y172" s="43"/>
      <c r="Z172" s="43"/>
      <c r="AA172" s="46"/>
      <c r="AB172" s="45"/>
      <c r="AC172" s="46"/>
      <c r="AD172" s="43"/>
      <c r="AE172" s="43"/>
      <c r="AF172" s="43"/>
      <c r="AG172" s="43"/>
      <c r="AH172" s="43"/>
    </row>
    <row r="173" spans="2:34">
      <c r="B173" s="42"/>
      <c r="C173" s="42"/>
      <c r="D173" s="43"/>
      <c r="E173" s="43"/>
      <c r="F173" s="43"/>
      <c r="G173" s="43"/>
      <c r="H173" s="43"/>
      <c r="I173" s="43"/>
      <c r="J173" s="43"/>
      <c r="K173" s="45"/>
      <c r="L173" s="45"/>
      <c r="M173" s="45"/>
      <c r="N173" s="46"/>
      <c r="O173" s="46"/>
      <c r="P173" s="43"/>
      <c r="Q173" s="43"/>
      <c r="R173" s="43"/>
      <c r="S173" s="66"/>
      <c r="T173" s="46"/>
      <c r="U173" s="66"/>
      <c r="V173" s="45"/>
      <c r="W173" s="45"/>
      <c r="X173" s="45"/>
      <c r="Y173" s="43"/>
      <c r="Z173" s="43"/>
      <c r="AA173" s="46"/>
      <c r="AB173" s="45"/>
      <c r="AC173" s="46"/>
      <c r="AD173" s="43"/>
      <c r="AE173" s="43"/>
      <c r="AF173" s="43"/>
      <c r="AG173" s="43"/>
      <c r="AH173" s="43"/>
    </row>
    <row r="174" spans="2:34">
      <c r="B174" s="42"/>
      <c r="C174" s="42"/>
      <c r="D174" s="43"/>
      <c r="E174" s="43"/>
      <c r="F174" s="43"/>
      <c r="G174" s="43"/>
      <c r="H174" s="43"/>
      <c r="I174" s="43"/>
      <c r="J174" s="43"/>
      <c r="K174" s="45"/>
      <c r="L174" s="45"/>
      <c r="M174" s="45"/>
      <c r="N174" s="46"/>
      <c r="O174" s="46"/>
      <c r="P174" s="43"/>
      <c r="Q174" s="43"/>
      <c r="R174" s="43"/>
      <c r="S174" s="66"/>
      <c r="T174" s="46"/>
      <c r="U174" s="66"/>
      <c r="V174" s="45"/>
      <c r="W174" s="45"/>
      <c r="X174" s="45"/>
      <c r="Y174" s="43"/>
      <c r="Z174" s="43"/>
      <c r="AA174" s="46"/>
      <c r="AB174" s="45"/>
      <c r="AC174" s="46"/>
      <c r="AD174" s="43"/>
      <c r="AE174" s="43"/>
      <c r="AF174" s="43"/>
      <c r="AG174" s="43"/>
      <c r="AH174" s="43"/>
    </row>
    <row r="175" spans="2:34">
      <c r="B175" s="42"/>
      <c r="C175" s="42"/>
      <c r="D175" s="43"/>
      <c r="E175" s="43"/>
      <c r="F175" s="43"/>
      <c r="G175" s="43"/>
      <c r="H175" s="43"/>
      <c r="I175" s="43"/>
      <c r="J175" s="43"/>
      <c r="K175" s="45"/>
      <c r="L175" s="45"/>
      <c r="M175" s="45"/>
      <c r="N175" s="46"/>
      <c r="O175" s="46"/>
      <c r="P175" s="43"/>
      <c r="Q175" s="43"/>
      <c r="R175" s="43"/>
      <c r="S175" s="66"/>
      <c r="T175" s="46"/>
      <c r="U175" s="66"/>
      <c r="V175" s="45"/>
      <c r="W175" s="45"/>
      <c r="X175" s="45"/>
      <c r="Y175" s="43"/>
      <c r="Z175" s="43"/>
      <c r="AA175" s="46"/>
      <c r="AB175" s="45"/>
      <c r="AC175" s="46"/>
      <c r="AD175" s="43"/>
      <c r="AE175" s="43"/>
      <c r="AF175" s="43"/>
      <c r="AG175" s="43"/>
      <c r="AH175" s="43"/>
    </row>
    <row r="176" spans="2:34">
      <c r="B176" s="42"/>
      <c r="C176" s="42"/>
      <c r="D176" s="43"/>
      <c r="E176" s="43"/>
      <c r="F176" s="43"/>
      <c r="G176" s="43"/>
      <c r="H176" s="43"/>
      <c r="I176" s="43"/>
      <c r="J176" s="43"/>
      <c r="K176" s="45"/>
      <c r="L176" s="45"/>
      <c r="M176" s="45"/>
      <c r="N176" s="46"/>
      <c r="O176" s="46"/>
      <c r="P176" s="43"/>
      <c r="Q176" s="43"/>
      <c r="R176" s="43"/>
      <c r="S176" s="66"/>
      <c r="T176" s="46"/>
      <c r="U176" s="66"/>
      <c r="V176" s="45"/>
      <c r="W176" s="45"/>
      <c r="X176" s="45"/>
      <c r="Y176" s="43"/>
      <c r="Z176" s="43"/>
      <c r="AA176" s="46"/>
      <c r="AB176" s="45"/>
      <c r="AC176" s="46"/>
      <c r="AD176" s="43"/>
      <c r="AE176" s="43"/>
      <c r="AF176" s="43"/>
      <c r="AG176" s="43"/>
      <c r="AH176" s="43"/>
    </row>
    <row r="177" spans="2:34">
      <c r="B177" s="42"/>
      <c r="C177" s="42"/>
      <c r="D177" s="43"/>
      <c r="E177" s="43"/>
      <c r="F177" s="43"/>
      <c r="G177" s="43"/>
      <c r="H177" s="43"/>
      <c r="I177" s="43"/>
      <c r="J177" s="43"/>
      <c r="K177" s="45"/>
      <c r="L177" s="45"/>
      <c r="M177" s="45"/>
      <c r="N177" s="46"/>
      <c r="O177" s="46"/>
      <c r="P177" s="43"/>
      <c r="Q177" s="43"/>
      <c r="R177" s="43"/>
      <c r="S177" s="66"/>
      <c r="T177" s="46"/>
      <c r="U177" s="66"/>
      <c r="V177" s="45"/>
      <c r="W177" s="45"/>
      <c r="X177" s="45"/>
      <c r="Y177" s="43"/>
      <c r="Z177" s="43"/>
      <c r="AA177" s="46"/>
      <c r="AB177" s="45"/>
      <c r="AC177" s="46"/>
      <c r="AD177" s="43"/>
      <c r="AE177" s="43"/>
      <c r="AF177" s="43"/>
      <c r="AG177" s="43"/>
      <c r="AH177" s="43"/>
    </row>
    <row r="178" spans="2:34">
      <c r="B178" s="42"/>
      <c r="C178" s="42"/>
      <c r="D178" s="43"/>
      <c r="E178" s="43"/>
      <c r="F178" s="43"/>
      <c r="G178" s="43"/>
      <c r="H178" s="43"/>
      <c r="I178" s="43"/>
      <c r="J178" s="43"/>
      <c r="K178" s="45"/>
      <c r="L178" s="45"/>
      <c r="M178" s="45"/>
      <c r="N178" s="46"/>
      <c r="O178" s="46"/>
      <c r="P178" s="43"/>
      <c r="Q178" s="43"/>
      <c r="R178" s="43"/>
      <c r="S178" s="66"/>
      <c r="T178" s="46"/>
      <c r="U178" s="66"/>
      <c r="V178" s="45"/>
      <c r="W178" s="45"/>
      <c r="X178" s="45"/>
      <c r="Y178" s="43"/>
      <c r="Z178" s="43"/>
      <c r="AA178" s="46"/>
      <c r="AB178" s="45"/>
      <c r="AC178" s="46"/>
      <c r="AD178" s="43"/>
      <c r="AE178" s="43"/>
      <c r="AF178" s="43"/>
      <c r="AG178" s="43"/>
      <c r="AH178" s="43"/>
    </row>
    <row r="179" spans="2:34">
      <c r="B179" s="42"/>
      <c r="C179" s="42"/>
      <c r="D179" s="43"/>
      <c r="E179" s="43"/>
      <c r="F179" s="43"/>
      <c r="G179" s="43"/>
      <c r="H179" s="43"/>
      <c r="I179" s="43"/>
      <c r="J179" s="43"/>
      <c r="K179" s="45"/>
      <c r="L179" s="45"/>
      <c r="M179" s="45"/>
      <c r="N179" s="46"/>
      <c r="O179" s="46"/>
      <c r="P179" s="43"/>
      <c r="Q179" s="43"/>
      <c r="R179" s="43"/>
      <c r="S179" s="66"/>
      <c r="T179" s="46"/>
      <c r="U179" s="66"/>
      <c r="V179" s="45"/>
      <c r="W179" s="45"/>
      <c r="X179" s="45"/>
      <c r="Y179" s="43"/>
      <c r="Z179" s="43"/>
      <c r="AA179" s="46"/>
      <c r="AB179" s="45"/>
      <c r="AC179" s="46"/>
      <c r="AD179" s="43"/>
      <c r="AE179" s="43"/>
      <c r="AF179" s="43"/>
      <c r="AG179" s="43"/>
      <c r="AH179" s="43"/>
    </row>
    <row r="180" spans="2:34">
      <c r="B180" s="42"/>
      <c r="C180" s="42"/>
      <c r="D180" s="43"/>
      <c r="E180" s="43"/>
      <c r="F180" s="43"/>
      <c r="G180" s="43"/>
      <c r="H180" s="43"/>
      <c r="I180" s="43"/>
      <c r="J180" s="43"/>
      <c r="K180" s="45"/>
      <c r="L180" s="45"/>
      <c r="M180" s="45"/>
      <c r="N180" s="46"/>
      <c r="O180" s="46"/>
      <c r="P180" s="43"/>
      <c r="Q180" s="43"/>
      <c r="R180" s="43"/>
      <c r="S180" s="66"/>
      <c r="T180" s="46"/>
      <c r="U180" s="66"/>
      <c r="V180" s="45"/>
      <c r="W180" s="45"/>
      <c r="X180" s="45"/>
      <c r="Y180" s="43"/>
      <c r="Z180" s="43"/>
      <c r="AA180" s="46"/>
      <c r="AB180" s="45"/>
      <c r="AC180" s="46"/>
      <c r="AD180" s="43"/>
      <c r="AE180" s="43"/>
      <c r="AF180" s="43"/>
      <c r="AG180" s="43"/>
      <c r="AH180" s="43"/>
    </row>
    <row r="181" spans="2:34">
      <c r="B181" s="42"/>
      <c r="C181" s="42"/>
      <c r="D181" s="43"/>
      <c r="E181" s="43"/>
      <c r="F181" s="43"/>
      <c r="G181" s="43"/>
      <c r="H181" s="43"/>
      <c r="I181" s="43"/>
      <c r="J181" s="43"/>
      <c r="K181" s="45"/>
      <c r="L181" s="45"/>
      <c r="M181" s="45"/>
      <c r="N181" s="46"/>
      <c r="O181" s="46"/>
      <c r="P181" s="43"/>
      <c r="Q181" s="43"/>
      <c r="R181" s="43"/>
      <c r="S181" s="66"/>
      <c r="T181" s="46"/>
      <c r="U181" s="66"/>
      <c r="V181" s="45"/>
      <c r="W181" s="45"/>
      <c r="X181" s="45"/>
      <c r="Y181" s="43"/>
      <c r="Z181" s="43"/>
      <c r="AA181" s="46"/>
      <c r="AB181" s="45"/>
      <c r="AC181" s="46"/>
      <c r="AD181" s="43"/>
      <c r="AE181" s="43"/>
      <c r="AF181" s="43"/>
      <c r="AG181" s="43"/>
      <c r="AH181" s="43"/>
    </row>
    <row r="182" spans="2:34">
      <c r="B182" s="42"/>
      <c r="C182" s="42"/>
      <c r="D182" s="43"/>
      <c r="E182" s="43"/>
      <c r="F182" s="43"/>
      <c r="G182" s="43"/>
      <c r="H182" s="43"/>
      <c r="I182" s="43"/>
      <c r="J182" s="43"/>
      <c r="K182" s="45"/>
      <c r="L182" s="45"/>
      <c r="M182" s="45"/>
      <c r="N182" s="46"/>
      <c r="O182" s="46"/>
      <c r="P182" s="43"/>
      <c r="Q182" s="43"/>
      <c r="R182" s="43"/>
      <c r="S182" s="66"/>
      <c r="T182" s="46"/>
      <c r="U182" s="66"/>
      <c r="V182" s="45"/>
      <c r="W182" s="45"/>
      <c r="X182" s="45"/>
      <c r="Y182" s="43"/>
      <c r="Z182" s="43"/>
      <c r="AA182" s="46"/>
      <c r="AB182" s="45"/>
      <c r="AC182" s="46"/>
      <c r="AD182" s="43"/>
      <c r="AE182" s="43"/>
      <c r="AF182" s="43"/>
      <c r="AG182" s="43"/>
      <c r="AH182" s="43"/>
    </row>
    <row r="183" spans="2:34">
      <c r="B183" s="42"/>
      <c r="C183" s="42"/>
      <c r="D183" s="43"/>
      <c r="E183" s="43"/>
      <c r="F183" s="43"/>
      <c r="G183" s="43"/>
      <c r="H183" s="43"/>
      <c r="I183" s="43"/>
      <c r="J183" s="43"/>
      <c r="K183" s="45"/>
      <c r="L183" s="45"/>
      <c r="M183" s="45"/>
      <c r="N183" s="46"/>
      <c r="O183" s="46"/>
      <c r="P183" s="43"/>
      <c r="Q183" s="43"/>
      <c r="R183" s="43"/>
      <c r="S183" s="66"/>
      <c r="T183" s="46"/>
      <c r="U183" s="66"/>
      <c r="V183" s="45"/>
      <c r="W183" s="45"/>
      <c r="X183" s="45"/>
      <c r="Y183" s="43"/>
      <c r="Z183" s="43"/>
      <c r="AA183" s="46"/>
      <c r="AB183" s="45"/>
      <c r="AC183" s="46"/>
      <c r="AD183" s="43"/>
      <c r="AE183" s="43"/>
      <c r="AF183" s="43"/>
      <c r="AG183" s="43"/>
      <c r="AH183" s="43"/>
    </row>
    <row r="184" spans="2:34">
      <c r="B184" s="42"/>
      <c r="C184" s="42"/>
      <c r="D184" s="43"/>
      <c r="E184" s="43"/>
      <c r="F184" s="43"/>
      <c r="G184" s="43"/>
      <c r="H184" s="43"/>
      <c r="I184" s="43"/>
      <c r="J184" s="43"/>
      <c r="K184" s="45"/>
      <c r="L184" s="45"/>
      <c r="M184" s="45"/>
      <c r="N184" s="46"/>
      <c r="O184" s="46"/>
      <c r="P184" s="43"/>
      <c r="Q184" s="43"/>
      <c r="R184" s="43"/>
      <c r="S184" s="66"/>
      <c r="T184" s="46"/>
      <c r="U184" s="66"/>
      <c r="V184" s="45"/>
      <c r="W184" s="45"/>
      <c r="X184" s="45"/>
      <c r="Y184" s="43"/>
      <c r="Z184" s="43"/>
      <c r="AA184" s="46"/>
      <c r="AB184" s="45"/>
      <c r="AC184" s="46"/>
      <c r="AD184" s="43"/>
      <c r="AE184" s="43"/>
      <c r="AF184" s="43"/>
      <c r="AG184" s="43"/>
      <c r="AH184" s="43"/>
    </row>
    <row r="185" spans="2:34">
      <c r="B185" s="42"/>
      <c r="C185" s="42"/>
      <c r="D185" s="43"/>
      <c r="E185" s="43"/>
      <c r="F185" s="43"/>
      <c r="G185" s="43"/>
      <c r="H185" s="43"/>
      <c r="I185" s="43"/>
      <c r="J185" s="43"/>
      <c r="K185" s="45"/>
      <c r="L185" s="45"/>
      <c r="M185" s="45"/>
      <c r="N185" s="46"/>
      <c r="O185" s="46"/>
      <c r="P185" s="43"/>
      <c r="Q185" s="43"/>
      <c r="R185" s="43"/>
      <c r="S185" s="66"/>
      <c r="T185" s="46"/>
      <c r="U185" s="66"/>
      <c r="V185" s="45"/>
      <c r="W185" s="45"/>
      <c r="X185" s="45"/>
      <c r="Y185" s="43"/>
      <c r="Z185" s="43"/>
      <c r="AA185" s="46"/>
      <c r="AB185" s="45"/>
      <c r="AC185" s="46"/>
      <c r="AD185" s="43"/>
      <c r="AE185" s="43"/>
      <c r="AF185" s="43"/>
      <c r="AG185" s="43"/>
      <c r="AH185" s="43"/>
    </row>
    <row r="186" spans="2:34">
      <c r="B186" s="42"/>
      <c r="C186" s="42"/>
      <c r="D186" s="43"/>
      <c r="E186" s="43"/>
      <c r="F186" s="43"/>
      <c r="G186" s="43"/>
      <c r="H186" s="43"/>
      <c r="I186" s="43"/>
      <c r="J186" s="43"/>
      <c r="K186" s="45"/>
      <c r="L186" s="45"/>
      <c r="M186" s="45"/>
      <c r="N186" s="46"/>
      <c r="O186" s="46"/>
      <c r="P186" s="43"/>
      <c r="Q186" s="43"/>
      <c r="R186" s="43"/>
      <c r="S186" s="66"/>
      <c r="T186" s="46"/>
      <c r="U186" s="66"/>
      <c r="V186" s="45"/>
      <c r="W186" s="45"/>
      <c r="X186" s="45"/>
      <c r="Y186" s="43"/>
      <c r="Z186" s="43"/>
      <c r="AA186" s="46"/>
      <c r="AB186" s="45"/>
      <c r="AC186" s="46"/>
      <c r="AD186" s="43"/>
      <c r="AE186" s="43"/>
      <c r="AF186" s="43"/>
      <c r="AG186" s="43"/>
      <c r="AH186" s="43"/>
    </row>
    <row r="187" spans="2:34">
      <c r="B187" s="42"/>
      <c r="C187" s="42"/>
      <c r="D187" s="43"/>
      <c r="E187" s="43"/>
      <c r="F187" s="43"/>
      <c r="G187" s="43"/>
      <c r="H187" s="43"/>
      <c r="I187" s="43"/>
      <c r="J187" s="43"/>
      <c r="K187" s="45"/>
      <c r="L187" s="45"/>
      <c r="M187" s="45"/>
      <c r="N187" s="46"/>
      <c r="O187" s="46"/>
      <c r="P187" s="43"/>
      <c r="Q187" s="43"/>
      <c r="R187" s="43"/>
      <c r="S187" s="66"/>
      <c r="T187" s="46"/>
      <c r="U187" s="66"/>
      <c r="V187" s="45"/>
      <c r="W187" s="45"/>
      <c r="X187" s="45"/>
      <c r="Y187" s="43"/>
      <c r="Z187" s="43"/>
      <c r="AA187" s="46"/>
      <c r="AB187" s="45"/>
      <c r="AC187" s="46"/>
      <c r="AD187" s="43"/>
      <c r="AE187" s="43"/>
      <c r="AF187" s="43"/>
      <c r="AG187" s="43"/>
      <c r="AH187" s="43"/>
    </row>
    <row r="188" spans="2:34">
      <c r="B188" s="42"/>
      <c r="C188" s="42"/>
      <c r="D188" s="43"/>
      <c r="E188" s="43"/>
      <c r="F188" s="43"/>
      <c r="G188" s="43"/>
      <c r="H188" s="43"/>
      <c r="I188" s="43"/>
      <c r="J188" s="43"/>
      <c r="K188" s="45"/>
      <c r="L188" s="45"/>
      <c r="M188" s="45"/>
      <c r="N188" s="46"/>
      <c r="O188" s="46"/>
      <c r="P188" s="43"/>
      <c r="Q188" s="43"/>
      <c r="R188" s="43"/>
      <c r="S188" s="66"/>
      <c r="T188" s="46"/>
      <c r="U188" s="66"/>
      <c r="V188" s="45"/>
      <c r="W188" s="45"/>
      <c r="X188" s="45"/>
      <c r="Y188" s="43"/>
      <c r="Z188" s="43"/>
      <c r="AA188" s="46"/>
      <c r="AB188" s="45"/>
      <c r="AC188" s="46"/>
      <c r="AD188" s="43"/>
      <c r="AE188" s="43"/>
      <c r="AF188" s="43"/>
      <c r="AG188" s="43"/>
      <c r="AH188" s="43"/>
    </row>
    <row r="189" spans="2:34">
      <c r="B189" s="42"/>
      <c r="C189" s="42"/>
      <c r="D189" s="43"/>
      <c r="E189" s="43"/>
      <c r="F189" s="43"/>
      <c r="G189" s="43"/>
      <c r="H189" s="43"/>
      <c r="I189" s="43"/>
      <c r="J189" s="43"/>
      <c r="K189" s="45"/>
      <c r="L189" s="45"/>
      <c r="M189" s="45"/>
      <c r="N189" s="46"/>
      <c r="O189" s="46"/>
      <c r="P189" s="43"/>
      <c r="Q189" s="43"/>
      <c r="R189" s="43"/>
      <c r="S189" s="66"/>
      <c r="T189" s="46"/>
      <c r="U189" s="66"/>
      <c r="V189" s="45"/>
      <c r="W189" s="45"/>
      <c r="X189" s="45"/>
      <c r="Y189" s="43"/>
      <c r="Z189" s="43"/>
      <c r="AA189" s="46"/>
      <c r="AB189" s="45"/>
      <c r="AC189" s="46"/>
      <c r="AD189" s="43"/>
      <c r="AE189" s="43"/>
      <c r="AF189" s="43"/>
      <c r="AG189" s="43"/>
      <c r="AH189" s="43"/>
    </row>
    <row r="190" spans="2:34">
      <c r="B190" s="42"/>
      <c r="C190" s="42"/>
      <c r="D190" s="43"/>
      <c r="E190" s="43"/>
      <c r="F190" s="43"/>
      <c r="G190" s="43"/>
      <c r="H190" s="43"/>
      <c r="I190" s="43"/>
      <c r="J190" s="43"/>
      <c r="K190" s="45"/>
      <c r="L190" s="45"/>
      <c r="M190" s="45"/>
      <c r="N190" s="46"/>
      <c r="O190" s="46"/>
      <c r="P190" s="43"/>
      <c r="Q190" s="43"/>
      <c r="R190" s="43"/>
      <c r="S190" s="66"/>
      <c r="T190" s="46"/>
      <c r="U190" s="66"/>
      <c r="V190" s="45"/>
      <c r="W190" s="45"/>
      <c r="X190" s="45"/>
      <c r="Y190" s="43"/>
      <c r="Z190" s="43"/>
      <c r="AA190" s="46"/>
      <c r="AB190" s="45"/>
      <c r="AC190" s="46"/>
      <c r="AD190" s="43"/>
      <c r="AE190" s="43"/>
      <c r="AF190" s="43"/>
      <c r="AG190" s="43"/>
      <c r="AH190" s="43"/>
    </row>
    <row r="191" spans="2:34">
      <c r="B191" s="42"/>
      <c r="C191" s="42"/>
      <c r="D191" s="43"/>
      <c r="E191" s="43"/>
      <c r="F191" s="43"/>
      <c r="G191" s="43"/>
      <c r="H191" s="43"/>
      <c r="I191" s="43"/>
      <c r="J191" s="43"/>
      <c r="K191" s="45"/>
      <c r="L191" s="45"/>
      <c r="M191" s="45"/>
      <c r="N191" s="46"/>
      <c r="O191" s="46"/>
      <c r="P191" s="43"/>
      <c r="Q191" s="43"/>
      <c r="R191" s="43"/>
      <c r="S191" s="66"/>
      <c r="T191" s="46"/>
      <c r="U191" s="66"/>
      <c r="V191" s="45"/>
      <c r="W191" s="45"/>
      <c r="X191" s="45"/>
      <c r="Y191" s="43"/>
      <c r="Z191" s="43"/>
      <c r="AA191" s="46"/>
      <c r="AB191" s="45"/>
      <c r="AC191" s="46"/>
      <c r="AD191" s="43"/>
      <c r="AE191" s="43"/>
      <c r="AF191" s="43"/>
      <c r="AG191" s="43"/>
      <c r="AH191" s="43"/>
    </row>
    <row r="192" spans="2:34">
      <c r="B192" s="42"/>
      <c r="C192" s="42"/>
      <c r="D192" s="43"/>
      <c r="E192" s="43"/>
      <c r="F192" s="43"/>
      <c r="G192" s="43"/>
      <c r="H192" s="43"/>
      <c r="I192" s="43"/>
      <c r="J192" s="43"/>
      <c r="K192" s="45"/>
      <c r="L192" s="45"/>
      <c r="M192" s="45"/>
      <c r="N192" s="46"/>
      <c r="O192" s="46"/>
      <c r="P192" s="43"/>
      <c r="Q192" s="43"/>
      <c r="R192" s="43"/>
      <c r="S192" s="66"/>
      <c r="T192" s="46"/>
      <c r="U192" s="66"/>
      <c r="V192" s="45"/>
      <c r="W192" s="45"/>
      <c r="X192" s="45"/>
      <c r="Y192" s="43"/>
      <c r="Z192" s="43"/>
      <c r="AA192" s="46"/>
      <c r="AB192" s="45"/>
      <c r="AC192" s="46"/>
      <c r="AD192" s="43"/>
      <c r="AE192" s="43"/>
      <c r="AF192" s="43"/>
      <c r="AG192" s="43"/>
      <c r="AH192" s="43"/>
    </row>
    <row r="193" spans="2:34">
      <c r="B193" s="42"/>
      <c r="C193" s="42"/>
      <c r="D193" s="43"/>
      <c r="E193" s="43"/>
      <c r="F193" s="43"/>
      <c r="G193" s="43"/>
      <c r="H193" s="43"/>
      <c r="I193" s="43"/>
      <c r="J193" s="43"/>
      <c r="K193" s="45"/>
      <c r="L193" s="45"/>
      <c r="M193" s="45"/>
      <c r="N193" s="46"/>
      <c r="O193" s="46"/>
      <c r="P193" s="43"/>
      <c r="Q193" s="43"/>
      <c r="R193" s="43"/>
      <c r="S193" s="66"/>
      <c r="T193" s="46"/>
      <c r="U193" s="66"/>
      <c r="V193" s="45"/>
      <c r="W193" s="45"/>
      <c r="X193" s="45"/>
      <c r="Y193" s="43"/>
      <c r="Z193" s="43"/>
      <c r="AA193" s="46"/>
      <c r="AB193" s="45"/>
      <c r="AC193" s="46"/>
      <c r="AD193" s="43"/>
      <c r="AE193" s="43"/>
      <c r="AF193" s="43"/>
      <c r="AG193" s="43"/>
      <c r="AH193" s="43"/>
    </row>
    <row r="194" spans="2:34">
      <c r="B194" s="42"/>
      <c r="C194" s="42"/>
      <c r="D194" s="43"/>
      <c r="E194" s="43"/>
      <c r="F194" s="43"/>
      <c r="G194" s="43"/>
      <c r="H194" s="43"/>
      <c r="I194" s="43"/>
      <c r="J194" s="43"/>
      <c r="K194" s="45"/>
      <c r="L194" s="45"/>
      <c r="M194" s="45"/>
      <c r="N194" s="46"/>
      <c r="O194" s="46"/>
      <c r="P194" s="43"/>
      <c r="Q194" s="43"/>
      <c r="R194" s="43"/>
      <c r="S194" s="66"/>
      <c r="T194" s="46"/>
      <c r="U194" s="66"/>
      <c r="V194" s="45"/>
      <c r="W194" s="45"/>
      <c r="X194" s="45"/>
      <c r="Y194" s="43"/>
      <c r="Z194" s="43"/>
      <c r="AA194" s="46"/>
      <c r="AB194" s="45"/>
      <c r="AC194" s="46"/>
      <c r="AD194" s="43"/>
      <c r="AE194" s="43"/>
      <c r="AF194" s="43"/>
      <c r="AG194" s="43"/>
      <c r="AH194" s="43"/>
    </row>
    <row r="195" spans="2:34">
      <c r="B195" s="42"/>
      <c r="C195" s="42"/>
      <c r="D195" s="43"/>
      <c r="E195" s="43"/>
      <c r="F195" s="43"/>
      <c r="G195" s="43"/>
      <c r="H195" s="43"/>
      <c r="I195" s="43"/>
      <c r="J195" s="43"/>
      <c r="K195" s="45"/>
      <c r="L195" s="45"/>
      <c r="M195" s="45"/>
      <c r="N195" s="46"/>
      <c r="O195" s="46"/>
      <c r="P195" s="43"/>
      <c r="Q195" s="43"/>
      <c r="R195" s="43"/>
      <c r="S195" s="66"/>
      <c r="T195" s="46"/>
      <c r="U195" s="66"/>
      <c r="V195" s="45"/>
      <c r="W195" s="45"/>
      <c r="X195" s="45"/>
      <c r="Y195" s="43"/>
      <c r="Z195" s="43"/>
      <c r="AA195" s="46"/>
      <c r="AB195" s="45"/>
      <c r="AC195" s="46"/>
      <c r="AD195" s="43"/>
      <c r="AE195" s="43"/>
      <c r="AF195" s="43"/>
      <c r="AG195" s="43"/>
      <c r="AH195" s="43"/>
    </row>
    <row r="196" spans="2:34">
      <c r="B196" s="42"/>
      <c r="C196" s="42"/>
      <c r="D196" s="43"/>
      <c r="E196" s="43"/>
      <c r="F196" s="43"/>
      <c r="G196" s="43"/>
      <c r="H196" s="43"/>
      <c r="I196" s="43"/>
      <c r="J196" s="43"/>
      <c r="K196" s="45"/>
      <c r="L196" s="45"/>
      <c r="M196" s="45"/>
      <c r="N196" s="46"/>
      <c r="O196" s="46"/>
      <c r="P196" s="43"/>
      <c r="Q196" s="43"/>
      <c r="R196" s="43"/>
      <c r="S196" s="66"/>
      <c r="T196" s="46"/>
      <c r="U196" s="66"/>
      <c r="V196" s="45"/>
      <c r="W196" s="45"/>
      <c r="X196" s="45"/>
      <c r="Y196" s="43"/>
      <c r="Z196" s="43"/>
      <c r="AA196" s="46"/>
      <c r="AB196" s="45"/>
      <c r="AC196" s="46"/>
      <c r="AD196" s="43"/>
      <c r="AE196" s="43"/>
      <c r="AF196" s="43"/>
      <c r="AG196" s="43"/>
      <c r="AH196" s="43"/>
    </row>
    <row r="197" spans="2:34">
      <c r="B197" s="42"/>
      <c r="C197" s="42"/>
      <c r="D197" s="43"/>
      <c r="E197" s="43"/>
      <c r="F197" s="43"/>
      <c r="G197" s="43"/>
      <c r="H197" s="43"/>
      <c r="I197" s="43"/>
      <c r="J197" s="43"/>
      <c r="K197" s="45"/>
      <c r="L197" s="45"/>
      <c r="M197" s="45"/>
      <c r="N197" s="46"/>
      <c r="O197" s="46"/>
      <c r="P197" s="43"/>
      <c r="Q197" s="43"/>
      <c r="R197" s="43"/>
      <c r="S197" s="66"/>
      <c r="T197" s="46"/>
      <c r="U197" s="66"/>
      <c r="V197" s="45"/>
      <c r="W197" s="45"/>
      <c r="X197" s="45"/>
      <c r="Y197" s="43"/>
      <c r="Z197" s="43"/>
      <c r="AA197" s="46"/>
      <c r="AB197" s="45"/>
      <c r="AC197" s="46"/>
      <c r="AD197" s="43"/>
      <c r="AE197" s="43"/>
      <c r="AF197" s="43"/>
      <c r="AG197" s="43"/>
      <c r="AH197" s="43"/>
    </row>
    <row r="198" spans="2:34">
      <c r="B198" s="42"/>
      <c r="C198" s="42"/>
      <c r="D198" s="43"/>
      <c r="E198" s="43"/>
      <c r="F198" s="43"/>
      <c r="G198" s="43"/>
      <c r="H198" s="43"/>
      <c r="I198" s="43"/>
      <c r="J198" s="43"/>
      <c r="K198" s="45"/>
      <c r="L198" s="45"/>
      <c r="M198" s="45"/>
      <c r="N198" s="46"/>
      <c r="O198" s="46"/>
      <c r="P198" s="43"/>
      <c r="Q198" s="43"/>
      <c r="R198" s="43"/>
      <c r="S198" s="66"/>
      <c r="T198" s="46"/>
      <c r="U198" s="66"/>
      <c r="V198" s="45"/>
      <c r="W198" s="45"/>
      <c r="X198" s="45"/>
      <c r="Y198" s="43"/>
      <c r="Z198" s="43"/>
      <c r="AA198" s="46"/>
      <c r="AB198" s="45"/>
      <c r="AC198" s="46"/>
      <c r="AD198" s="43"/>
      <c r="AE198" s="43"/>
      <c r="AF198" s="43"/>
      <c r="AG198" s="43"/>
      <c r="AH198" s="43"/>
    </row>
    <row r="199" spans="2:34">
      <c r="B199" s="42"/>
      <c r="C199" s="42"/>
      <c r="D199" s="43"/>
      <c r="E199" s="43"/>
      <c r="F199" s="43"/>
      <c r="G199" s="43"/>
      <c r="H199" s="43"/>
      <c r="I199" s="43"/>
      <c r="J199" s="43"/>
      <c r="K199" s="45"/>
      <c r="L199" s="45"/>
      <c r="M199" s="45"/>
      <c r="N199" s="46"/>
      <c r="O199" s="46"/>
      <c r="P199" s="43"/>
      <c r="Q199" s="43"/>
      <c r="R199" s="43"/>
      <c r="S199" s="66"/>
      <c r="T199" s="46"/>
      <c r="U199" s="66"/>
      <c r="V199" s="45"/>
      <c r="W199" s="45"/>
      <c r="X199" s="45"/>
      <c r="Y199" s="43"/>
      <c r="Z199" s="43"/>
      <c r="AA199" s="46"/>
      <c r="AB199" s="45"/>
      <c r="AC199" s="46"/>
      <c r="AD199" s="43"/>
      <c r="AE199" s="43"/>
      <c r="AF199" s="43"/>
      <c r="AG199" s="43"/>
      <c r="AH199" s="43"/>
    </row>
    <row r="200" spans="2:34">
      <c r="B200" s="42"/>
      <c r="C200" s="42"/>
      <c r="D200" s="43"/>
      <c r="E200" s="43"/>
      <c r="F200" s="43"/>
      <c r="G200" s="43"/>
      <c r="H200" s="43"/>
      <c r="I200" s="43"/>
      <c r="J200" s="43"/>
      <c r="K200" s="45"/>
      <c r="L200" s="45"/>
      <c r="M200" s="45"/>
      <c r="N200" s="46"/>
      <c r="O200" s="46"/>
      <c r="P200" s="43"/>
      <c r="Q200" s="43"/>
      <c r="R200" s="43"/>
      <c r="S200" s="66"/>
      <c r="T200" s="46"/>
      <c r="U200" s="66"/>
      <c r="V200" s="45"/>
      <c r="W200" s="45"/>
      <c r="X200" s="45"/>
      <c r="Y200" s="43"/>
      <c r="Z200" s="43"/>
      <c r="AA200" s="46"/>
      <c r="AB200" s="45"/>
      <c r="AC200" s="46"/>
      <c r="AD200" s="43"/>
      <c r="AE200" s="43"/>
      <c r="AF200" s="43"/>
      <c r="AG200" s="43"/>
      <c r="AH200" s="43"/>
    </row>
    <row r="201" spans="2:34">
      <c r="B201" s="42"/>
      <c r="C201" s="42"/>
      <c r="D201" s="43"/>
      <c r="E201" s="43"/>
      <c r="F201" s="43"/>
      <c r="G201" s="43"/>
      <c r="H201" s="43"/>
      <c r="I201" s="43"/>
      <c r="J201" s="43"/>
      <c r="K201" s="45"/>
      <c r="L201" s="45"/>
      <c r="M201" s="45"/>
      <c r="N201" s="46"/>
      <c r="O201" s="46"/>
      <c r="P201" s="43"/>
      <c r="Q201" s="43"/>
      <c r="R201" s="43"/>
      <c r="S201" s="66"/>
      <c r="T201" s="46"/>
      <c r="U201" s="66"/>
      <c r="V201" s="45"/>
      <c r="W201" s="45"/>
      <c r="X201" s="45"/>
      <c r="Y201" s="43"/>
      <c r="Z201" s="43"/>
      <c r="AA201" s="46"/>
      <c r="AB201" s="45"/>
      <c r="AC201" s="46"/>
      <c r="AD201" s="43"/>
      <c r="AE201" s="43"/>
      <c r="AF201" s="43"/>
      <c r="AG201" s="43"/>
      <c r="AH201" s="43"/>
    </row>
    <row r="202" spans="2:34">
      <c r="B202" s="42"/>
      <c r="C202" s="42"/>
      <c r="D202" s="43"/>
      <c r="E202" s="43"/>
      <c r="F202" s="43"/>
      <c r="G202" s="43"/>
      <c r="H202" s="43"/>
      <c r="I202" s="43"/>
      <c r="J202" s="43"/>
      <c r="K202" s="45"/>
      <c r="L202" s="45"/>
      <c r="M202" s="45"/>
      <c r="N202" s="46"/>
      <c r="O202" s="46"/>
      <c r="P202" s="43"/>
      <c r="Q202" s="43"/>
      <c r="R202" s="43"/>
      <c r="S202" s="66"/>
      <c r="T202" s="46"/>
      <c r="U202" s="66"/>
      <c r="V202" s="45"/>
      <c r="W202" s="45"/>
      <c r="X202" s="45"/>
      <c r="Y202" s="43"/>
      <c r="Z202" s="43"/>
      <c r="AA202" s="46"/>
      <c r="AB202" s="45"/>
      <c r="AC202" s="46"/>
      <c r="AD202" s="43"/>
      <c r="AE202" s="43"/>
      <c r="AF202" s="43"/>
      <c r="AG202" s="43"/>
      <c r="AH202" s="43"/>
    </row>
    <row r="203" spans="2:34">
      <c r="B203" s="42"/>
      <c r="C203" s="42"/>
      <c r="D203" s="43"/>
      <c r="E203" s="43"/>
      <c r="F203" s="43"/>
      <c r="G203" s="43"/>
      <c r="H203" s="43"/>
      <c r="I203" s="43"/>
      <c r="J203" s="43"/>
      <c r="K203" s="45"/>
      <c r="L203" s="45"/>
      <c r="M203" s="45"/>
      <c r="N203" s="46"/>
      <c r="O203" s="46"/>
      <c r="P203" s="43"/>
      <c r="Q203" s="43"/>
      <c r="R203" s="43"/>
      <c r="S203" s="66"/>
      <c r="T203" s="46"/>
      <c r="U203" s="66"/>
      <c r="V203" s="45"/>
      <c r="W203" s="45"/>
      <c r="X203" s="45"/>
      <c r="Y203" s="43"/>
      <c r="Z203" s="43"/>
      <c r="AA203" s="46"/>
      <c r="AB203" s="45"/>
      <c r="AC203" s="46"/>
      <c r="AD203" s="43"/>
      <c r="AE203" s="43"/>
      <c r="AF203" s="43"/>
      <c r="AG203" s="43"/>
      <c r="AH203" s="43"/>
    </row>
    <row r="204" spans="2:34">
      <c r="B204" s="42"/>
      <c r="C204" s="42"/>
      <c r="D204" s="43"/>
      <c r="E204" s="43"/>
      <c r="F204" s="43"/>
      <c r="G204" s="43"/>
      <c r="H204" s="43"/>
      <c r="I204" s="43"/>
      <c r="J204" s="43"/>
      <c r="K204" s="45"/>
      <c r="L204" s="45"/>
      <c r="M204" s="45"/>
      <c r="N204" s="46"/>
      <c r="O204" s="46"/>
      <c r="P204" s="43"/>
      <c r="Q204" s="43"/>
      <c r="R204" s="43"/>
      <c r="S204" s="66"/>
      <c r="T204" s="46"/>
      <c r="U204" s="66"/>
      <c r="V204" s="45"/>
      <c r="W204" s="45"/>
      <c r="X204" s="45"/>
      <c r="Y204" s="43"/>
      <c r="Z204" s="43"/>
      <c r="AA204" s="46"/>
      <c r="AB204" s="45"/>
      <c r="AC204" s="46"/>
      <c r="AD204" s="43"/>
      <c r="AE204" s="43"/>
      <c r="AF204" s="43"/>
      <c r="AG204" s="43"/>
      <c r="AH204" s="43"/>
    </row>
    <row r="205" spans="2:34">
      <c r="B205" s="42"/>
      <c r="C205" s="42"/>
      <c r="D205" s="43"/>
      <c r="E205" s="43"/>
      <c r="F205" s="43"/>
      <c r="G205" s="43"/>
      <c r="H205" s="43"/>
      <c r="I205" s="43"/>
      <c r="J205" s="43"/>
      <c r="K205" s="45"/>
      <c r="L205" s="45"/>
      <c r="M205" s="45"/>
      <c r="N205" s="46"/>
      <c r="O205" s="46"/>
      <c r="P205" s="43"/>
      <c r="Q205" s="43"/>
      <c r="R205" s="43"/>
      <c r="S205" s="66"/>
      <c r="T205" s="46"/>
      <c r="U205" s="66"/>
      <c r="V205" s="45"/>
      <c r="W205" s="45"/>
      <c r="X205" s="45"/>
      <c r="Y205" s="43"/>
      <c r="Z205" s="43"/>
      <c r="AA205" s="46"/>
      <c r="AB205" s="45"/>
      <c r="AC205" s="46"/>
      <c r="AD205" s="43"/>
      <c r="AE205" s="43"/>
      <c r="AF205" s="43"/>
      <c r="AG205" s="43"/>
      <c r="AH205" s="43"/>
    </row>
    <row r="206" spans="2:34">
      <c r="B206" s="42"/>
      <c r="C206" s="42"/>
      <c r="D206" s="43"/>
      <c r="E206" s="43"/>
      <c r="F206" s="43"/>
      <c r="G206" s="43"/>
      <c r="H206" s="43"/>
      <c r="I206" s="43"/>
      <c r="J206" s="43"/>
      <c r="K206" s="45"/>
      <c r="L206" s="45"/>
      <c r="M206" s="45"/>
      <c r="N206" s="46"/>
      <c r="O206" s="46"/>
      <c r="P206" s="43"/>
      <c r="Q206" s="43"/>
      <c r="R206" s="43"/>
      <c r="S206" s="66"/>
      <c r="T206" s="46"/>
      <c r="U206" s="66"/>
      <c r="V206" s="45"/>
      <c r="W206" s="45"/>
      <c r="X206" s="45"/>
      <c r="Y206" s="43"/>
      <c r="Z206" s="43"/>
      <c r="AA206" s="46"/>
      <c r="AB206" s="45"/>
      <c r="AC206" s="46"/>
      <c r="AD206" s="43"/>
      <c r="AE206" s="43"/>
      <c r="AF206" s="43"/>
      <c r="AG206" s="43"/>
      <c r="AH206" s="43"/>
    </row>
    <row r="207" spans="2:34">
      <c r="B207" s="42"/>
      <c r="C207" s="42"/>
      <c r="D207" s="43"/>
      <c r="E207" s="43"/>
      <c r="F207" s="43"/>
      <c r="G207" s="43"/>
      <c r="H207" s="43"/>
      <c r="I207" s="43"/>
      <c r="J207" s="43"/>
      <c r="K207" s="45"/>
      <c r="L207" s="45"/>
      <c r="M207" s="45"/>
      <c r="N207" s="46"/>
      <c r="O207" s="46"/>
      <c r="P207" s="43"/>
      <c r="Q207" s="43"/>
      <c r="R207" s="43"/>
      <c r="S207" s="66"/>
      <c r="T207" s="46"/>
      <c r="U207" s="66"/>
      <c r="V207" s="45"/>
      <c r="W207" s="45"/>
      <c r="X207" s="45"/>
      <c r="Y207" s="43"/>
      <c r="Z207" s="43"/>
      <c r="AA207" s="46"/>
      <c r="AB207" s="45"/>
      <c r="AC207" s="46"/>
      <c r="AD207" s="43"/>
      <c r="AE207" s="43"/>
      <c r="AF207" s="43"/>
      <c r="AG207" s="43"/>
      <c r="AH207" s="43"/>
    </row>
    <row r="208" spans="2:34">
      <c r="B208" s="42"/>
      <c r="C208" s="42"/>
      <c r="D208" s="43"/>
      <c r="E208" s="43"/>
      <c r="F208" s="43"/>
      <c r="G208" s="43"/>
      <c r="H208" s="43"/>
      <c r="I208" s="43"/>
      <c r="J208" s="43"/>
      <c r="K208" s="45"/>
      <c r="L208" s="45"/>
      <c r="M208" s="45"/>
      <c r="N208" s="46"/>
      <c r="O208" s="46"/>
      <c r="P208" s="43"/>
      <c r="Q208" s="43"/>
      <c r="R208" s="43"/>
      <c r="S208" s="66"/>
      <c r="T208" s="46"/>
      <c r="U208" s="66"/>
      <c r="V208" s="45"/>
      <c r="W208" s="45"/>
      <c r="X208" s="45"/>
      <c r="Y208" s="43"/>
      <c r="Z208" s="43"/>
      <c r="AA208" s="46"/>
      <c r="AB208" s="45"/>
      <c r="AC208" s="46"/>
      <c r="AD208" s="43"/>
      <c r="AE208" s="43"/>
      <c r="AF208" s="43"/>
      <c r="AG208" s="43"/>
      <c r="AH208" s="43"/>
    </row>
    <row r="209" spans="2:34">
      <c r="B209" s="42"/>
      <c r="C209" s="42"/>
      <c r="D209" s="43"/>
      <c r="E209" s="43"/>
      <c r="F209" s="43"/>
      <c r="G209" s="43"/>
      <c r="H209" s="43"/>
      <c r="I209" s="43"/>
      <c r="J209" s="43"/>
      <c r="K209" s="45"/>
      <c r="L209" s="45"/>
      <c r="M209" s="45"/>
      <c r="N209" s="46"/>
      <c r="O209" s="46"/>
      <c r="P209" s="43"/>
      <c r="Q209" s="43"/>
      <c r="R209" s="43"/>
      <c r="S209" s="66"/>
      <c r="T209" s="46"/>
      <c r="U209" s="66"/>
      <c r="V209" s="45"/>
      <c r="W209" s="45"/>
      <c r="X209" s="45"/>
      <c r="Y209" s="43"/>
      <c r="Z209" s="43"/>
      <c r="AA209" s="46"/>
      <c r="AB209" s="45"/>
      <c r="AC209" s="46"/>
      <c r="AD209" s="43"/>
      <c r="AE209" s="43"/>
      <c r="AF209" s="43"/>
      <c r="AG209" s="43"/>
      <c r="AH209" s="43"/>
    </row>
    <row r="210" spans="2:34">
      <c r="B210" s="42"/>
      <c r="C210" s="42"/>
      <c r="D210" s="43"/>
      <c r="E210" s="43"/>
      <c r="F210" s="43"/>
      <c r="G210" s="43"/>
      <c r="H210" s="43"/>
      <c r="I210" s="43"/>
      <c r="J210" s="43"/>
      <c r="K210" s="45"/>
      <c r="L210" s="45"/>
      <c r="M210" s="45"/>
      <c r="N210" s="46"/>
      <c r="O210" s="46"/>
      <c r="P210" s="43"/>
      <c r="Q210" s="43"/>
      <c r="R210" s="43"/>
      <c r="S210" s="66"/>
      <c r="T210" s="46"/>
      <c r="U210" s="66"/>
      <c r="V210" s="45"/>
      <c r="W210" s="45"/>
      <c r="X210" s="45"/>
      <c r="Y210" s="43"/>
      <c r="Z210" s="43"/>
      <c r="AA210" s="46"/>
      <c r="AB210" s="45"/>
      <c r="AC210" s="46"/>
      <c r="AD210" s="43"/>
      <c r="AE210" s="43"/>
      <c r="AF210" s="43"/>
      <c r="AG210" s="43"/>
      <c r="AH210" s="43"/>
    </row>
    <row r="211" spans="2:34">
      <c r="B211" s="42"/>
      <c r="C211" s="42"/>
      <c r="D211" s="43"/>
      <c r="E211" s="43"/>
      <c r="F211" s="43"/>
      <c r="G211" s="43"/>
      <c r="H211" s="43"/>
      <c r="I211" s="43"/>
      <c r="J211" s="43"/>
      <c r="K211" s="45"/>
      <c r="L211" s="45"/>
      <c r="M211" s="45"/>
      <c r="N211" s="46"/>
      <c r="O211" s="46"/>
      <c r="P211" s="43"/>
      <c r="Q211" s="43"/>
      <c r="R211" s="43"/>
      <c r="S211" s="66"/>
      <c r="T211" s="46"/>
      <c r="U211" s="66"/>
      <c r="V211" s="45"/>
      <c r="W211" s="45"/>
      <c r="X211" s="45"/>
      <c r="Y211" s="43"/>
      <c r="Z211" s="43"/>
      <c r="AA211" s="46"/>
      <c r="AB211" s="45"/>
      <c r="AC211" s="46"/>
      <c r="AD211" s="43"/>
      <c r="AE211" s="43"/>
      <c r="AF211" s="43"/>
      <c r="AG211" s="43"/>
      <c r="AH211" s="43"/>
    </row>
    <row r="212" spans="2:34">
      <c r="B212" s="42"/>
      <c r="C212" s="42"/>
      <c r="D212" s="43"/>
      <c r="E212" s="43"/>
      <c r="F212" s="43"/>
      <c r="G212" s="43"/>
      <c r="H212" s="43"/>
      <c r="I212" s="43"/>
      <c r="J212" s="43"/>
      <c r="K212" s="45"/>
      <c r="L212" s="45"/>
      <c r="M212" s="45"/>
      <c r="N212" s="46"/>
      <c r="O212" s="46"/>
      <c r="P212" s="43"/>
      <c r="Q212" s="43"/>
      <c r="R212" s="43"/>
      <c r="S212" s="66"/>
      <c r="T212" s="46"/>
      <c r="U212" s="66"/>
      <c r="V212" s="45"/>
      <c r="W212" s="45"/>
      <c r="X212" s="45"/>
      <c r="Y212" s="43"/>
      <c r="Z212" s="43"/>
      <c r="AA212" s="46"/>
      <c r="AB212" s="45"/>
      <c r="AC212" s="46"/>
      <c r="AD212" s="43"/>
      <c r="AE212" s="43"/>
      <c r="AF212" s="43"/>
      <c r="AG212" s="43"/>
      <c r="AH212" s="43"/>
    </row>
    <row r="213" spans="2:34">
      <c r="B213" s="42"/>
      <c r="C213" s="42"/>
      <c r="D213" s="43"/>
      <c r="E213" s="43"/>
      <c r="F213" s="43"/>
      <c r="G213" s="43"/>
      <c r="H213" s="43"/>
      <c r="I213" s="43"/>
      <c r="J213" s="43"/>
      <c r="K213" s="45"/>
      <c r="L213" s="45"/>
      <c r="M213" s="45"/>
      <c r="N213" s="46"/>
      <c r="O213" s="46"/>
      <c r="P213" s="43"/>
      <c r="Q213" s="43"/>
      <c r="R213" s="43"/>
      <c r="S213" s="66"/>
      <c r="T213" s="46"/>
      <c r="U213" s="66"/>
      <c r="V213" s="45"/>
      <c r="W213" s="45"/>
      <c r="X213" s="45"/>
      <c r="Y213" s="43"/>
      <c r="Z213" s="43"/>
      <c r="AA213" s="46"/>
      <c r="AB213" s="45"/>
      <c r="AC213" s="46"/>
      <c r="AD213" s="43"/>
      <c r="AE213" s="43"/>
      <c r="AF213" s="43"/>
      <c r="AG213" s="43"/>
      <c r="AH213" s="43"/>
    </row>
    <row r="214" spans="2:34">
      <c r="B214" s="42"/>
      <c r="C214" s="42"/>
      <c r="D214" s="43"/>
      <c r="E214" s="43"/>
      <c r="F214" s="43"/>
      <c r="G214" s="43"/>
      <c r="H214" s="43"/>
      <c r="I214" s="43"/>
      <c r="J214" s="43"/>
      <c r="K214" s="45"/>
      <c r="L214" s="45"/>
      <c r="M214" s="45"/>
      <c r="N214" s="46"/>
      <c r="O214" s="46"/>
      <c r="P214" s="43"/>
      <c r="Q214" s="43"/>
      <c r="R214" s="43"/>
      <c r="S214" s="66"/>
      <c r="T214" s="46"/>
      <c r="U214" s="66"/>
      <c r="V214" s="45"/>
      <c r="W214" s="45"/>
      <c r="X214" s="45"/>
      <c r="Y214" s="43"/>
      <c r="Z214" s="43"/>
      <c r="AA214" s="46"/>
      <c r="AB214" s="45"/>
      <c r="AC214" s="46"/>
      <c r="AD214" s="43"/>
      <c r="AE214" s="43"/>
      <c r="AF214" s="43"/>
      <c r="AG214" s="43"/>
      <c r="AH214" s="43"/>
    </row>
    <row r="215" spans="2:34">
      <c r="B215" s="42"/>
      <c r="C215" s="42"/>
      <c r="D215" s="43"/>
      <c r="E215" s="43"/>
      <c r="F215" s="43"/>
      <c r="G215" s="43"/>
      <c r="H215" s="43"/>
      <c r="I215" s="43"/>
      <c r="J215" s="43"/>
      <c r="K215" s="45"/>
      <c r="L215" s="45"/>
      <c r="M215" s="45"/>
      <c r="N215" s="46"/>
      <c r="O215" s="46"/>
      <c r="P215" s="43"/>
      <c r="Q215" s="43"/>
      <c r="R215" s="43"/>
      <c r="S215" s="66"/>
      <c r="T215" s="46"/>
      <c r="U215" s="66"/>
      <c r="V215" s="45"/>
      <c r="W215" s="45"/>
      <c r="X215" s="45"/>
      <c r="Y215" s="43"/>
      <c r="Z215" s="43"/>
      <c r="AA215" s="46"/>
      <c r="AB215" s="45"/>
      <c r="AC215" s="46"/>
      <c r="AD215" s="43"/>
      <c r="AE215" s="43"/>
      <c r="AF215" s="43"/>
      <c r="AG215" s="43"/>
      <c r="AH215" s="43"/>
    </row>
    <row r="216" spans="2:34">
      <c r="B216" s="42"/>
      <c r="C216" s="42"/>
      <c r="D216" s="43"/>
      <c r="E216" s="43"/>
      <c r="F216" s="43"/>
      <c r="G216" s="43"/>
      <c r="H216" s="43"/>
      <c r="I216" s="43"/>
      <c r="J216" s="43"/>
      <c r="K216" s="45"/>
      <c r="L216" s="45"/>
      <c r="M216" s="45"/>
      <c r="N216" s="46"/>
      <c r="O216" s="46"/>
      <c r="P216" s="43"/>
      <c r="Q216" s="43"/>
      <c r="R216" s="43"/>
      <c r="S216" s="66"/>
      <c r="T216" s="46"/>
      <c r="U216" s="66"/>
      <c r="V216" s="45"/>
      <c r="W216" s="45"/>
      <c r="X216" s="45"/>
      <c r="Y216" s="43"/>
      <c r="Z216" s="43"/>
      <c r="AA216" s="46"/>
      <c r="AB216" s="45"/>
      <c r="AC216" s="46"/>
      <c r="AD216" s="43"/>
      <c r="AE216" s="43"/>
      <c r="AF216" s="43"/>
      <c r="AG216" s="43"/>
      <c r="AH216" s="43"/>
    </row>
    <row r="217" spans="2:34">
      <c r="B217" s="42"/>
      <c r="C217" s="42"/>
      <c r="D217" s="43"/>
      <c r="E217" s="43"/>
      <c r="F217" s="43"/>
      <c r="G217" s="43"/>
      <c r="H217" s="43"/>
      <c r="I217" s="43"/>
      <c r="J217" s="43"/>
      <c r="K217" s="45"/>
      <c r="L217" s="45"/>
      <c r="M217" s="45"/>
      <c r="N217" s="46"/>
      <c r="O217" s="46"/>
      <c r="P217" s="43"/>
      <c r="Q217" s="43"/>
      <c r="R217" s="43"/>
      <c r="S217" s="66"/>
      <c r="T217" s="46"/>
      <c r="U217" s="66"/>
      <c r="V217" s="45"/>
      <c r="W217" s="45"/>
      <c r="X217" s="45"/>
      <c r="Y217" s="43"/>
      <c r="Z217" s="43"/>
      <c r="AA217" s="46"/>
      <c r="AB217" s="45"/>
      <c r="AC217" s="46"/>
      <c r="AD217" s="43"/>
      <c r="AE217" s="43"/>
      <c r="AF217" s="43"/>
      <c r="AG217" s="43"/>
      <c r="AH217" s="43"/>
    </row>
    <row r="218" spans="2:34">
      <c r="B218" s="42"/>
      <c r="C218" s="42"/>
      <c r="D218" s="43"/>
      <c r="E218" s="43"/>
      <c r="F218" s="43"/>
      <c r="G218" s="43"/>
      <c r="H218" s="43"/>
      <c r="I218" s="43"/>
      <c r="J218" s="43"/>
      <c r="K218" s="45"/>
      <c r="L218" s="45"/>
      <c r="M218" s="45"/>
      <c r="N218" s="46"/>
      <c r="O218" s="46"/>
      <c r="P218" s="43"/>
      <c r="Q218" s="43"/>
      <c r="R218" s="43"/>
      <c r="S218" s="66"/>
      <c r="T218" s="46"/>
      <c r="U218" s="66"/>
      <c r="V218" s="45"/>
      <c r="W218" s="45"/>
      <c r="X218" s="45"/>
      <c r="Y218" s="43"/>
      <c r="Z218" s="43"/>
      <c r="AA218" s="46"/>
      <c r="AB218" s="45"/>
      <c r="AC218" s="46"/>
      <c r="AD218" s="43"/>
      <c r="AE218" s="43"/>
      <c r="AF218" s="43"/>
      <c r="AG218" s="43"/>
      <c r="AH218" s="43"/>
    </row>
    <row r="219" spans="2:34">
      <c r="B219" s="42"/>
      <c r="C219" s="42"/>
      <c r="D219" s="43"/>
      <c r="E219" s="43"/>
      <c r="F219" s="43"/>
      <c r="G219" s="43"/>
      <c r="H219" s="43"/>
      <c r="I219" s="43"/>
      <c r="J219" s="43"/>
      <c r="K219" s="45"/>
      <c r="L219" s="45"/>
      <c r="M219" s="45"/>
      <c r="N219" s="46"/>
      <c r="O219" s="46"/>
      <c r="P219" s="43"/>
      <c r="Q219" s="43"/>
      <c r="R219" s="43"/>
      <c r="S219" s="66"/>
      <c r="T219" s="46"/>
      <c r="U219" s="66"/>
      <c r="V219" s="45"/>
      <c r="W219" s="45"/>
      <c r="X219" s="45"/>
      <c r="Y219" s="43"/>
      <c r="Z219" s="43"/>
      <c r="AA219" s="46"/>
      <c r="AB219" s="45"/>
      <c r="AC219" s="46"/>
      <c r="AD219" s="43"/>
      <c r="AE219" s="43"/>
      <c r="AF219" s="43"/>
      <c r="AG219" s="43"/>
      <c r="AH219" s="43"/>
    </row>
    <row r="220" spans="2:34">
      <c r="B220" s="42"/>
      <c r="C220" s="42"/>
      <c r="D220" s="43"/>
      <c r="E220" s="43"/>
      <c r="F220" s="43"/>
      <c r="G220" s="43"/>
      <c r="H220" s="43"/>
      <c r="I220" s="43"/>
      <c r="J220" s="43"/>
      <c r="K220" s="45"/>
      <c r="L220" s="45"/>
      <c r="M220" s="45"/>
      <c r="N220" s="46"/>
      <c r="O220" s="46"/>
      <c r="P220" s="43"/>
      <c r="Q220" s="43"/>
      <c r="R220" s="43"/>
      <c r="S220" s="66"/>
      <c r="T220" s="46"/>
      <c r="U220" s="66"/>
      <c r="V220" s="45"/>
      <c r="W220" s="45"/>
      <c r="X220" s="45"/>
      <c r="Y220" s="43"/>
      <c r="Z220" s="43"/>
      <c r="AA220" s="46"/>
      <c r="AB220" s="45"/>
      <c r="AC220" s="46"/>
      <c r="AD220" s="43"/>
      <c r="AE220" s="43"/>
      <c r="AF220" s="43"/>
      <c r="AG220" s="43"/>
      <c r="AH220" s="43"/>
    </row>
    <row r="221" spans="2:34">
      <c r="B221" s="42"/>
      <c r="C221" s="42"/>
      <c r="D221" s="43"/>
      <c r="E221" s="43"/>
      <c r="F221" s="43"/>
      <c r="G221" s="43"/>
      <c r="H221" s="43"/>
      <c r="I221" s="43"/>
      <c r="J221" s="43"/>
      <c r="K221" s="45"/>
      <c r="L221" s="45"/>
      <c r="M221" s="45"/>
      <c r="N221" s="46"/>
      <c r="O221" s="46"/>
      <c r="P221" s="43"/>
      <c r="Q221" s="43"/>
      <c r="R221" s="43"/>
      <c r="S221" s="66"/>
      <c r="T221" s="46"/>
      <c r="U221" s="66"/>
      <c r="V221" s="45"/>
      <c r="W221" s="45"/>
      <c r="X221" s="45"/>
      <c r="Y221" s="43"/>
      <c r="Z221" s="43"/>
      <c r="AA221" s="46"/>
      <c r="AB221" s="45"/>
      <c r="AC221" s="46"/>
      <c r="AD221" s="43"/>
      <c r="AE221" s="43"/>
      <c r="AF221" s="43"/>
      <c r="AG221" s="43"/>
      <c r="AH221" s="43"/>
    </row>
    <row r="222" spans="2:34">
      <c r="B222" s="42"/>
      <c r="C222" s="42"/>
      <c r="D222" s="43"/>
      <c r="E222" s="43"/>
      <c r="F222" s="43"/>
      <c r="G222" s="43"/>
      <c r="H222" s="43"/>
      <c r="I222" s="43"/>
      <c r="J222" s="43"/>
      <c r="K222" s="45"/>
      <c r="L222" s="45"/>
      <c r="M222" s="45"/>
      <c r="N222" s="46"/>
      <c r="O222" s="46"/>
      <c r="P222" s="43"/>
      <c r="Q222" s="43"/>
      <c r="R222" s="43"/>
      <c r="S222" s="66"/>
      <c r="T222" s="46"/>
      <c r="U222" s="66"/>
      <c r="V222" s="45"/>
      <c r="W222" s="45"/>
      <c r="X222" s="45"/>
      <c r="Y222" s="43"/>
      <c r="Z222" s="43"/>
      <c r="AA222" s="46"/>
      <c r="AB222" s="45"/>
      <c r="AC222" s="46"/>
      <c r="AD222" s="43"/>
      <c r="AE222" s="43"/>
      <c r="AF222" s="43"/>
      <c r="AG222" s="43"/>
      <c r="AH222" s="43"/>
    </row>
    <row r="223" spans="2:34">
      <c r="B223" s="42"/>
      <c r="C223" s="42"/>
      <c r="D223" s="43"/>
      <c r="E223" s="43"/>
      <c r="F223" s="43"/>
      <c r="G223" s="43"/>
      <c r="H223" s="43"/>
      <c r="I223" s="43"/>
      <c r="J223" s="43"/>
      <c r="K223" s="45"/>
      <c r="L223" s="45"/>
      <c r="M223" s="45"/>
      <c r="N223" s="46"/>
      <c r="O223" s="46"/>
      <c r="P223" s="43"/>
      <c r="Q223" s="43"/>
      <c r="R223" s="43"/>
      <c r="S223" s="66"/>
      <c r="T223" s="46"/>
      <c r="U223" s="66"/>
      <c r="V223" s="45"/>
      <c r="W223" s="45"/>
      <c r="X223" s="45"/>
      <c r="Y223" s="43"/>
      <c r="Z223" s="43"/>
      <c r="AA223" s="46"/>
      <c r="AB223" s="45"/>
      <c r="AC223" s="46"/>
      <c r="AD223" s="43"/>
      <c r="AE223" s="43"/>
      <c r="AF223" s="43"/>
      <c r="AG223" s="43"/>
      <c r="AH223" s="43"/>
    </row>
    <row r="224" spans="2:34">
      <c r="B224" s="42"/>
      <c r="C224" s="42"/>
      <c r="D224" s="43"/>
      <c r="E224" s="43"/>
      <c r="F224" s="43"/>
      <c r="G224" s="43"/>
      <c r="H224" s="43"/>
      <c r="I224" s="43"/>
      <c r="J224" s="43"/>
      <c r="K224" s="45"/>
      <c r="L224" s="45"/>
      <c r="M224" s="45"/>
      <c r="N224" s="46"/>
      <c r="O224" s="46"/>
      <c r="P224" s="43"/>
      <c r="Q224" s="43"/>
      <c r="R224" s="43"/>
      <c r="S224" s="66"/>
      <c r="T224" s="46"/>
      <c r="U224" s="66"/>
      <c r="V224" s="45"/>
      <c r="W224" s="45"/>
      <c r="X224" s="45"/>
      <c r="Y224" s="43"/>
      <c r="Z224" s="43"/>
      <c r="AA224" s="46"/>
      <c r="AB224" s="45"/>
      <c r="AC224" s="46"/>
      <c r="AD224" s="43"/>
      <c r="AE224" s="43"/>
      <c r="AF224" s="43"/>
      <c r="AG224" s="43"/>
      <c r="AH224" s="43"/>
    </row>
    <row r="225" spans="2:34">
      <c r="B225" s="42"/>
      <c r="C225" s="42"/>
      <c r="D225" s="43"/>
      <c r="E225" s="43"/>
      <c r="F225" s="43"/>
      <c r="G225" s="43"/>
      <c r="H225" s="43"/>
      <c r="I225" s="43"/>
      <c r="J225" s="43"/>
      <c r="K225" s="45"/>
      <c r="L225" s="45"/>
      <c r="M225" s="45"/>
      <c r="N225" s="46"/>
      <c r="O225" s="46"/>
      <c r="P225" s="43"/>
      <c r="Q225" s="43"/>
      <c r="R225" s="43"/>
      <c r="S225" s="66"/>
      <c r="T225" s="46"/>
      <c r="U225" s="66"/>
      <c r="V225" s="45"/>
      <c r="W225" s="45"/>
      <c r="X225" s="45"/>
      <c r="Y225" s="43"/>
      <c r="Z225" s="43"/>
      <c r="AA225" s="46"/>
      <c r="AB225" s="45"/>
      <c r="AC225" s="46"/>
      <c r="AD225" s="43"/>
      <c r="AE225" s="43"/>
      <c r="AF225" s="43"/>
      <c r="AG225" s="43"/>
      <c r="AH225" s="43"/>
    </row>
    <row r="226" spans="2:34">
      <c r="B226" s="42"/>
      <c r="C226" s="42"/>
      <c r="D226" s="43"/>
      <c r="E226" s="43"/>
      <c r="F226" s="43"/>
      <c r="G226" s="43"/>
      <c r="H226" s="43"/>
      <c r="I226" s="43"/>
      <c r="J226" s="43"/>
      <c r="K226" s="45"/>
      <c r="L226" s="45"/>
      <c r="M226" s="45"/>
      <c r="N226" s="46"/>
      <c r="O226" s="46"/>
      <c r="P226" s="43"/>
      <c r="Q226" s="43"/>
      <c r="R226" s="43"/>
      <c r="S226" s="66"/>
      <c r="T226" s="46"/>
      <c r="U226" s="66"/>
      <c r="V226" s="45"/>
      <c r="W226" s="45"/>
      <c r="X226" s="45"/>
      <c r="Y226" s="43"/>
      <c r="Z226" s="43"/>
      <c r="AA226" s="46"/>
      <c r="AB226" s="45"/>
      <c r="AC226" s="46"/>
      <c r="AD226" s="43"/>
      <c r="AE226" s="43"/>
      <c r="AF226" s="43"/>
      <c r="AG226" s="43"/>
      <c r="AH226" s="43"/>
    </row>
    <row r="227" spans="2:34">
      <c r="B227" s="42"/>
      <c r="C227" s="42"/>
      <c r="D227" s="43"/>
      <c r="E227" s="43"/>
      <c r="F227" s="43"/>
      <c r="G227" s="43"/>
      <c r="H227" s="43"/>
      <c r="I227" s="43"/>
      <c r="J227" s="43"/>
      <c r="K227" s="45"/>
      <c r="L227" s="45"/>
      <c r="M227" s="45"/>
      <c r="N227" s="46"/>
      <c r="O227" s="46"/>
      <c r="P227" s="43"/>
      <c r="Q227" s="43"/>
      <c r="R227" s="43"/>
      <c r="S227" s="66"/>
      <c r="T227" s="46"/>
      <c r="U227" s="66"/>
      <c r="V227" s="45"/>
      <c r="W227" s="45"/>
      <c r="X227" s="45"/>
      <c r="Y227" s="43"/>
      <c r="Z227" s="43"/>
      <c r="AA227" s="46"/>
      <c r="AB227" s="45"/>
      <c r="AC227" s="46"/>
      <c r="AD227" s="43"/>
      <c r="AE227" s="43"/>
      <c r="AF227" s="43"/>
      <c r="AG227" s="43"/>
      <c r="AH227" s="43"/>
    </row>
    <row r="228" spans="2:34">
      <c r="B228" s="42"/>
      <c r="C228" s="42"/>
      <c r="D228" s="43"/>
      <c r="E228" s="43"/>
      <c r="F228" s="43"/>
      <c r="G228" s="43"/>
      <c r="H228" s="43"/>
      <c r="I228" s="43"/>
      <c r="J228" s="43"/>
      <c r="K228" s="45"/>
      <c r="L228" s="45"/>
      <c r="M228" s="45"/>
      <c r="N228" s="46"/>
      <c r="O228" s="46"/>
      <c r="P228" s="43"/>
      <c r="Q228" s="43"/>
      <c r="R228" s="43"/>
      <c r="S228" s="66"/>
      <c r="T228" s="46"/>
      <c r="U228" s="66"/>
      <c r="V228" s="45"/>
      <c r="W228" s="45"/>
      <c r="X228" s="45"/>
      <c r="Y228" s="43"/>
      <c r="Z228" s="43"/>
      <c r="AA228" s="46"/>
      <c r="AB228" s="45"/>
      <c r="AC228" s="46"/>
      <c r="AD228" s="43"/>
      <c r="AE228" s="43"/>
      <c r="AF228" s="43"/>
      <c r="AG228" s="43"/>
      <c r="AH228" s="43"/>
    </row>
    <row r="229" spans="2:34">
      <c r="B229" s="42"/>
      <c r="C229" s="42"/>
      <c r="D229" s="43"/>
      <c r="E229" s="43"/>
      <c r="F229" s="43"/>
      <c r="G229" s="43"/>
      <c r="H229" s="43"/>
      <c r="I229" s="43"/>
      <c r="J229" s="43"/>
      <c r="K229" s="45"/>
      <c r="L229" s="45"/>
      <c r="M229" s="45"/>
      <c r="N229" s="46"/>
      <c r="O229" s="46"/>
      <c r="P229" s="43"/>
      <c r="Q229" s="43"/>
      <c r="R229" s="43"/>
      <c r="S229" s="66"/>
      <c r="T229" s="46"/>
      <c r="U229" s="66"/>
      <c r="V229" s="45"/>
      <c r="W229" s="45"/>
      <c r="X229" s="45"/>
      <c r="Y229" s="43"/>
      <c r="Z229" s="43"/>
      <c r="AA229" s="46"/>
      <c r="AB229" s="45"/>
      <c r="AC229" s="46"/>
      <c r="AD229" s="43"/>
      <c r="AE229" s="43"/>
      <c r="AF229" s="43"/>
      <c r="AG229" s="43"/>
      <c r="AH229" s="43"/>
    </row>
    <row r="230" spans="2:34">
      <c r="B230" s="42"/>
      <c r="C230" s="42"/>
      <c r="D230" s="43"/>
      <c r="E230" s="43"/>
      <c r="F230" s="43"/>
      <c r="G230" s="43"/>
      <c r="H230" s="43"/>
      <c r="I230" s="43"/>
      <c r="J230" s="43"/>
      <c r="K230" s="45"/>
      <c r="L230" s="45"/>
      <c r="M230" s="45"/>
      <c r="N230" s="46"/>
      <c r="O230" s="46"/>
      <c r="P230" s="43"/>
      <c r="Q230" s="43"/>
      <c r="R230" s="43"/>
      <c r="S230" s="66"/>
      <c r="T230" s="46"/>
      <c r="U230" s="66"/>
      <c r="V230" s="45"/>
      <c r="W230" s="45"/>
      <c r="X230" s="45"/>
      <c r="Y230" s="43"/>
      <c r="Z230" s="43"/>
      <c r="AA230" s="46"/>
      <c r="AB230" s="45"/>
      <c r="AC230" s="46"/>
      <c r="AD230" s="43"/>
      <c r="AE230" s="43"/>
      <c r="AF230" s="43"/>
      <c r="AG230" s="43"/>
      <c r="AH230" s="43"/>
    </row>
    <row r="231" spans="2:34">
      <c r="B231" s="42"/>
      <c r="C231" s="42"/>
      <c r="D231" s="43"/>
      <c r="E231" s="43"/>
      <c r="F231" s="43"/>
      <c r="G231" s="43"/>
      <c r="H231" s="43"/>
      <c r="I231" s="43"/>
      <c r="J231" s="43"/>
      <c r="K231" s="45"/>
      <c r="L231" s="45"/>
      <c r="M231" s="45"/>
      <c r="N231" s="46"/>
      <c r="O231" s="46"/>
      <c r="P231" s="43"/>
      <c r="Q231" s="43"/>
      <c r="R231" s="43"/>
      <c r="S231" s="66"/>
      <c r="T231" s="46"/>
      <c r="U231" s="66"/>
      <c r="V231" s="45"/>
      <c r="W231" s="45"/>
      <c r="X231" s="45"/>
      <c r="Y231" s="43"/>
      <c r="Z231" s="43"/>
      <c r="AA231" s="46"/>
      <c r="AB231" s="45"/>
      <c r="AC231" s="46"/>
      <c r="AD231" s="43"/>
      <c r="AE231" s="43"/>
      <c r="AF231" s="43"/>
      <c r="AG231" s="43"/>
      <c r="AH231" s="43"/>
    </row>
    <row r="232" spans="2:34">
      <c r="B232" s="42"/>
      <c r="C232" s="42"/>
      <c r="D232" s="43"/>
      <c r="E232" s="43"/>
      <c r="F232" s="43"/>
      <c r="G232" s="43"/>
      <c r="H232" s="43"/>
      <c r="I232" s="43"/>
      <c r="J232" s="43"/>
      <c r="K232" s="45"/>
      <c r="L232" s="45"/>
      <c r="M232" s="45"/>
      <c r="N232" s="46"/>
      <c r="O232" s="46"/>
      <c r="P232" s="43"/>
      <c r="Q232" s="43"/>
      <c r="R232" s="43"/>
      <c r="S232" s="66"/>
      <c r="T232" s="46"/>
      <c r="U232" s="66"/>
      <c r="V232" s="45"/>
      <c r="W232" s="45"/>
      <c r="X232" s="45"/>
      <c r="Y232" s="43"/>
      <c r="Z232" s="43"/>
      <c r="AA232" s="46"/>
      <c r="AB232" s="45"/>
      <c r="AC232" s="46"/>
      <c r="AD232" s="43"/>
      <c r="AE232" s="43"/>
      <c r="AF232" s="43"/>
      <c r="AG232" s="43"/>
      <c r="AH232" s="43"/>
    </row>
    <row r="233" spans="2:34">
      <c r="B233" s="42"/>
      <c r="C233" s="42"/>
      <c r="D233" s="43"/>
      <c r="E233" s="43"/>
      <c r="F233" s="43"/>
      <c r="G233" s="43"/>
      <c r="H233" s="43"/>
      <c r="I233" s="43"/>
      <c r="J233" s="43"/>
      <c r="K233" s="45"/>
      <c r="L233" s="45"/>
      <c r="M233" s="45"/>
      <c r="N233" s="46"/>
      <c r="O233" s="46"/>
      <c r="P233" s="43"/>
      <c r="Q233" s="43"/>
      <c r="R233" s="43"/>
      <c r="S233" s="66"/>
      <c r="T233" s="46"/>
      <c r="U233" s="66"/>
      <c r="V233" s="45"/>
      <c r="W233" s="45"/>
      <c r="X233" s="45"/>
      <c r="Y233" s="43"/>
      <c r="Z233" s="43"/>
      <c r="AA233" s="46"/>
      <c r="AB233" s="45"/>
      <c r="AC233" s="46"/>
      <c r="AD233" s="43"/>
      <c r="AE233" s="43"/>
      <c r="AF233" s="43"/>
      <c r="AG233" s="43"/>
      <c r="AH233" s="43"/>
    </row>
    <row r="234" spans="2:34">
      <c r="B234" s="42"/>
      <c r="C234" s="42"/>
      <c r="D234" s="43"/>
      <c r="E234" s="43"/>
      <c r="F234" s="43"/>
      <c r="G234" s="43"/>
      <c r="H234" s="43"/>
      <c r="I234" s="43"/>
      <c r="J234" s="43"/>
      <c r="K234" s="45"/>
      <c r="L234" s="45"/>
      <c r="M234" s="45"/>
      <c r="N234" s="46"/>
      <c r="O234" s="46"/>
      <c r="P234" s="43"/>
      <c r="Q234" s="43"/>
      <c r="R234" s="43"/>
      <c r="S234" s="66"/>
      <c r="T234" s="46"/>
      <c r="U234" s="66"/>
      <c r="V234" s="45"/>
      <c r="W234" s="45"/>
      <c r="X234" s="45"/>
      <c r="Y234" s="43"/>
      <c r="Z234" s="43"/>
      <c r="AA234" s="46"/>
      <c r="AB234" s="45"/>
      <c r="AC234" s="46"/>
      <c r="AD234" s="43"/>
      <c r="AE234" s="43"/>
      <c r="AF234" s="43"/>
      <c r="AG234" s="43"/>
      <c r="AH234" s="43"/>
    </row>
    <row r="235" spans="2:34">
      <c r="B235" s="42"/>
      <c r="C235" s="42"/>
      <c r="D235" s="43"/>
      <c r="E235" s="43"/>
      <c r="F235" s="43"/>
      <c r="G235" s="43"/>
      <c r="H235" s="43"/>
      <c r="I235" s="43"/>
      <c r="J235" s="43"/>
      <c r="K235" s="45"/>
      <c r="L235" s="45"/>
      <c r="M235" s="45"/>
      <c r="N235" s="46"/>
      <c r="O235" s="46"/>
      <c r="P235" s="43"/>
      <c r="Q235" s="43"/>
      <c r="R235" s="43"/>
      <c r="S235" s="66"/>
      <c r="T235" s="46"/>
      <c r="U235" s="66"/>
      <c r="V235" s="45"/>
      <c r="W235" s="45"/>
      <c r="X235" s="45"/>
      <c r="Y235" s="43"/>
      <c r="Z235" s="43"/>
      <c r="AA235" s="46"/>
      <c r="AB235" s="45"/>
      <c r="AC235" s="46"/>
      <c r="AD235" s="43"/>
      <c r="AE235" s="43"/>
      <c r="AF235" s="43"/>
      <c r="AG235" s="43"/>
      <c r="AH235" s="43"/>
    </row>
    <row r="236" spans="2:34">
      <c r="B236" s="42"/>
      <c r="C236" s="42"/>
      <c r="D236" s="43"/>
      <c r="E236" s="43"/>
      <c r="F236" s="43"/>
      <c r="G236" s="43"/>
      <c r="H236" s="43"/>
      <c r="I236" s="43"/>
      <c r="J236" s="43"/>
      <c r="K236" s="45"/>
      <c r="L236" s="45"/>
      <c r="M236" s="45"/>
      <c r="N236" s="46"/>
      <c r="O236" s="46"/>
      <c r="P236" s="43"/>
      <c r="Q236" s="43"/>
      <c r="R236" s="43"/>
      <c r="S236" s="66"/>
      <c r="T236" s="46"/>
      <c r="U236" s="66"/>
      <c r="V236" s="45"/>
      <c r="W236" s="45"/>
      <c r="X236" s="45"/>
      <c r="Y236" s="43"/>
      <c r="Z236" s="43"/>
      <c r="AA236" s="46"/>
      <c r="AB236" s="45"/>
      <c r="AC236" s="46"/>
      <c r="AD236" s="43"/>
      <c r="AE236" s="43"/>
      <c r="AF236" s="43"/>
      <c r="AG236" s="43"/>
      <c r="AH236" s="43"/>
    </row>
    <row r="237" spans="2:34">
      <c r="B237" s="42"/>
      <c r="C237" s="42"/>
      <c r="D237" s="43"/>
      <c r="E237" s="43"/>
      <c r="F237" s="43"/>
      <c r="G237" s="43"/>
      <c r="H237" s="43"/>
      <c r="I237" s="43"/>
      <c r="J237" s="43"/>
      <c r="K237" s="45"/>
      <c r="L237" s="45"/>
      <c r="M237" s="45"/>
      <c r="N237" s="46"/>
      <c r="O237" s="46"/>
      <c r="P237" s="43"/>
      <c r="Q237" s="43"/>
      <c r="R237" s="43"/>
      <c r="S237" s="66"/>
      <c r="T237" s="46"/>
      <c r="U237" s="66"/>
      <c r="V237" s="45"/>
      <c r="W237" s="45"/>
      <c r="X237" s="45"/>
      <c r="Y237" s="43"/>
      <c r="Z237" s="43"/>
      <c r="AA237" s="46"/>
      <c r="AB237" s="45"/>
      <c r="AC237" s="46"/>
      <c r="AD237" s="43"/>
      <c r="AE237" s="43"/>
      <c r="AF237" s="43"/>
      <c r="AG237" s="43"/>
      <c r="AH237" s="43"/>
    </row>
    <row r="238" spans="2:34">
      <c r="B238" s="42"/>
      <c r="C238" s="42"/>
      <c r="D238" s="43"/>
      <c r="E238" s="43"/>
      <c r="F238" s="43"/>
      <c r="G238" s="43"/>
      <c r="H238" s="43"/>
      <c r="I238" s="43"/>
      <c r="J238" s="43"/>
      <c r="K238" s="45"/>
      <c r="L238" s="45"/>
      <c r="M238" s="45"/>
      <c r="N238" s="46"/>
      <c r="O238" s="46"/>
      <c r="P238" s="43"/>
      <c r="Q238" s="43"/>
      <c r="R238" s="43"/>
      <c r="S238" s="66"/>
      <c r="T238" s="46"/>
      <c r="U238" s="66"/>
      <c r="V238" s="45"/>
      <c r="W238" s="45"/>
      <c r="X238" s="45"/>
      <c r="Y238" s="43"/>
      <c r="Z238" s="43"/>
      <c r="AA238" s="46"/>
      <c r="AB238" s="45"/>
      <c r="AC238" s="46"/>
      <c r="AD238" s="43"/>
      <c r="AE238" s="43"/>
      <c r="AF238" s="43"/>
      <c r="AG238" s="43"/>
      <c r="AH238" s="43"/>
    </row>
    <row r="239" spans="2:34">
      <c r="B239" s="42"/>
      <c r="C239" s="42"/>
      <c r="D239" s="43"/>
      <c r="E239" s="43"/>
      <c r="F239" s="43"/>
      <c r="G239" s="43"/>
      <c r="H239" s="43"/>
      <c r="I239" s="43"/>
      <c r="J239" s="43"/>
      <c r="K239" s="45"/>
      <c r="L239" s="45"/>
      <c r="M239" s="45"/>
      <c r="N239" s="46"/>
      <c r="O239" s="46"/>
      <c r="P239" s="43"/>
      <c r="Q239" s="43"/>
      <c r="R239" s="43"/>
      <c r="S239" s="66"/>
      <c r="T239" s="46"/>
      <c r="U239" s="66"/>
      <c r="V239" s="45"/>
      <c r="W239" s="45"/>
      <c r="X239" s="45"/>
      <c r="Y239" s="43"/>
      <c r="Z239" s="43"/>
      <c r="AA239" s="46"/>
      <c r="AB239" s="45"/>
      <c r="AC239" s="46"/>
      <c r="AD239" s="43"/>
      <c r="AE239" s="43"/>
      <c r="AF239" s="43"/>
      <c r="AG239" s="43"/>
      <c r="AH239" s="43"/>
    </row>
    <row r="240" spans="2:34">
      <c r="B240" s="42"/>
      <c r="C240" s="42"/>
      <c r="D240" s="43"/>
      <c r="E240" s="43"/>
      <c r="F240" s="43"/>
      <c r="G240" s="43"/>
      <c r="H240" s="43"/>
      <c r="I240" s="43"/>
      <c r="J240" s="43"/>
      <c r="K240" s="45"/>
      <c r="L240" s="45"/>
      <c r="M240" s="45"/>
      <c r="N240" s="46"/>
      <c r="O240" s="46"/>
      <c r="P240" s="43"/>
      <c r="Q240" s="43"/>
      <c r="R240" s="43"/>
      <c r="S240" s="66"/>
      <c r="T240" s="46"/>
      <c r="U240" s="66"/>
      <c r="V240" s="45"/>
      <c r="W240" s="45"/>
      <c r="X240" s="45"/>
      <c r="Y240" s="43"/>
      <c r="Z240" s="43"/>
      <c r="AA240" s="46"/>
      <c r="AB240" s="45"/>
      <c r="AC240" s="46"/>
      <c r="AD240" s="43"/>
      <c r="AE240" s="43"/>
      <c r="AF240" s="43"/>
      <c r="AG240" s="43"/>
      <c r="AH240" s="43"/>
    </row>
    <row r="241" spans="2:34">
      <c r="B241" s="42"/>
      <c r="C241" s="42"/>
      <c r="D241" s="43"/>
      <c r="E241" s="43"/>
      <c r="F241" s="43"/>
      <c r="G241" s="43"/>
      <c r="H241" s="43"/>
      <c r="I241" s="43"/>
      <c r="J241" s="43"/>
      <c r="K241" s="45"/>
      <c r="L241" s="45"/>
      <c r="M241" s="45"/>
      <c r="N241" s="46"/>
      <c r="O241" s="46"/>
      <c r="P241" s="43"/>
      <c r="Q241" s="43"/>
      <c r="R241" s="43"/>
      <c r="S241" s="66"/>
      <c r="T241" s="46"/>
      <c r="U241" s="66"/>
      <c r="V241" s="45"/>
      <c r="W241" s="45"/>
      <c r="X241" s="45"/>
      <c r="Y241" s="43"/>
      <c r="Z241" s="43"/>
      <c r="AA241" s="46"/>
      <c r="AB241" s="45"/>
      <c r="AC241" s="46"/>
      <c r="AD241" s="43"/>
      <c r="AE241" s="43"/>
      <c r="AF241" s="43"/>
      <c r="AG241" s="43"/>
      <c r="AH241" s="43"/>
    </row>
    <row r="242" spans="2:34">
      <c r="B242" s="42"/>
      <c r="C242" s="42"/>
      <c r="D242" s="43"/>
      <c r="E242" s="43"/>
      <c r="F242" s="43"/>
      <c r="G242" s="43"/>
      <c r="H242" s="43"/>
      <c r="I242" s="43"/>
      <c r="J242" s="43"/>
      <c r="K242" s="45"/>
      <c r="L242" s="45"/>
      <c r="M242" s="45"/>
      <c r="N242" s="46"/>
      <c r="O242" s="46"/>
      <c r="P242" s="43"/>
      <c r="Q242" s="43"/>
      <c r="R242" s="43"/>
      <c r="S242" s="66"/>
      <c r="T242" s="46"/>
      <c r="U242" s="66"/>
      <c r="V242" s="45"/>
      <c r="W242" s="45"/>
      <c r="X242" s="45"/>
      <c r="Y242" s="43"/>
      <c r="Z242" s="43"/>
      <c r="AA242" s="46"/>
      <c r="AB242" s="45"/>
      <c r="AC242" s="46"/>
      <c r="AD242" s="43"/>
      <c r="AE242" s="43"/>
      <c r="AF242" s="43"/>
      <c r="AG242" s="43"/>
      <c r="AH242" s="43"/>
    </row>
    <row r="243" spans="2:34">
      <c r="B243" s="42"/>
      <c r="C243" s="42"/>
      <c r="D243" s="43"/>
      <c r="E243" s="43"/>
      <c r="F243" s="43"/>
      <c r="G243" s="43"/>
      <c r="H243" s="43"/>
      <c r="I243" s="43"/>
      <c r="J243" s="43"/>
      <c r="K243" s="45"/>
      <c r="L243" s="45"/>
      <c r="M243" s="45"/>
      <c r="N243" s="46"/>
      <c r="O243" s="46"/>
      <c r="P243" s="43"/>
      <c r="Q243" s="43"/>
      <c r="R243" s="43"/>
      <c r="S243" s="66"/>
      <c r="T243" s="46"/>
      <c r="U243" s="66"/>
      <c r="V243" s="45"/>
      <c r="W243" s="45"/>
      <c r="X243" s="45"/>
      <c r="Y243" s="43"/>
      <c r="Z243" s="43"/>
      <c r="AA243" s="46"/>
      <c r="AB243" s="45"/>
      <c r="AC243" s="46"/>
      <c r="AD243" s="43"/>
      <c r="AE243" s="43"/>
      <c r="AF243" s="43"/>
      <c r="AG243" s="43"/>
      <c r="AH243" s="43"/>
    </row>
    <row r="244" spans="2:34">
      <c r="B244" s="42"/>
      <c r="C244" s="42"/>
      <c r="D244" s="43"/>
      <c r="E244" s="43"/>
      <c r="F244" s="43"/>
      <c r="G244" s="43"/>
      <c r="H244" s="43"/>
      <c r="I244" s="43"/>
      <c r="J244" s="43"/>
      <c r="K244" s="45"/>
      <c r="L244" s="45"/>
      <c r="M244" s="45"/>
      <c r="N244" s="46"/>
      <c r="O244" s="46"/>
      <c r="P244" s="43"/>
      <c r="Q244" s="43"/>
      <c r="R244" s="43"/>
      <c r="S244" s="66"/>
      <c r="T244" s="46"/>
      <c r="U244" s="66"/>
      <c r="V244" s="45"/>
      <c r="W244" s="45"/>
      <c r="X244" s="45"/>
      <c r="Y244" s="43"/>
      <c r="Z244" s="43"/>
      <c r="AA244" s="46"/>
      <c r="AB244" s="45"/>
      <c r="AC244" s="46"/>
      <c r="AD244" s="43"/>
      <c r="AE244" s="43"/>
      <c r="AF244" s="43"/>
      <c r="AG244" s="43"/>
      <c r="AH244" s="43"/>
    </row>
    <row r="245" spans="2:34">
      <c r="B245" s="42"/>
      <c r="C245" s="42"/>
      <c r="D245" s="43"/>
      <c r="E245" s="43"/>
      <c r="F245" s="43"/>
      <c r="G245" s="43"/>
      <c r="H245" s="43"/>
      <c r="I245" s="43"/>
      <c r="J245" s="43"/>
      <c r="K245" s="45"/>
      <c r="L245" s="45"/>
      <c r="M245" s="45"/>
      <c r="N245" s="46"/>
      <c r="O245" s="46"/>
      <c r="P245" s="43"/>
      <c r="Q245" s="43"/>
      <c r="R245" s="43"/>
      <c r="S245" s="66"/>
      <c r="T245" s="46"/>
      <c r="U245" s="66"/>
      <c r="V245" s="45"/>
      <c r="W245" s="45"/>
      <c r="X245" s="45"/>
      <c r="Y245" s="43"/>
      <c r="Z245" s="43"/>
      <c r="AA245" s="46"/>
      <c r="AB245" s="45"/>
      <c r="AC245" s="46"/>
      <c r="AD245" s="43"/>
      <c r="AE245" s="43"/>
      <c r="AF245" s="43"/>
      <c r="AG245" s="43"/>
      <c r="AH245" s="43"/>
    </row>
    <row r="246" spans="2:34">
      <c r="B246" s="42"/>
      <c r="C246" s="42"/>
      <c r="D246" s="43"/>
      <c r="E246" s="43"/>
      <c r="F246" s="43"/>
      <c r="G246" s="43"/>
      <c r="H246" s="43"/>
      <c r="I246" s="43"/>
      <c r="J246" s="43"/>
      <c r="K246" s="45"/>
      <c r="L246" s="45"/>
      <c r="M246" s="45"/>
      <c r="N246" s="46"/>
      <c r="O246" s="46"/>
      <c r="P246" s="43"/>
      <c r="Q246" s="43"/>
      <c r="R246" s="43"/>
      <c r="S246" s="66"/>
      <c r="T246" s="46"/>
      <c r="U246" s="66"/>
      <c r="V246" s="45"/>
      <c r="W246" s="45"/>
      <c r="X246" s="45"/>
      <c r="Y246" s="43"/>
      <c r="Z246" s="43"/>
      <c r="AA246" s="46"/>
      <c r="AB246" s="45"/>
      <c r="AC246" s="46"/>
      <c r="AD246" s="43"/>
      <c r="AE246" s="43"/>
      <c r="AF246" s="43"/>
      <c r="AG246" s="43"/>
      <c r="AH246" s="43"/>
    </row>
    <row r="247" spans="2:34">
      <c r="B247" s="42"/>
      <c r="C247" s="42"/>
      <c r="D247" s="43"/>
      <c r="E247" s="43"/>
      <c r="F247" s="43"/>
      <c r="G247" s="43"/>
      <c r="H247" s="43"/>
      <c r="I247" s="43"/>
      <c r="J247" s="43"/>
      <c r="K247" s="45"/>
      <c r="L247" s="45"/>
      <c r="M247" s="45"/>
      <c r="N247" s="46"/>
      <c r="O247" s="46"/>
      <c r="P247" s="43"/>
      <c r="Q247" s="43"/>
      <c r="R247" s="43"/>
      <c r="S247" s="66"/>
      <c r="T247" s="46"/>
      <c r="U247" s="66"/>
      <c r="V247" s="45"/>
      <c r="W247" s="45"/>
      <c r="X247" s="45"/>
      <c r="Y247" s="43"/>
      <c r="Z247" s="43"/>
      <c r="AA247" s="46"/>
      <c r="AB247" s="45"/>
      <c r="AC247" s="46"/>
      <c r="AD247" s="43"/>
      <c r="AE247" s="43"/>
      <c r="AF247" s="43"/>
      <c r="AG247" s="43"/>
      <c r="AH247" s="43"/>
    </row>
    <row r="248" spans="2:34">
      <c r="B248" s="42"/>
      <c r="C248" s="42"/>
      <c r="D248" s="43"/>
      <c r="E248" s="43"/>
      <c r="F248" s="43"/>
      <c r="G248" s="43"/>
      <c r="H248" s="43"/>
      <c r="I248" s="43"/>
      <c r="J248" s="43"/>
      <c r="K248" s="45"/>
      <c r="L248" s="45"/>
      <c r="M248" s="45"/>
      <c r="N248" s="46"/>
      <c r="O248" s="46"/>
      <c r="P248" s="43"/>
      <c r="Q248" s="43"/>
      <c r="R248" s="43"/>
      <c r="S248" s="66"/>
      <c r="T248" s="46"/>
      <c r="U248" s="66"/>
      <c r="V248" s="45"/>
      <c r="W248" s="45"/>
      <c r="X248" s="45"/>
      <c r="Y248" s="43"/>
      <c r="Z248" s="43"/>
      <c r="AA248" s="46"/>
      <c r="AB248" s="45"/>
      <c r="AC248" s="46"/>
      <c r="AD248" s="43"/>
      <c r="AE248" s="43"/>
      <c r="AF248" s="43"/>
      <c r="AG248" s="43"/>
      <c r="AH248" s="43"/>
    </row>
    <row r="249" spans="2:34">
      <c r="B249" s="42"/>
      <c r="C249" s="42"/>
      <c r="D249" s="43"/>
      <c r="E249" s="43"/>
      <c r="F249" s="43"/>
      <c r="G249" s="43"/>
      <c r="H249" s="43"/>
      <c r="I249" s="43"/>
      <c r="J249" s="43"/>
      <c r="K249" s="45"/>
      <c r="L249" s="45"/>
      <c r="M249" s="45"/>
      <c r="N249" s="46"/>
      <c r="O249" s="46"/>
      <c r="P249" s="43"/>
      <c r="Q249" s="43"/>
      <c r="R249" s="43"/>
      <c r="S249" s="66"/>
      <c r="T249" s="46"/>
      <c r="U249" s="66"/>
      <c r="V249" s="45"/>
      <c r="W249" s="45"/>
      <c r="X249" s="45"/>
      <c r="Y249" s="43"/>
      <c r="Z249" s="43"/>
      <c r="AA249" s="46"/>
      <c r="AB249" s="45"/>
      <c r="AC249" s="46"/>
      <c r="AD249" s="43"/>
      <c r="AE249" s="43"/>
      <c r="AF249" s="43"/>
      <c r="AG249" s="43"/>
      <c r="AH249" s="43"/>
    </row>
    <row r="250" spans="2:34">
      <c r="B250" s="42"/>
      <c r="C250" s="42"/>
      <c r="D250" s="43"/>
      <c r="E250" s="43"/>
      <c r="F250" s="43"/>
      <c r="G250" s="43"/>
      <c r="H250" s="43"/>
      <c r="I250" s="43"/>
      <c r="J250" s="43"/>
      <c r="K250" s="45"/>
      <c r="L250" s="45"/>
      <c r="M250" s="45"/>
      <c r="N250" s="46"/>
      <c r="O250" s="46"/>
      <c r="P250" s="43"/>
      <c r="Q250" s="43"/>
      <c r="R250" s="43"/>
      <c r="S250" s="66"/>
      <c r="T250" s="46"/>
      <c r="U250" s="66"/>
      <c r="V250" s="45"/>
      <c r="W250" s="45"/>
      <c r="X250" s="45"/>
      <c r="Y250" s="43"/>
      <c r="Z250" s="43"/>
      <c r="AA250" s="46"/>
      <c r="AB250" s="45"/>
      <c r="AC250" s="46"/>
      <c r="AD250" s="43"/>
      <c r="AE250" s="43"/>
      <c r="AF250" s="43"/>
      <c r="AG250" s="43"/>
      <c r="AH250" s="43"/>
    </row>
    <row r="251" spans="2:34">
      <c r="B251" s="42"/>
      <c r="C251" s="42"/>
      <c r="D251" s="43"/>
      <c r="E251" s="43"/>
      <c r="F251" s="43"/>
      <c r="G251" s="43"/>
      <c r="H251" s="43"/>
      <c r="I251" s="43"/>
      <c r="J251" s="43"/>
      <c r="K251" s="45"/>
      <c r="L251" s="45"/>
      <c r="M251" s="45"/>
      <c r="N251" s="46"/>
      <c r="O251" s="46"/>
      <c r="P251" s="43"/>
      <c r="Q251" s="43"/>
      <c r="R251" s="43"/>
      <c r="S251" s="66"/>
      <c r="T251" s="46"/>
      <c r="U251" s="66"/>
      <c r="V251" s="45"/>
      <c r="W251" s="45"/>
      <c r="X251" s="45"/>
      <c r="Y251" s="43"/>
      <c r="Z251" s="43"/>
      <c r="AA251" s="46"/>
      <c r="AB251" s="45"/>
      <c r="AC251" s="46"/>
      <c r="AD251" s="43"/>
      <c r="AE251" s="43"/>
      <c r="AF251" s="43"/>
      <c r="AG251" s="43"/>
      <c r="AH251" s="43"/>
    </row>
    <row r="252" spans="2:34">
      <c r="B252" s="42"/>
      <c r="C252" s="42"/>
      <c r="D252" s="43"/>
      <c r="E252" s="43"/>
      <c r="F252" s="43"/>
      <c r="G252" s="43"/>
      <c r="H252" s="43"/>
      <c r="I252" s="43"/>
      <c r="J252" s="43"/>
      <c r="K252" s="45"/>
      <c r="L252" s="45"/>
      <c r="M252" s="45"/>
      <c r="N252" s="46"/>
      <c r="O252" s="46"/>
      <c r="P252" s="43"/>
      <c r="Q252" s="43"/>
      <c r="R252" s="43"/>
      <c r="S252" s="66"/>
      <c r="T252" s="46"/>
      <c r="U252" s="66"/>
      <c r="V252" s="45"/>
      <c r="W252" s="45"/>
      <c r="X252" s="45"/>
      <c r="Y252" s="43"/>
      <c r="Z252" s="43"/>
      <c r="AA252" s="46"/>
      <c r="AB252" s="45"/>
      <c r="AC252" s="46"/>
      <c r="AD252" s="43"/>
      <c r="AE252" s="43"/>
      <c r="AF252" s="43"/>
      <c r="AG252" s="43"/>
      <c r="AH252" s="43"/>
    </row>
    <row r="253" spans="2:34">
      <c r="B253" s="42"/>
      <c r="C253" s="42"/>
      <c r="D253" s="43"/>
      <c r="E253" s="43"/>
      <c r="F253" s="43"/>
      <c r="G253" s="43"/>
      <c r="H253" s="43"/>
      <c r="I253" s="43"/>
      <c r="J253" s="43"/>
      <c r="K253" s="45"/>
      <c r="L253" s="45"/>
      <c r="M253" s="45"/>
      <c r="N253" s="46"/>
      <c r="O253" s="46"/>
      <c r="P253" s="43"/>
      <c r="Q253" s="43"/>
      <c r="R253" s="43"/>
      <c r="S253" s="66"/>
      <c r="T253" s="46"/>
      <c r="U253" s="66"/>
      <c r="V253" s="45"/>
      <c r="W253" s="45"/>
      <c r="X253" s="45"/>
      <c r="Y253" s="43"/>
      <c r="Z253" s="43"/>
      <c r="AA253" s="46"/>
      <c r="AB253" s="45"/>
      <c r="AC253" s="46"/>
      <c r="AD253" s="43"/>
      <c r="AE253" s="43"/>
      <c r="AF253" s="43"/>
      <c r="AG253" s="43"/>
      <c r="AH253" s="43"/>
    </row>
    <row r="254" spans="2:34">
      <c r="B254" s="42"/>
      <c r="C254" s="42"/>
      <c r="D254" s="43"/>
      <c r="E254" s="43"/>
      <c r="F254" s="43"/>
      <c r="G254" s="43"/>
      <c r="H254" s="43"/>
      <c r="I254" s="43"/>
      <c r="J254" s="43"/>
      <c r="K254" s="45"/>
      <c r="L254" s="45"/>
      <c r="M254" s="45"/>
      <c r="N254" s="46"/>
      <c r="O254" s="46"/>
      <c r="P254" s="43"/>
      <c r="Q254" s="43"/>
      <c r="R254" s="43"/>
      <c r="S254" s="66"/>
      <c r="T254" s="46"/>
      <c r="U254" s="66"/>
      <c r="V254" s="45"/>
      <c r="W254" s="45"/>
      <c r="X254" s="45"/>
      <c r="Y254" s="43"/>
      <c r="Z254" s="43"/>
      <c r="AA254" s="46"/>
      <c r="AB254" s="45"/>
      <c r="AC254" s="46"/>
      <c r="AD254" s="43"/>
      <c r="AE254" s="43"/>
      <c r="AF254" s="43"/>
      <c r="AG254" s="43"/>
      <c r="AH254" s="43"/>
    </row>
    <row r="255" spans="2:34">
      <c r="B255" s="42"/>
      <c r="C255" s="42"/>
      <c r="D255" s="43"/>
      <c r="E255" s="43"/>
      <c r="F255" s="43"/>
      <c r="G255" s="43"/>
      <c r="H255" s="43"/>
      <c r="I255" s="43"/>
      <c r="J255" s="43"/>
      <c r="K255" s="45"/>
      <c r="L255" s="45"/>
      <c r="M255" s="45"/>
      <c r="N255" s="46"/>
      <c r="O255" s="46"/>
      <c r="P255" s="43"/>
      <c r="Q255" s="43"/>
      <c r="R255" s="43"/>
      <c r="S255" s="66"/>
      <c r="T255" s="46"/>
      <c r="U255" s="66"/>
      <c r="V255" s="45"/>
      <c r="W255" s="45"/>
      <c r="X255" s="45"/>
      <c r="Y255" s="43"/>
      <c r="Z255" s="43"/>
      <c r="AA255" s="46"/>
      <c r="AB255" s="45"/>
      <c r="AC255" s="46"/>
      <c r="AD255" s="43"/>
      <c r="AE255" s="43"/>
      <c r="AF255" s="43"/>
      <c r="AG255" s="43"/>
      <c r="AH255" s="43"/>
    </row>
    <row r="256" spans="2:34">
      <c r="B256" s="42"/>
      <c r="C256" s="42"/>
      <c r="D256" s="43"/>
      <c r="E256" s="43"/>
      <c r="F256" s="43"/>
      <c r="G256" s="43"/>
      <c r="H256" s="43"/>
      <c r="I256" s="43"/>
      <c r="J256" s="43"/>
      <c r="K256" s="45"/>
      <c r="L256" s="45"/>
      <c r="M256" s="45"/>
      <c r="N256" s="46"/>
      <c r="O256" s="46"/>
      <c r="P256" s="43"/>
      <c r="Q256" s="43"/>
      <c r="R256" s="43"/>
      <c r="S256" s="66"/>
      <c r="T256" s="46"/>
      <c r="U256" s="66"/>
      <c r="V256" s="45"/>
      <c r="W256" s="45"/>
      <c r="X256" s="45"/>
      <c r="Y256" s="43"/>
      <c r="Z256" s="43"/>
      <c r="AA256" s="46"/>
      <c r="AB256" s="45"/>
      <c r="AC256" s="46"/>
      <c r="AD256" s="43"/>
      <c r="AE256" s="43"/>
      <c r="AF256" s="43"/>
      <c r="AG256" s="43"/>
      <c r="AH256" s="43"/>
    </row>
    <row r="257" spans="2:34">
      <c r="B257" s="42"/>
      <c r="C257" s="42"/>
      <c r="D257" s="43"/>
      <c r="E257" s="43"/>
      <c r="F257" s="43"/>
      <c r="G257" s="43"/>
      <c r="H257" s="43"/>
      <c r="I257" s="43"/>
      <c r="J257" s="43"/>
      <c r="K257" s="45"/>
      <c r="L257" s="45"/>
      <c r="M257" s="45"/>
      <c r="N257" s="46"/>
      <c r="O257" s="46"/>
      <c r="P257" s="43"/>
      <c r="Q257" s="43"/>
      <c r="R257" s="43"/>
      <c r="S257" s="66"/>
      <c r="T257" s="46"/>
      <c r="U257" s="66"/>
      <c r="V257" s="45"/>
      <c r="W257" s="45"/>
      <c r="X257" s="45"/>
      <c r="Y257" s="43"/>
      <c r="Z257" s="43"/>
      <c r="AA257" s="46"/>
      <c r="AB257" s="45"/>
      <c r="AC257" s="46"/>
      <c r="AD257" s="43"/>
      <c r="AE257" s="43"/>
      <c r="AF257" s="43"/>
      <c r="AG257" s="43"/>
      <c r="AH257" s="43"/>
    </row>
    <row r="258" spans="2:34">
      <c r="B258" s="42"/>
      <c r="C258" s="42"/>
      <c r="D258" s="43"/>
      <c r="E258" s="43"/>
      <c r="F258" s="43"/>
      <c r="G258" s="43"/>
      <c r="H258" s="43"/>
      <c r="I258" s="43"/>
      <c r="J258" s="43"/>
      <c r="K258" s="45"/>
      <c r="L258" s="45"/>
      <c r="M258" s="45"/>
      <c r="N258" s="46"/>
      <c r="O258" s="46"/>
      <c r="P258" s="43"/>
      <c r="Q258" s="43"/>
      <c r="R258" s="43"/>
      <c r="S258" s="66"/>
      <c r="T258" s="46"/>
      <c r="U258" s="66"/>
      <c r="V258" s="45"/>
      <c r="W258" s="45"/>
      <c r="X258" s="45"/>
      <c r="Y258" s="43"/>
      <c r="Z258" s="43"/>
      <c r="AA258" s="46"/>
      <c r="AB258" s="45"/>
      <c r="AC258" s="46"/>
      <c r="AD258" s="43"/>
      <c r="AE258" s="43"/>
      <c r="AF258" s="43"/>
      <c r="AG258" s="43"/>
      <c r="AH258" s="43"/>
    </row>
    <row r="259" spans="2:34">
      <c r="B259" s="42"/>
      <c r="C259" s="42"/>
      <c r="D259" s="43"/>
      <c r="E259" s="43"/>
      <c r="F259" s="43"/>
      <c r="G259" s="43"/>
      <c r="H259" s="43"/>
      <c r="I259" s="43"/>
      <c r="J259" s="43"/>
      <c r="K259" s="45"/>
      <c r="L259" s="45"/>
      <c r="M259" s="45"/>
      <c r="N259" s="46"/>
      <c r="O259" s="46"/>
      <c r="P259" s="43"/>
      <c r="Q259" s="43"/>
      <c r="R259" s="43"/>
      <c r="S259" s="66"/>
      <c r="T259" s="46"/>
      <c r="U259" s="66"/>
      <c r="V259" s="45"/>
      <c r="W259" s="45"/>
      <c r="X259" s="45"/>
      <c r="Y259" s="43"/>
      <c r="Z259" s="43"/>
      <c r="AA259" s="46"/>
      <c r="AB259" s="45"/>
      <c r="AC259" s="46"/>
      <c r="AD259" s="43"/>
      <c r="AE259" s="43"/>
      <c r="AF259" s="43"/>
      <c r="AG259" s="43"/>
      <c r="AH259" s="43"/>
    </row>
    <row r="260" spans="2:34">
      <c r="B260" s="42"/>
      <c r="C260" s="42"/>
      <c r="D260" s="43"/>
      <c r="E260" s="43"/>
      <c r="F260" s="43"/>
      <c r="G260" s="43"/>
      <c r="H260" s="43"/>
      <c r="I260" s="43"/>
      <c r="J260" s="43"/>
      <c r="K260" s="45"/>
      <c r="L260" s="45"/>
      <c r="M260" s="45"/>
      <c r="N260" s="46"/>
      <c r="O260" s="46"/>
      <c r="P260" s="43"/>
      <c r="Q260" s="43"/>
      <c r="R260" s="43"/>
      <c r="S260" s="66"/>
      <c r="T260" s="46"/>
      <c r="U260" s="66"/>
      <c r="V260" s="45"/>
      <c r="W260" s="45"/>
      <c r="X260" s="45"/>
      <c r="Y260" s="43"/>
      <c r="Z260" s="43"/>
      <c r="AA260" s="46"/>
      <c r="AB260" s="45"/>
      <c r="AC260" s="46"/>
      <c r="AD260" s="43"/>
      <c r="AE260" s="43"/>
      <c r="AF260" s="43"/>
      <c r="AG260" s="43"/>
      <c r="AH260" s="43"/>
    </row>
    <row r="261" spans="2:34">
      <c r="B261" s="42"/>
      <c r="C261" s="42"/>
      <c r="D261" s="43"/>
      <c r="E261" s="43"/>
      <c r="F261" s="43"/>
      <c r="G261" s="43"/>
      <c r="H261" s="43"/>
      <c r="I261" s="43"/>
      <c r="J261" s="43"/>
      <c r="K261" s="45"/>
      <c r="L261" s="45"/>
      <c r="M261" s="45"/>
      <c r="N261" s="46"/>
      <c r="O261" s="46"/>
      <c r="P261" s="43"/>
      <c r="Q261" s="43"/>
      <c r="R261" s="43"/>
      <c r="S261" s="66"/>
      <c r="T261" s="46"/>
      <c r="U261" s="66"/>
      <c r="V261" s="45"/>
      <c r="W261" s="45"/>
      <c r="X261" s="45"/>
      <c r="Y261" s="43"/>
      <c r="Z261" s="43"/>
      <c r="AA261" s="46"/>
      <c r="AB261" s="45"/>
      <c r="AC261" s="46"/>
      <c r="AD261" s="43"/>
      <c r="AE261" s="43"/>
      <c r="AF261" s="43"/>
      <c r="AG261" s="43"/>
      <c r="AH261" s="43"/>
    </row>
    <row r="262" spans="2:34">
      <c r="B262" s="42"/>
      <c r="C262" s="42"/>
      <c r="D262" s="43"/>
      <c r="E262" s="43"/>
      <c r="F262" s="43"/>
      <c r="G262" s="43"/>
      <c r="H262" s="43"/>
      <c r="I262" s="43"/>
      <c r="J262" s="43"/>
      <c r="K262" s="45"/>
      <c r="L262" s="45"/>
      <c r="M262" s="45"/>
      <c r="N262" s="46"/>
      <c r="O262" s="46"/>
      <c r="P262" s="43"/>
      <c r="Q262" s="43"/>
      <c r="R262" s="43"/>
      <c r="S262" s="66"/>
      <c r="T262" s="46"/>
      <c r="U262" s="66"/>
      <c r="V262" s="45"/>
      <c r="W262" s="45"/>
      <c r="X262" s="45"/>
      <c r="Y262" s="43"/>
      <c r="Z262" s="43"/>
      <c r="AA262" s="46"/>
      <c r="AB262" s="45"/>
      <c r="AC262" s="46"/>
      <c r="AD262" s="43"/>
      <c r="AE262" s="43"/>
      <c r="AF262" s="43"/>
      <c r="AG262" s="43"/>
      <c r="AH262" s="43"/>
    </row>
    <row r="263" spans="2:34">
      <c r="B263" s="42"/>
      <c r="C263" s="42"/>
      <c r="D263" s="43"/>
      <c r="E263" s="43"/>
      <c r="F263" s="43"/>
      <c r="G263" s="43"/>
      <c r="H263" s="43"/>
      <c r="I263" s="43"/>
      <c r="J263" s="43"/>
      <c r="K263" s="45"/>
      <c r="L263" s="45"/>
      <c r="M263" s="45"/>
      <c r="N263" s="46"/>
      <c r="O263" s="46"/>
      <c r="P263" s="43"/>
      <c r="Q263" s="43"/>
      <c r="R263" s="43"/>
      <c r="S263" s="66"/>
      <c r="T263" s="46"/>
      <c r="U263" s="66"/>
      <c r="V263" s="45"/>
      <c r="W263" s="45"/>
      <c r="X263" s="45"/>
      <c r="Y263" s="43"/>
      <c r="Z263" s="43"/>
      <c r="AA263" s="46"/>
      <c r="AB263" s="45"/>
      <c r="AC263" s="46"/>
      <c r="AD263" s="43"/>
      <c r="AE263" s="43"/>
      <c r="AF263" s="43"/>
      <c r="AG263" s="43"/>
      <c r="AH263" s="43"/>
    </row>
    <row r="264" spans="2:34">
      <c r="B264" s="42"/>
      <c r="C264" s="42"/>
      <c r="D264" s="43"/>
      <c r="E264" s="43"/>
      <c r="F264" s="43"/>
      <c r="G264" s="43"/>
      <c r="H264" s="43"/>
      <c r="I264" s="43"/>
      <c r="J264" s="43"/>
      <c r="K264" s="45"/>
      <c r="L264" s="45"/>
      <c r="M264" s="45"/>
      <c r="N264" s="46"/>
      <c r="O264" s="46"/>
      <c r="P264" s="43"/>
      <c r="Q264" s="43"/>
      <c r="R264" s="43"/>
      <c r="S264" s="66"/>
      <c r="T264" s="46"/>
      <c r="U264" s="66"/>
      <c r="V264" s="45"/>
      <c r="W264" s="45"/>
      <c r="X264" s="45"/>
      <c r="Y264" s="43"/>
      <c r="Z264" s="43"/>
      <c r="AA264" s="46"/>
      <c r="AB264" s="45"/>
      <c r="AC264" s="46"/>
      <c r="AD264" s="43"/>
      <c r="AE264" s="43"/>
      <c r="AF264" s="43"/>
      <c r="AG264" s="43"/>
      <c r="AH264" s="43"/>
    </row>
    <row r="265" spans="2:34">
      <c r="B265" s="42"/>
      <c r="C265" s="42"/>
      <c r="D265" s="43"/>
      <c r="E265" s="43"/>
      <c r="F265" s="43"/>
      <c r="G265" s="43"/>
      <c r="H265" s="43"/>
      <c r="I265" s="43"/>
      <c r="J265" s="43"/>
      <c r="K265" s="45"/>
      <c r="L265" s="45"/>
      <c r="M265" s="45"/>
      <c r="N265" s="46"/>
      <c r="O265" s="46"/>
      <c r="P265" s="43"/>
      <c r="Q265" s="43"/>
      <c r="R265" s="43"/>
      <c r="S265" s="66"/>
      <c r="T265" s="46"/>
      <c r="U265" s="66"/>
      <c r="V265" s="45"/>
      <c r="W265" s="45"/>
      <c r="X265" s="45"/>
      <c r="Y265" s="43"/>
      <c r="Z265" s="43"/>
      <c r="AA265" s="46"/>
      <c r="AB265" s="45"/>
      <c r="AC265" s="46"/>
      <c r="AD265" s="43"/>
      <c r="AE265" s="43"/>
      <c r="AF265" s="43"/>
      <c r="AG265" s="43"/>
      <c r="AH265" s="43"/>
    </row>
    <row r="266" spans="2:34">
      <c r="B266" s="42"/>
      <c r="C266" s="42"/>
      <c r="D266" s="43"/>
      <c r="E266" s="43"/>
      <c r="F266" s="43"/>
      <c r="G266" s="43"/>
      <c r="H266" s="43"/>
      <c r="I266" s="43"/>
      <c r="J266" s="43"/>
      <c r="K266" s="45"/>
      <c r="L266" s="45"/>
      <c r="M266" s="45"/>
      <c r="N266" s="46"/>
      <c r="O266" s="46"/>
      <c r="P266" s="43"/>
      <c r="Q266" s="43"/>
      <c r="R266" s="43"/>
      <c r="S266" s="66"/>
      <c r="T266" s="46"/>
      <c r="U266" s="66"/>
      <c r="V266" s="45"/>
      <c r="W266" s="45"/>
      <c r="X266" s="45"/>
      <c r="Y266" s="43"/>
      <c r="Z266" s="43"/>
      <c r="AA266" s="46"/>
      <c r="AB266" s="45"/>
      <c r="AC266" s="46"/>
      <c r="AD266" s="43"/>
      <c r="AE266" s="43"/>
      <c r="AF266" s="43"/>
      <c r="AG266" s="43"/>
      <c r="AH266" s="43"/>
    </row>
    <row r="267" spans="2:34">
      <c r="B267" s="42"/>
      <c r="C267" s="42"/>
      <c r="D267" s="43"/>
      <c r="E267" s="43"/>
      <c r="F267" s="43"/>
      <c r="G267" s="43"/>
      <c r="H267" s="43"/>
      <c r="I267" s="43"/>
      <c r="J267" s="43"/>
      <c r="K267" s="45"/>
      <c r="L267" s="45"/>
      <c r="M267" s="45"/>
      <c r="N267" s="46"/>
      <c r="O267" s="46"/>
      <c r="P267" s="43"/>
      <c r="Q267" s="43"/>
      <c r="R267" s="43"/>
      <c r="S267" s="66"/>
      <c r="T267" s="46"/>
      <c r="U267" s="66"/>
      <c r="V267" s="45"/>
      <c r="W267" s="45"/>
      <c r="X267" s="45"/>
      <c r="Y267" s="43"/>
      <c r="Z267" s="43"/>
      <c r="AA267" s="46"/>
      <c r="AB267" s="45"/>
      <c r="AC267" s="46"/>
      <c r="AD267" s="43"/>
      <c r="AE267" s="43"/>
      <c r="AF267" s="43"/>
      <c r="AG267" s="43"/>
      <c r="AH267" s="43"/>
    </row>
    <row r="268" spans="2:34">
      <c r="B268" s="42"/>
      <c r="C268" s="42"/>
      <c r="D268" s="43"/>
      <c r="E268" s="43"/>
      <c r="F268" s="43"/>
      <c r="G268" s="43"/>
      <c r="H268" s="43"/>
      <c r="I268" s="43"/>
      <c r="J268" s="43"/>
      <c r="K268" s="45"/>
      <c r="L268" s="45"/>
      <c r="M268" s="45"/>
      <c r="N268" s="46"/>
      <c r="O268" s="46"/>
      <c r="P268" s="43"/>
      <c r="Q268" s="43"/>
      <c r="R268" s="43"/>
      <c r="S268" s="66"/>
      <c r="T268" s="46"/>
      <c r="U268" s="66"/>
      <c r="V268" s="45"/>
      <c r="W268" s="45"/>
      <c r="X268" s="45"/>
      <c r="Y268" s="43"/>
      <c r="Z268" s="43"/>
      <c r="AA268" s="46"/>
      <c r="AB268" s="45"/>
      <c r="AC268" s="46"/>
      <c r="AD268" s="43"/>
      <c r="AE268" s="43"/>
      <c r="AF268" s="43"/>
      <c r="AG268" s="43"/>
      <c r="AH268" s="43"/>
    </row>
    <row r="269" spans="2:34">
      <c r="B269" s="42"/>
      <c r="C269" s="42"/>
      <c r="D269" s="43"/>
      <c r="E269" s="43"/>
      <c r="F269" s="43"/>
      <c r="G269" s="43"/>
      <c r="H269" s="43"/>
      <c r="I269" s="43"/>
      <c r="J269" s="43"/>
      <c r="K269" s="45"/>
      <c r="L269" s="45"/>
      <c r="M269" s="45"/>
      <c r="N269" s="46"/>
      <c r="O269" s="46"/>
      <c r="P269" s="43"/>
      <c r="Q269" s="43"/>
      <c r="R269" s="43"/>
      <c r="S269" s="66"/>
      <c r="T269" s="46"/>
      <c r="U269" s="66"/>
      <c r="V269" s="45"/>
      <c r="W269" s="45"/>
      <c r="X269" s="45"/>
      <c r="Y269" s="43"/>
      <c r="Z269" s="43"/>
      <c r="AA269" s="46"/>
      <c r="AB269" s="45"/>
      <c r="AC269" s="46"/>
      <c r="AD269" s="43"/>
      <c r="AE269" s="43"/>
      <c r="AF269" s="43"/>
      <c r="AG269" s="43"/>
      <c r="AH269" s="43"/>
    </row>
    <row r="270" spans="2:34">
      <c r="B270" s="42"/>
      <c r="C270" s="42"/>
      <c r="D270" s="43"/>
      <c r="E270" s="43"/>
      <c r="F270" s="43"/>
      <c r="G270" s="43"/>
      <c r="H270" s="43"/>
      <c r="I270" s="43"/>
      <c r="J270" s="43"/>
      <c r="K270" s="45"/>
      <c r="L270" s="45"/>
      <c r="M270" s="45"/>
      <c r="N270" s="46"/>
      <c r="O270" s="46"/>
      <c r="P270" s="43"/>
      <c r="Q270" s="43"/>
      <c r="R270" s="43"/>
      <c r="S270" s="66"/>
      <c r="T270" s="46"/>
      <c r="U270" s="66"/>
      <c r="V270" s="45"/>
      <c r="W270" s="45"/>
      <c r="X270" s="45"/>
      <c r="Y270" s="43"/>
      <c r="Z270" s="43"/>
      <c r="AA270" s="46"/>
      <c r="AB270" s="45"/>
      <c r="AC270" s="46"/>
      <c r="AD270" s="43"/>
      <c r="AE270" s="43"/>
      <c r="AF270" s="43"/>
      <c r="AG270" s="43"/>
      <c r="AH270" s="43"/>
    </row>
    <row r="271" spans="2:34">
      <c r="B271" s="42"/>
      <c r="C271" s="42"/>
      <c r="D271" s="43"/>
      <c r="E271" s="43"/>
      <c r="F271" s="43"/>
      <c r="G271" s="43"/>
      <c r="H271" s="43"/>
      <c r="I271" s="43"/>
      <c r="J271" s="43"/>
      <c r="K271" s="45"/>
      <c r="L271" s="45"/>
      <c r="M271" s="45"/>
      <c r="N271" s="46"/>
      <c r="O271" s="46"/>
      <c r="P271" s="43"/>
      <c r="Q271" s="43"/>
      <c r="R271" s="43"/>
      <c r="S271" s="66"/>
      <c r="T271" s="46"/>
      <c r="U271" s="66"/>
      <c r="V271" s="45"/>
      <c r="W271" s="45"/>
      <c r="X271" s="45"/>
      <c r="Y271" s="43"/>
      <c r="Z271" s="43"/>
      <c r="AA271" s="46"/>
      <c r="AB271" s="45"/>
      <c r="AC271" s="46"/>
      <c r="AD271" s="43"/>
      <c r="AE271" s="43"/>
      <c r="AF271" s="43"/>
      <c r="AG271" s="43"/>
      <c r="AH271" s="43"/>
    </row>
    <row r="272" spans="2:34">
      <c r="B272" s="42"/>
      <c r="C272" s="42"/>
      <c r="D272" s="43"/>
      <c r="E272" s="43"/>
      <c r="F272" s="43"/>
      <c r="G272" s="43"/>
      <c r="H272" s="43"/>
      <c r="I272" s="43"/>
      <c r="J272" s="43"/>
      <c r="K272" s="45"/>
      <c r="L272" s="45"/>
      <c r="M272" s="45"/>
      <c r="N272" s="46"/>
      <c r="O272" s="46"/>
      <c r="P272" s="43"/>
      <c r="Q272" s="43"/>
      <c r="R272" s="43"/>
      <c r="S272" s="66"/>
      <c r="T272" s="46"/>
      <c r="U272" s="66"/>
      <c r="V272" s="45"/>
      <c r="W272" s="45"/>
      <c r="X272" s="45"/>
      <c r="Y272" s="43"/>
      <c r="Z272" s="43"/>
      <c r="AA272" s="46"/>
      <c r="AB272" s="45"/>
      <c r="AC272" s="46"/>
      <c r="AD272" s="43"/>
      <c r="AE272" s="43"/>
      <c r="AF272" s="43"/>
      <c r="AG272" s="43"/>
      <c r="AH272" s="43"/>
    </row>
    <row r="273" spans="2:34">
      <c r="B273" s="42"/>
      <c r="C273" s="42"/>
      <c r="D273" s="43"/>
      <c r="E273" s="43"/>
      <c r="F273" s="43"/>
      <c r="G273" s="43"/>
      <c r="H273" s="43"/>
      <c r="I273" s="43"/>
      <c r="J273" s="43"/>
      <c r="K273" s="45"/>
      <c r="L273" s="45"/>
      <c r="M273" s="45"/>
      <c r="N273" s="46"/>
      <c r="O273" s="46"/>
      <c r="P273" s="43"/>
      <c r="Q273" s="43"/>
      <c r="R273" s="43"/>
      <c r="S273" s="66"/>
      <c r="T273" s="46"/>
      <c r="U273" s="66"/>
      <c r="V273" s="45"/>
      <c r="W273" s="45"/>
      <c r="X273" s="45"/>
      <c r="Y273" s="43"/>
      <c r="Z273" s="43"/>
      <c r="AA273" s="46"/>
      <c r="AB273" s="45"/>
      <c r="AC273" s="46"/>
      <c r="AD273" s="43"/>
      <c r="AE273" s="43"/>
      <c r="AF273" s="43"/>
      <c r="AG273" s="43"/>
      <c r="AH273" s="43"/>
    </row>
    <row r="274" spans="2:34">
      <c r="B274" s="42"/>
      <c r="C274" s="42"/>
      <c r="D274" s="43"/>
      <c r="E274" s="43"/>
      <c r="F274" s="43"/>
      <c r="G274" s="43"/>
      <c r="H274" s="43"/>
      <c r="I274" s="43"/>
      <c r="J274" s="43"/>
      <c r="K274" s="45"/>
      <c r="L274" s="45"/>
      <c r="M274" s="45"/>
      <c r="N274" s="46"/>
      <c r="O274" s="46"/>
      <c r="P274" s="43"/>
      <c r="Q274" s="43"/>
      <c r="R274" s="43"/>
      <c r="S274" s="66"/>
      <c r="T274" s="46"/>
      <c r="U274" s="66"/>
      <c r="V274" s="45"/>
      <c r="W274" s="45"/>
      <c r="X274" s="45"/>
      <c r="Y274" s="43"/>
      <c r="Z274" s="43"/>
      <c r="AA274" s="46"/>
      <c r="AB274" s="45"/>
      <c r="AC274" s="46"/>
      <c r="AD274" s="43"/>
      <c r="AE274" s="43"/>
      <c r="AF274" s="43"/>
      <c r="AG274" s="43"/>
      <c r="AH274" s="43"/>
    </row>
    <row r="275" spans="2:34">
      <c r="B275" s="42"/>
      <c r="C275" s="42"/>
      <c r="D275" s="43"/>
      <c r="E275" s="43"/>
      <c r="F275" s="43"/>
      <c r="G275" s="43"/>
      <c r="H275" s="43"/>
      <c r="I275" s="43"/>
      <c r="J275" s="43"/>
      <c r="K275" s="45"/>
      <c r="L275" s="45"/>
      <c r="M275" s="45"/>
      <c r="N275" s="46"/>
      <c r="O275" s="46"/>
      <c r="P275" s="43"/>
      <c r="Q275" s="43"/>
      <c r="R275" s="43"/>
      <c r="S275" s="66"/>
      <c r="T275" s="46"/>
      <c r="U275" s="66"/>
      <c r="V275" s="45"/>
      <c r="W275" s="45"/>
      <c r="X275" s="45"/>
      <c r="Y275" s="43"/>
      <c r="Z275" s="43"/>
      <c r="AA275" s="46"/>
      <c r="AB275" s="45"/>
      <c r="AC275" s="46"/>
      <c r="AD275" s="43"/>
      <c r="AE275" s="43"/>
      <c r="AF275" s="43"/>
      <c r="AG275" s="43"/>
      <c r="AH275" s="43"/>
    </row>
    <row r="276" spans="2:34">
      <c r="B276" s="42"/>
      <c r="C276" s="42"/>
      <c r="D276" s="43"/>
      <c r="E276" s="43"/>
      <c r="F276" s="43"/>
      <c r="G276" s="43"/>
      <c r="H276" s="43"/>
      <c r="I276" s="43"/>
      <c r="J276" s="43"/>
      <c r="K276" s="45"/>
      <c r="L276" s="45"/>
      <c r="M276" s="45"/>
      <c r="N276" s="46"/>
      <c r="O276" s="46"/>
      <c r="P276" s="43"/>
      <c r="Q276" s="43"/>
      <c r="R276" s="43"/>
      <c r="S276" s="66"/>
      <c r="T276" s="46"/>
      <c r="U276" s="66"/>
      <c r="V276" s="45"/>
      <c r="W276" s="45"/>
      <c r="X276" s="45"/>
      <c r="Y276" s="43"/>
      <c r="Z276" s="43"/>
      <c r="AA276" s="46"/>
      <c r="AB276" s="45"/>
      <c r="AC276" s="46"/>
      <c r="AD276" s="43"/>
      <c r="AE276" s="43"/>
      <c r="AF276" s="43"/>
      <c r="AG276" s="43"/>
      <c r="AH276" s="43"/>
    </row>
    <row r="277" spans="2:34">
      <c r="B277" s="42"/>
      <c r="C277" s="42"/>
      <c r="D277" s="43"/>
      <c r="E277" s="43"/>
      <c r="F277" s="43"/>
      <c r="G277" s="43"/>
      <c r="H277" s="43"/>
      <c r="I277" s="43"/>
      <c r="J277" s="43"/>
      <c r="K277" s="45"/>
      <c r="L277" s="45"/>
      <c r="M277" s="45"/>
      <c r="N277" s="46"/>
      <c r="O277" s="46"/>
      <c r="P277" s="43"/>
      <c r="Q277" s="43"/>
      <c r="R277" s="43"/>
      <c r="S277" s="66"/>
      <c r="T277" s="46"/>
      <c r="U277" s="66"/>
      <c r="V277" s="45"/>
      <c r="W277" s="45"/>
      <c r="X277" s="45"/>
      <c r="Y277" s="43"/>
      <c r="Z277" s="43"/>
      <c r="AA277" s="46"/>
      <c r="AB277" s="45"/>
      <c r="AC277" s="46"/>
      <c r="AD277" s="43"/>
      <c r="AE277" s="43"/>
      <c r="AF277" s="43"/>
      <c r="AG277" s="43"/>
      <c r="AH277" s="43"/>
    </row>
    <row r="278" spans="2:34">
      <c r="B278" s="42"/>
      <c r="C278" s="42"/>
      <c r="D278" s="43"/>
      <c r="E278" s="43"/>
      <c r="F278" s="43"/>
      <c r="G278" s="43"/>
      <c r="H278" s="43"/>
      <c r="I278" s="43"/>
      <c r="J278" s="43"/>
      <c r="K278" s="45"/>
      <c r="L278" s="45"/>
      <c r="M278" s="45"/>
      <c r="N278" s="46"/>
      <c r="O278" s="46"/>
      <c r="P278" s="43"/>
      <c r="Q278" s="43"/>
      <c r="R278" s="43"/>
      <c r="S278" s="66"/>
      <c r="T278" s="46"/>
      <c r="U278" s="66"/>
      <c r="V278" s="45"/>
      <c r="W278" s="45"/>
      <c r="X278" s="45"/>
      <c r="Y278" s="43"/>
      <c r="Z278" s="43"/>
      <c r="AA278" s="46"/>
      <c r="AB278" s="45"/>
      <c r="AC278" s="46"/>
      <c r="AD278" s="43"/>
      <c r="AE278" s="43"/>
      <c r="AF278" s="43"/>
      <c r="AG278" s="43"/>
      <c r="AH278" s="43"/>
    </row>
    <row r="279" spans="2:34">
      <c r="B279" s="42"/>
      <c r="C279" s="42"/>
      <c r="D279" s="43"/>
      <c r="E279" s="43"/>
      <c r="F279" s="43"/>
      <c r="G279" s="43"/>
      <c r="H279" s="43"/>
      <c r="I279" s="43"/>
      <c r="J279" s="43"/>
      <c r="K279" s="45"/>
      <c r="L279" s="45"/>
      <c r="M279" s="45"/>
      <c r="N279" s="46"/>
      <c r="O279" s="46"/>
      <c r="P279" s="43"/>
      <c r="Q279" s="43"/>
      <c r="R279" s="43"/>
      <c r="S279" s="66"/>
      <c r="T279" s="46"/>
      <c r="U279" s="66"/>
      <c r="V279" s="45"/>
      <c r="W279" s="45"/>
      <c r="X279" s="45"/>
      <c r="Y279" s="43"/>
      <c r="Z279" s="43"/>
      <c r="AA279" s="46"/>
      <c r="AB279" s="45"/>
      <c r="AC279" s="46"/>
      <c r="AD279" s="43"/>
      <c r="AE279" s="43"/>
      <c r="AF279" s="43"/>
      <c r="AG279" s="43"/>
      <c r="AH279" s="43"/>
    </row>
    <row r="280" spans="2:34">
      <c r="B280" s="42"/>
      <c r="C280" s="42"/>
      <c r="D280" s="43"/>
      <c r="E280" s="43"/>
      <c r="F280" s="43"/>
      <c r="G280" s="43"/>
      <c r="H280" s="43"/>
      <c r="I280" s="43"/>
      <c r="J280" s="43"/>
      <c r="K280" s="45"/>
      <c r="L280" s="45"/>
      <c r="M280" s="45"/>
      <c r="N280" s="46"/>
      <c r="O280" s="46"/>
      <c r="P280" s="43"/>
      <c r="Q280" s="43"/>
      <c r="R280" s="43"/>
      <c r="S280" s="66"/>
      <c r="T280" s="46"/>
      <c r="U280" s="66"/>
      <c r="V280" s="45"/>
      <c r="W280" s="45"/>
      <c r="X280" s="45"/>
      <c r="Y280" s="43"/>
      <c r="Z280" s="43"/>
      <c r="AA280" s="46"/>
      <c r="AB280" s="45"/>
      <c r="AC280" s="46"/>
      <c r="AD280" s="43"/>
      <c r="AE280" s="43"/>
      <c r="AF280" s="43"/>
      <c r="AG280" s="43"/>
      <c r="AH280" s="43"/>
    </row>
    <row r="281" spans="2:34">
      <c r="B281" s="42"/>
      <c r="C281" s="42"/>
      <c r="D281" s="43"/>
      <c r="E281" s="43"/>
      <c r="F281" s="43"/>
      <c r="G281" s="43"/>
      <c r="H281" s="43"/>
      <c r="I281" s="43"/>
      <c r="J281" s="43"/>
      <c r="K281" s="45"/>
      <c r="L281" s="45"/>
      <c r="M281" s="45"/>
      <c r="N281" s="46"/>
      <c r="O281" s="46"/>
      <c r="P281" s="43"/>
      <c r="Q281" s="43"/>
      <c r="R281" s="43"/>
      <c r="S281" s="66"/>
      <c r="T281" s="46"/>
      <c r="U281" s="66"/>
      <c r="V281" s="45"/>
      <c r="W281" s="45"/>
      <c r="X281" s="45"/>
      <c r="Y281" s="43"/>
      <c r="Z281" s="43"/>
      <c r="AA281" s="46"/>
      <c r="AB281" s="45"/>
      <c r="AC281" s="46"/>
      <c r="AD281" s="43"/>
      <c r="AE281" s="43"/>
      <c r="AF281" s="43"/>
      <c r="AG281" s="43"/>
      <c r="AH281" s="43"/>
    </row>
    <row r="282" spans="2:34">
      <c r="B282" s="42"/>
      <c r="C282" s="42"/>
      <c r="D282" s="43"/>
      <c r="E282" s="43"/>
      <c r="F282" s="43"/>
      <c r="G282" s="43"/>
      <c r="H282" s="43"/>
      <c r="I282" s="43"/>
      <c r="J282" s="43"/>
      <c r="K282" s="45"/>
      <c r="L282" s="45"/>
      <c r="M282" s="45"/>
      <c r="N282" s="46"/>
      <c r="O282" s="46"/>
      <c r="P282" s="43"/>
      <c r="Q282" s="43"/>
      <c r="R282" s="43"/>
      <c r="S282" s="66"/>
      <c r="T282" s="46"/>
      <c r="U282" s="66"/>
      <c r="V282" s="45"/>
      <c r="W282" s="45"/>
      <c r="X282" s="45"/>
      <c r="Y282" s="43"/>
      <c r="Z282" s="43"/>
      <c r="AA282" s="46"/>
      <c r="AB282" s="45"/>
      <c r="AC282" s="46"/>
      <c r="AD282" s="43"/>
      <c r="AE282" s="43"/>
      <c r="AF282" s="43"/>
      <c r="AG282" s="43"/>
      <c r="AH282" s="43"/>
    </row>
    <row r="283" spans="2:34">
      <c r="B283" s="42"/>
      <c r="C283" s="42"/>
      <c r="D283" s="43"/>
      <c r="E283" s="43"/>
      <c r="F283" s="43"/>
      <c r="G283" s="43"/>
      <c r="H283" s="43"/>
      <c r="I283" s="43"/>
      <c r="J283" s="43"/>
      <c r="K283" s="45"/>
      <c r="L283" s="45"/>
      <c r="M283" s="45"/>
      <c r="N283" s="46"/>
      <c r="O283" s="46"/>
      <c r="P283" s="43"/>
      <c r="Q283" s="43"/>
      <c r="R283" s="43"/>
      <c r="S283" s="66"/>
      <c r="T283" s="46"/>
      <c r="U283" s="66"/>
      <c r="V283" s="45"/>
      <c r="W283" s="45"/>
      <c r="X283" s="45"/>
      <c r="Y283" s="43"/>
      <c r="Z283" s="43"/>
      <c r="AA283" s="46"/>
      <c r="AB283" s="45"/>
      <c r="AC283" s="46"/>
      <c r="AD283" s="43"/>
      <c r="AE283" s="43"/>
      <c r="AF283" s="43"/>
      <c r="AG283" s="43"/>
      <c r="AH283" s="43"/>
    </row>
    <row r="284" spans="2:34">
      <c r="B284" s="42"/>
      <c r="C284" s="42"/>
      <c r="D284" s="43"/>
      <c r="E284" s="43"/>
      <c r="F284" s="43"/>
      <c r="G284" s="43"/>
      <c r="H284" s="43"/>
      <c r="I284" s="43"/>
      <c r="J284" s="43"/>
      <c r="K284" s="45"/>
      <c r="L284" s="45"/>
      <c r="M284" s="45"/>
      <c r="N284" s="46"/>
      <c r="O284" s="46"/>
      <c r="P284" s="43"/>
      <c r="Q284" s="43"/>
      <c r="R284" s="43"/>
      <c r="S284" s="66"/>
      <c r="T284" s="46"/>
      <c r="U284" s="66"/>
      <c r="V284" s="45"/>
      <c r="W284" s="45"/>
      <c r="X284" s="45"/>
      <c r="Y284" s="43"/>
      <c r="Z284" s="43"/>
      <c r="AA284" s="46"/>
      <c r="AB284" s="45"/>
      <c r="AC284" s="46"/>
      <c r="AD284" s="43"/>
      <c r="AE284" s="43"/>
      <c r="AF284" s="43"/>
      <c r="AG284" s="43"/>
      <c r="AH284" s="43"/>
    </row>
    <row r="285" spans="2:34">
      <c r="B285" s="42"/>
      <c r="C285" s="42"/>
      <c r="D285" s="43"/>
      <c r="E285" s="43"/>
      <c r="F285" s="43"/>
      <c r="G285" s="43"/>
      <c r="H285" s="43"/>
      <c r="I285" s="43"/>
      <c r="J285" s="43"/>
      <c r="K285" s="45"/>
      <c r="L285" s="45"/>
      <c r="M285" s="45"/>
      <c r="N285" s="46"/>
      <c r="O285" s="46"/>
      <c r="P285" s="43"/>
      <c r="Q285" s="43"/>
      <c r="R285" s="43"/>
      <c r="S285" s="66"/>
      <c r="T285" s="46"/>
      <c r="U285" s="66"/>
      <c r="V285" s="45"/>
      <c r="W285" s="45"/>
      <c r="X285" s="45"/>
      <c r="Y285" s="43"/>
      <c r="Z285" s="43"/>
      <c r="AA285" s="46"/>
      <c r="AB285" s="45"/>
      <c r="AC285" s="46"/>
      <c r="AD285" s="43"/>
      <c r="AE285" s="43"/>
      <c r="AF285" s="43"/>
      <c r="AG285" s="43"/>
      <c r="AH285" s="43"/>
    </row>
    <row r="286" spans="2:34">
      <c r="B286" s="42"/>
      <c r="C286" s="42"/>
      <c r="D286" s="43"/>
      <c r="E286" s="43"/>
      <c r="F286" s="43"/>
      <c r="G286" s="43"/>
      <c r="H286" s="43"/>
      <c r="I286" s="43"/>
      <c r="J286" s="43"/>
      <c r="K286" s="45"/>
      <c r="L286" s="45"/>
      <c r="M286" s="45"/>
      <c r="N286" s="46"/>
      <c r="O286" s="46"/>
      <c r="P286" s="43"/>
      <c r="Q286" s="43"/>
      <c r="R286" s="43"/>
      <c r="S286" s="66"/>
      <c r="T286" s="46"/>
      <c r="U286" s="66"/>
      <c r="V286" s="45"/>
      <c r="W286" s="45"/>
      <c r="X286" s="45"/>
      <c r="Y286" s="43"/>
      <c r="Z286" s="43"/>
      <c r="AA286" s="46"/>
      <c r="AB286" s="45"/>
      <c r="AC286" s="46"/>
      <c r="AD286" s="43"/>
      <c r="AE286" s="43"/>
      <c r="AF286" s="43"/>
      <c r="AG286" s="43"/>
      <c r="AH286" s="43"/>
    </row>
    <row r="287" spans="2:34">
      <c r="B287" s="42"/>
      <c r="C287" s="42"/>
      <c r="D287" s="43"/>
      <c r="E287" s="43"/>
      <c r="F287" s="43"/>
      <c r="G287" s="43"/>
      <c r="H287" s="43"/>
      <c r="I287" s="43"/>
      <c r="J287" s="43"/>
      <c r="K287" s="45"/>
      <c r="L287" s="45"/>
      <c r="M287" s="45"/>
      <c r="N287" s="46"/>
      <c r="O287" s="46"/>
      <c r="P287" s="43"/>
      <c r="Q287" s="43"/>
      <c r="R287" s="43"/>
      <c r="S287" s="66"/>
      <c r="T287" s="46"/>
      <c r="U287" s="66"/>
      <c r="V287" s="45"/>
      <c r="W287" s="45"/>
      <c r="X287" s="45"/>
      <c r="Y287" s="43"/>
      <c r="Z287" s="43"/>
      <c r="AA287" s="46"/>
      <c r="AB287" s="45"/>
      <c r="AC287" s="46"/>
      <c r="AD287" s="43"/>
      <c r="AE287" s="43"/>
      <c r="AF287" s="43"/>
      <c r="AG287" s="43"/>
      <c r="AH287" s="43"/>
    </row>
    <row r="288" spans="2:34">
      <c r="B288" s="42"/>
      <c r="C288" s="42"/>
      <c r="D288" s="43"/>
      <c r="E288" s="43"/>
      <c r="F288" s="43"/>
      <c r="G288" s="43"/>
      <c r="H288" s="43"/>
      <c r="I288" s="43"/>
      <c r="J288" s="43"/>
      <c r="K288" s="45"/>
      <c r="L288" s="45"/>
      <c r="M288" s="45"/>
      <c r="N288" s="46"/>
      <c r="O288" s="46"/>
      <c r="P288" s="43"/>
      <c r="Q288" s="43"/>
      <c r="R288" s="43"/>
      <c r="S288" s="66"/>
      <c r="T288" s="46"/>
      <c r="U288" s="66"/>
      <c r="V288" s="45"/>
      <c r="W288" s="45"/>
      <c r="X288" s="45"/>
      <c r="Y288" s="43"/>
      <c r="Z288" s="43"/>
      <c r="AA288" s="46"/>
      <c r="AB288" s="45"/>
      <c r="AC288" s="46"/>
      <c r="AD288" s="43"/>
      <c r="AE288" s="43"/>
      <c r="AF288" s="43"/>
      <c r="AG288" s="43"/>
      <c r="AH288" s="43"/>
    </row>
    <row r="289" spans="2:34">
      <c r="B289" s="42"/>
      <c r="C289" s="42"/>
      <c r="D289" s="43"/>
      <c r="E289" s="43"/>
      <c r="F289" s="43"/>
      <c r="G289" s="43"/>
      <c r="H289" s="43"/>
      <c r="I289" s="43"/>
      <c r="J289" s="43"/>
      <c r="K289" s="45"/>
      <c r="L289" s="45"/>
      <c r="M289" s="45"/>
      <c r="N289" s="46"/>
      <c r="O289" s="46"/>
      <c r="P289" s="43"/>
      <c r="Q289" s="43"/>
      <c r="R289" s="43"/>
      <c r="S289" s="66"/>
      <c r="T289" s="46"/>
      <c r="U289" s="66"/>
      <c r="V289" s="45"/>
      <c r="W289" s="45"/>
      <c r="X289" s="45"/>
      <c r="Y289" s="43"/>
      <c r="Z289" s="43"/>
      <c r="AA289" s="46"/>
      <c r="AB289" s="45"/>
      <c r="AC289" s="46"/>
      <c r="AD289" s="43"/>
      <c r="AE289" s="43"/>
      <c r="AF289" s="43"/>
      <c r="AG289" s="43"/>
      <c r="AH289" s="43"/>
    </row>
    <row r="290" spans="2:34">
      <c r="B290" s="42"/>
      <c r="C290" s="42"/>
      <c r="D290" s="43"/>
      <c r="E290" s="43"/>
      <c r="F290" s="43"/>
      <c r="G290" s="43"/>
      <c r="H290" s="43"/>
      <c r="I290" s="43"/>
      <c r="J290" s="43"/>
      <c r="K290" s="45"/>
      <c r="L290" s="45"/>
      <c r="M290" s="45"/>
      <c r="N290" s="46"/>
      <c r="O290" s="46"/>
      <c r="P290" s="43"/>
      <c r="Q290" s="43"/>
      <c r="R290" s="43"/>
      <c r="S290" s="66"/>
      <c r="T290" s="46"/>
      <c r="U290" s="66"/>
      <c r="V290" s="45"/>
      <c r="W290" s="45"/>
      <c r="X290" s="45"/>
      <c r="Y290" s="43"/>
      <c r="Z290" s="43"/>
      <c r="AA290" s="46"/>
      <c r="AB290" s="45"/>
      <c r="AC290" s="46"/>
      <c r="AD290" s="43"/>
      <c r="AE290" s="43"/>
      <c r="AF290" s="43"/>
      <c r="AG290" s="43"/>
      <c r="AH290" s="43"/>
    </row>
    <row r="291" spans="2:34">
      <c r="B291" s="42"/>
      <c r="C291" s="42"/>
      <c r="D291" s="43"/>
      <c r="E291" s="43"/>
      <c r="F291" s="43"/>
      <c r="G291" s="43"/>
      <c r="H291" s="43"/>
      <c r="I291" s="43"/>
      <c r="J291" s="43"/>
      <c r="K291" s="45"/>
      <c r="L291" s="45"/>
      <c r="M291" s="45"/>
      <c r="N291" s="46"/>
      <c r="O291" s="46"/>
      <c r="P291" s="43"/>
      <c r="Q291" s="43"/>
      <c r="R291" s="43"/>
      <c r="S291" s="66"/>
      <c r="T291" s="46"/>
      <c r="U291" s="66"/>
      <c r="V291" s="45"/>
      <c r="W291" s="45"/>
      <c r="X291" s="45"/>
      <c r="Y291" s="43"/>
      <c r="Z291" s="43"/>
      <c r="AA291" s="46"/>
      <c r="AB291" s="45"/>
      <c r="AC291" s="46"/>
      <c r="AD291" s="43"/>
      <c r="AE291" s="43"/>
      <c r="AF291" s="43"/>
      <c r="AG291" s="43"/>
      <c r="AH291" s="43"/>
    </row>
    <row r="292" spans="2:34">
      <c r="B292" s="42"/>
      <c r="C292" s="42"/>
      <c r="D292" s="43"/>
      <c r="E292" s="43"/>
      <c r="F292" s="43"/>
      <c r="G292" s="43"/>
      <c r="H292" s="43"/>
      <c r="I292" s="43"/>
      <c r="J292" s="43"/>
      <c r="K292" s="45"/>
      <c r="L292" s="45"/>
      <c r="M292" s="45"/>
      <c r="N292" s="46"/>
      <c r="O292" s="46"/>
      <c r="P292" s="43"/>
      <c r="Q292" s="43"/>
      <c r="R292" s="43"/>
      <c r="S292" s="66"/>
      <c r="T292" s="46"/>
      <c r="U292" s="66"/>
      <c r="V292" s="45"/>
      <c r="W292" s="45"/>
      <c r="X292" s="45"/>
      <c r="Y292" s="43"/>
      <c r="Z292" s="43"/>
      <c r="AA292" s="46"/>
      <c r="AB292" s="45"/>
      <c r="AC292" s="46"/>
      <c r="AD292" s="43"/>
      <c r="AE292" s="43"/>
      <c r="AF292" s="43"/>
      <c r="AG292" s="43"/>
      <c r="AH292" s="43"/>
    </row>
    <row r="293" spans="2:34">
      <c r="B293" s="42"/>
      <c r="C293" s="42"/>
      <c r="D293" s="43"/>
      <c r="E293" s="43"/>
      <c r="F293" s="43"/>
      <c r="G293" s="43"/>
      <c r="H293" s="43"/>
      <c r="I293" s="43"/>
      <c r="J293" s="43"/>
      <c r="K293" s="45"/>
      <c r="L293" s="45"/>
      <c r="M293" s="45"/>
      <c r="N293" s="46"/>
      <c r="O293" s="46"/>
      <c r="P293" s="43"/>
      <c r="Q293" s="43"/>
      <c r="R293" s="43"/>
      <c r="S293" s="66"/>
      <c r="T293" s="46"/>
      <c r="U293" s="66"/>
      <c r="V293" s="45"/>
      <c r="W293" s="45"/>
      <c r="X293" s="45"/>
      <c r="Y293" s="43"/>
      <c r="Z293" s="43"/>
      <c r="AA293" s="46"/>
      <c r="AB293" s="45"/>
      <c r="AC293" s="46"/>
      <c r="AD293" s="43"/>
      <c r="AE293" s="43"/>
      <c r="AF293" s="43"/>
      <c r="AG293" s="43"/>
      <c r="AH293" s="43"/>
    </row>
    <row r="294" spans="2:34">
      <c r="B294" s="42"/>
      <c r="C294" s="42"/>
      <c r="D294" s="43"/>
      <c r="E294" s="43"/>
      <c r="F294" s="43"/>
      <c r="G294" s="43"/>
      <c r="H294" s="43"/>
      <c r="I294" s="43"/>
      <c r="J294" s="43"/>
      <c r="K294" s="45"/>
      <c r="L294" s="45"/>
      <c r="M294" s="45"/>
      <c r="N294" s="46"/>
      <c r="O294" s="46"/>
      <c r="P294" s="43"/>
      <c r="Q294" s="43"/>
      <c r="R294" s="43"/>
      <c r="S294" s="66"/>
      <c r="T294" s="46"/>
      <c r="U294" s="66"/>
      <c r="V294" s="45"/>
      <c r="W294" s="45"/>
      <c r="X294" s="45"/>
      <c r="Y294" s="43"/>
      <c r="Z294" s="43"/>
      <c r="AA294" s="46"/>
      <c r="AB294" s="45"/>
      <c r="AC294" s="46"/>
      <c r="AD294" s="43"/>
      <c r="AE294" s="43"/>
      <c r="AF294" s="43"/>
      <c r="AG294" s="43"/>
      <c r="AH294" s="43"/>
    </row>
    <row r="295" spans="2:34">
      <c r="B295" s="42"/>
      <c r="C295" s="42"/>
      <c r="D295" s="43"/>
      <c r="E295" s="43"/>
      <c r="F295" s="43"/>
      <c r="G295" s="43"/>
      <c r="H295" s="43"/>
      <c r="I295" s="43"/>
      <c r="J295" s="43"/>
      <c r="K295" s="45"/>
      <c r="L295" s="45"/>
      <c r="M295" s="45"/>
      <c r="N295" s="46"/>
      <c r="O295" s="46"/>
      <c r="P295" s="43"/>
      <c r="Q295" s="43"/>
      <c r="R295" s="43"/>
      <c r="S295" s="66"/>
      <c r="T295" s="46"/>
      <c r="U295" s="66"/>
      <c r="V295" s="45"/>
      <c r="W295" s="45"/>
      <c r="X295" s="45"/>
      <c r="Y295" s="43"/>
      <c r="Z295" s="43"/>
      <c r="AA295" s="46"/>
      <c r="AB295" s="45"/>
      <c r="AC295" s="46"/>
      <c r="AD295" s="43"/>
      <c r="AE295" s="43"/>
      <c r="AF295" s="43"/>
      <c r="AG295" s="43"/>
      <c r="AH295" s="43"/>
    </row>
    <row r="296" spans="2:34">
      <c r="B296" s="42"/>
      <c r="C296" s="42"/>
      <c r="D296" s="43"/>
      <c r="E296" s="43"/>
      <c r="F296" s="43"/>
      <c r="G296" s="43"/>
      <c r="H296" s="43"/>
      <c r="I296" s="43"/>
      <c r="J296" s="43"/>
      <c r="K296" s="45"/>
      <c r="L296" s="45"/>
      <c r="M296" s="45"/>
      <c r="N296" s="46"/>
      <c r="O296" s="46"/>
      <c r="P296" s="43"/>
      <c r="Q296" s="43"/>
      <c r="R296" s="43"/>
      <c r="S296" s="66"/>
      <c r="T296" s="46"/>
      <c r="U296" s="66"/>
      <c r="V296" s="45"/>
      <c r="W296" s="45"/>
      <c r="X296" s="45"/>
      <c r="Y296" s="43"/>
      <c r="Z296" s="43"/>
      <c r="AA296" s="46"/>
      <c r="AB296" s="45"/>
      <c r="AC296" s="46"/>
      <c r="AD296" s="43"/>
      <c r="AE296" s="43"/>
      <c r="AF296" s="43"/>
      <c r="AG296" s="43"/>
      <c r="AH296" s="43"/>
    </row>
    <row r="297" spans="2:34">
      <c r="B297" s="42"/>
      <c r="C297" s="42"/>
      <c r="D297" s="43"/>
      <c r="E297" s="43"/>
      <c r="F297" s="43"/>
      <c r="G297" s="43"/>
      <c r="H297" s="43"/>
      <c r="I297" s="43"/>
      <c r="J297" s="43"/>
      <c r="K297" s="45"/>
      <c r="L297" s="45"/>
      <c r="M297" s="45"/>
      <c r="N297" s="46"/>
      <c r="O297" s="46"/>
      <c r="P297" s="43"/>
      <c r="Q297" s="43"/>
      <c r="R297" s="43"/>
      <c r="S297" s="66"/>
      <c r="T297" s="46"/>
      <c r="U297" s="66"/>
      <c r="V297" s="45"/>
      <c r="W297" s="45"/>
      <c r="X297" s="45"/>
      <c r="Y297" s="43"/>
      <c r="Z297" s="43"/>
      <c r="AA297" s="46"/>
      <c r="AB297" s="45"/>
      <c r="AC297" s="46"/>
      <c r="AD297" s="43"/>
      <c r="AE297" s="43"/>
      <c r="AF297" s="43"/>
      <c r="AG297" s="43"/>
      <c r="AH297" s="43"/>
    </row>
    <row r="298" spans="2:34">
      <c r="B298" s="42"/>
      <c r="C298" s="42"/>
      <c r="D298" s="43"/>
      <c r="E298" s="43"/>
      <c r="F298" s="43"/>
      <c r="G298" s="43"/>
      <c r="H298" s="43"/>
      <c r="I298" s="43"/>
      <c r="J298" s="43"/>
      <c r="K298" s="45"/>
      <c r="L298" s="45"/>
      <c r="M298" s="45"/>
      <c r="N298" s="46"/>
      <c r="O298" s="46"/>
      <c r="P298" s="43"/>
      <c r="Q298" s="43"/>
      <c r="R298" s="43"/>
      <c r="S298" s="66"/>
      <c r="T298" s="46"/>
      <c r="U298" s="66"/>
      <c r="V298" s="45"/>
      <c r="W298" s="45"/>
      <c r="X298" s="45"/>
      <c r="Y298" s="43"/>
      <c r="Z298" s="43"/>
      <c r="AA298" s="46"/>
      <c r="AB298" s="45"/>
      <c r="AC298" s="46"/>
      <c r="AD298" s="43"/>
      <c r="AE298" s="43"/>
      <c r="AF298" s="43"/>
      <c r="AG298" s="43"/>
      <c r="AH298" s="43"/>
    </row>
    <row r="299" spans="2:34">
      <c r="B299" s="42"/>
      <c r="C299" s="42"/>
      <c r="D299" s="43"/>
      <c r="E299" s="43"/>
      <c r="F299" s="43"/>
      <c r="G299" s="43"/>
      <c r="H299" s="43"/>
      <c r="I299" s="43"/>
      <c r="J299" s="43"/>
      <c r="K299" s="45"/>
      <c r="L299" s="45"/>
      <c r="M299" s="45"/>
      <c r="N299" s="46"/>
      <c r="O299" s="46"/>
      <c r="P299" s="43"/>
      <c r="Q299" s="43"/>
      <c r="R299" s="43"/>
      <c r="S299" s="66"/>
      <c r="T299" s="46"/>
      <c r="U299" s="66"/>
      <c r="V299" s="45"/>
      <c r="W299" s="45"/>
      <c r="X299" s="45"/>
      <c r="Y299" s="43"/>
      <c r="Z299" s="43"/>
      <c r="AA299" s="46"/>
      <c r="AB299" s="45"/>
      <c r="AC299" s="46"/>
      <c r="AD299" s="43"/>
      <c r="AE299" s="43"/>
      <c r="AF299" s="43"/>
      <c r="AG299" s="43"/>
      <c r="AH299" s="43"/>
    </row>
    <row r="300" spans="2:34">
      <c r="B300" s="42"/>
      <c r="C300" s="42"/>
      <c r="D300" s="43"/>
      <c r="E300" s="43"/>
      <c r="F300" s="43"/>
      <c r="G300" s="43"/>
      <c r="H300" s="43"/>
      <c r="I300" s="43"/>
      <c r="J300" s="43"/>
      <c r="K300" s="45"/>
      <c r="L300" s="45"/>
      <c r="M300" s="45"/>
      <c r="N300" s="46"/>
      <c r="O300" s="46"/>
      <c r="P300" s="43"/>
      <c r="Q300" s="43"/>
      <c r="R300" s="43"/>
      <c r="S300" s="66"/>
      <c r="T300" s="46"/>
      <c r="U300" s="66"/>
      <c r="V300" s="45"/>
      <c r="W300" s="45"/>
      <c r="X300" s="45"/>
      <c r="Y300" s="43"/>
      <c r="Z300" s="43"/>
      <c r="AA300" s="46"/>
      <c r="AB300" s="45"/>
      <c r="AC300" s="46"/>
      <c r="AD300" s="43"/>
      <c r="AE300" s="43"/>
      <c r="AF300" s="43"/>
      <c r="AG300" s="43"/>
      <c r="AH300" s="43"/>
    </row>
  </sheetData>
  <phoneticPr fontId="6" type="noConversion"/>
  <dataValidations count="1">
    <dataValidation type="list" allowBlank="1" sqref="AA5:AA300">
      <formula1>"약점 종결,취약점 확정"</formula1>
      <formula2>0</formula2>
    </dataValidation>
  </dataValidations>
  <pageMargins left="0.75" right="0.75" top="1" bottom="1" header="0.511811023622047" footer="0.511811023622047"/>
  <pageSetup paperSize="9" orientation="portrait" horizontalDpi="300" verticalDpi="300"/>
  <drawing r:id="rId1"/>
  <legacyDrawing r:id="rId2"/>
  <extLst>
    <ext xmlns:x14="http://schemas.microsoft.com/office/spreadsheetml/2009/9/main" uri="{CCE6A557-97BC-4b89-ADB6-D9C93CAAB3DF}">
      <x14:dataValidations xmlns:xm="http://schemas.microsoft.com/office/excel/2006/main" count="9">
        <x14:dataValidation type="list" allowBlank="1">
          <x14:formula1>
            <xm:f>Reference_Lists!$G$5:$G$8</xm:f>
          </x14:formula1>
          <x14:formula2>
            <xm:f>0</xm:f>
          </x14:formula2>
          <xm:sqref>V125:V300</xm:sqref>
        </x14:dataValidation>
        <x14:dataValidation type="list" allowBlank="1">
          <x14:formula1>
            <xm:f>[1]Reference_Lists!#REF!</xm:f>
          </x14:formula1>
          <x14:formula2>
            <xm:f>0</xm:f>
          </x14:formula2>
          <xm:sqref>V5:V124</xm:sqref>
        </x14:dataValidation>
        <x14:dataValidation type="list" allowBlank="1">
          <x14:formula1>
            <xm:f>Reference_Lists!$K$5:$K$9</xm:f>
          </x14:formula1>
          <xm:sqref>L5:L300</xm:sqref>
        </x14:dataValidation>
        <x14:dataValidation type="list" allowBlank="1">
          <x14:formula1>
            <xm:f>Reference_Lists!$I$5:$I$7</xm:f>
          </x14:formula1>
          <xm:sqref>T5:T300</xm:sqref>
        </x14:dataValidation>
        <x14:dataValidation type="list" allowBlank="1" showInputMessage="1" showErrorMessage="1">
          <x14:formula1>
            <xm:f>Reference_Lists!$J$5:$J$8</xm:f>
          </x14:formula1>
          <xm:sqref>U5:U300</xm:sqref>
        </x14:dataValidation>
        <x14:dataValidation type="list" allowBlank="1">
          <x14:formula1>
            <xm:f>Reference_Lists!$G$5:$G$8</xm:f>
          </x14:formula1>
          <xm:sqref>S5:S300</xm:sqref>
        </x14:dataValidation>
        <x14:dataValidation type="list" allowBlank="1">
          <x14:formula1>
            <xm:f>Reference_Lists!$M$5:$M$8</xm:f>
          </x14:formula1>
          <xm:sqref>AC5:AC300</xm:sqref>
        </x14:dataValidation>
        <x14:dataValidation type="list" allowBlank="1">
          <x14:formula1>
            <xm:f>Reference_Lists!$B$5:$B$8</xm:f>
          </x14:formula1>
          <xm:sqref>N5:N300</xm:sqref>
        </x14:dataValidation>
        <x14:dataValidation type="list" allowBlank="1">
          <x14:formula1>
            <xm:f>Reference_Lists!$D$5:$D$9</xm:f>
          </x14:formula1>
          <xm:sqref>O5:O300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R17"/>
  <sheetViews>
    <sheetView zoomScaleNormal="100" workbookViewId="0"/>
  </sheetViews>
  <sheetFormatPr defaultColWidth="8.6328125" defaultRowHeight="14"/>
  <cols>
    <col min="1" max="1" width="8.6328125" style="35"/>
    <col min="2" max="2" width="16" style="35" customWidth="1"/>
    <col min="3" max="3" width="8.6328125" style="35"/>
    <col min="4" max="4" width="34" style="35" customWidth="1"/>
    <col min="5" max="5" width="60.90625" style="35" bestFit="1" customWidth="1"/>
    <col min="6" max="6" width="8.6328125" style="35"/>
    <col min="7" max="7" width="12" style="35" customWidth="1"/>
    <col min="8" max="8" width="8.6328125" style="35"/>
    <col min="9" max="9" width="35.1796875" style="65" bestFit="1" customWidth="1"/>
    <col min="10" max="10" width="15.90625" style="67" customWidth="1"/>
    <col min="11" max="11" width="12" style="35" customWidth="1"/>
    <col min="12" max="12" width="8.6328125" style="35"/>
    <col min="13" max="13" width="12" style="35" customWidth="1"/>
    <col min="14" max="15" width="8.6328125" style="35"/>
    <col min="16" max="17" width="16" style="35" customWidth="1"/>
    <col min="18" max="16384" width="8.6328125" style="35"/>
  </cols>
  <sheetData>
    <row r="1" spans="2:18" ht="19.5" customHeight="1">
      <c r="B1" s="92" t="s">
        <v>848</v>
      </c>
      <c r="C1" s="92"/>
      <c r="D1" s="92"/>
      <c r="E1" s="92"/>
      <c r="F1" s="92"/>
      <c r="G1" s="92"/>
      <c r="H1" s="92"/>
      <c r="I1" s="92"/>
      <c r="J1" s="92"/>
      <c r="K1" s="92"/>
      <c r="L1" s="92"/>
      <c r="M1" s="92"/>
      <c r="N1" s="92"/>
      <c r="O1" s="92"/>
      <c r="P1" s="92"/>
      <c r="Q1" s="92"/>
      <c r="R1" s="92"/>
    </row>
    <row r="2" spans="2:18" ht="15.75" customHeight="1">
      <c r="B2" s="93" t="s">
        <v>849</v>
      </c>
      <c r="C2" s="93"/>
      <c r="D2" s="93"/>
      <c r="E2" s="93"/>
      <c r="F2" s="93"/>
      <c r="G2" s="93"/>
      <c r="H2" s="93"/>
      <c r="I2" s="93"/>
      <c r="J2" s="93"/>
      <c r="K2" s="93"/>
      <c r="L2" s="93"/>
      <c r="M2" s="93"/>
      <c r="N2" s="93"/>
      <c r="O2" s="93"/>
      <c r="P2" s="93"/>
      <c r="Q2" s="93"/>
      <c r="R2" s="93"/>
    </row>
    <row r="3" spans="2:18" ht="15.75" customHeight="1">
      <c r="B3" s="93" t="s">
        <v>850</v>
      </c>
      <c r="C3" s="93"/>
      <c r="D3" s="93"/>
      <c r="E3" s="93"/>
      <c r="F3" s="93"/>
      <c r="G3" s="93"/>
      <c r="H3" s="93"/>
      <c r="I3" s="93"/>
      <c r="J3" s="93"/>
      <c r="K3" s="93"/>
      <c r="L3" s="93"/>
      <c r="M3" s="93"/>
      <c r="N3" s="93"/>
      <c r="O3" s="93"/>
      <c r="P3" s="93"/>
      <c r="Q3" s="93"/>
      <c r="R3" s="93"/>
    </row>
    <row r="4" spans="2:18" ht="25.5" customHeight="1">
      <c r="B4" s="41" t="s">
        <v>8</v>
      </c>
      <c r="C4" s="41"/>
      <c r="D4" s="41" t="s">
        <v>35</v>
      </c>
      <c r="E4" s="41" t="s">
        <v>851</v>
      </c>
      <c r="F4" s="41"/>
      <c r="G4" s="41" t="s">
        <v>36</v>
      </c>
      <c r="H4" s="41"/>
      <c r="I4" s="41" t="s">
        <v>37</v>
      </c>
      <c r="J4" s="41" t="s">
        <v>898</v>
      </c>
      <c r="K4" s="41" t="s">
        <v>7</v>
      </c>
      <c r="L4" s="41"/>
      <c r="M4" s="41" t="s">
        <v>15</v>
      </c>
      <c r="N4" s="41"/>
      <c r="O4" s="41"/>
      <c r="P4" s="41" t="s">
        <v>852</v>
      </c>
      <c r="Q4" s="41" t="s">
        <v>853</v>
      </c>
      <c r="R4" s="41"/>
    </row>
    <row r="5" spans="2:18">
      <c r="B5" s="60" t="s">
        <v>28</v>
      </c>
      <c r="D5" s="60" t="s">
        <v>38</v>
      </c>
      <c r="E5" s="60" t="s">
        <v>854</v>
      </c>
      <c r="G5" s="60" t="s">
        <v>39</v>
      </c>
      <c r="I5" s="65" t="s">
        <v>926</v>
      </c>
      <c r="J5" s="70" t="s">
        <v>927</v>
      </c>
      <c r="K5" s="60" t="s">
        <v>27</v>
      </c>
      <c r="M5" s="60" t="s">
        <v>40</v>
      </c>
      <c r="P5" s="61">
        <v>0</v>
      </c>
      <c r="Q5" s="61" t="s">
        <v>39</v>
      </c>
    </row>
    <row r="6" spans="2:18">
      <c r="B6" s="60" t="s">
        <v>41</v>
      </c>
      <c r="D6" s="60" t="s">
        <v>42</v>
      </c>
      <c r="E6" s="60" t="s">
        <v>855</v>
      </c>
      <c r="G6" s="60" t="s">
        <v>43</v>
      </c>
      <c r="I6" s="65" t="s">
        <v>928</v>
      </c>
      <c r="J6" s="70" t="s">
        <v>929</v>
      </c>
      <c r="K6" s="60" t="s">
        <v>45</v>
      </c>
      <c r="M6" s="60" t="s">
        <v>34</v>
      </c>
      <c r="P6" s="61">
        <v>4</v>
      </c>
      <c r="Q6" s="61" t="s">
        <v>43</v>
      </c>
    </row>
    <row r="7" spans="2:18">
      <c r="B7" s="60" t="s">
        <v>46</v>
      </c>
      <c r="D7" s="60" t="s">
        <v>47</v>
      </c>
      <c r="E7" s="60" t="s">
        <v>856</v>
      </c>
      <c r="G7" s="60" t="s">
        <v>32</v>
      </c>
      <c r="I7" s="65" t="s">
        <v>930</v>
      </c>
      <c r="J7" s="70" t="s">
        <v>931</v>
      </c>
      <c r="K7" s="60" t="s">
        <v>932</v>
      </c>
      <c r="M7" s="60" t="s">
        <v>50</v>
      </c>
      <c r="P7" s="61">
        <v>7</v>
      </c>
      <c r="Q7" s="61" t="s">
        <v>32</v>
      </c>
    </row>
    <row r="8" spans="2:18">
      <c r="B8" s="60" t="s">
        <v>51</v>
      </c>
      <c r="D8" s="60" t="s">
        <v>52</v>
      </c>
      <c r="E8" s="60" t="s">
        <v>857</v>
      </c>
      <c r="G8" s="60" t="s">
        <v>53</v>
      </c>
      <c r="J8" s="70" t="s">
        <v>933</v>
      </c>
      <c r="K8" s="60" t="s">
        <v>49</v>
      </c>
      <c r="M8" s="60" t="s">
        <v>54</v>
      </c>
      <c r="P8" s="61">
        <v>9</v>
      </c>
      <c r="Q8" s="61" t="s">
        <v>53</v>
      </c>
    </row>
    <row r="9" spans="2:18">
      <c r="D9" s="60" t="s">
        <v>55</v>
      </c>
      <c r="E9" s="60" t="s">
        <v>858</v>
      </c>
    </row>
    <row r="11" spans="2:18">
      <c r="I11" s="65" t="s">
        <v>926</v>
      </c>
    </row>
    <row r="12" spans="2:18">
      <c r="I12" s="60" t="s">
        <v>44</v>
      </c>
    </row>
    <row r="13" spans="2:18">
      <c r="I13" s="60" t="s">
        <v>48</v>
      </c>
    </row>
    <row r="14" spans="2:18">
      <c r="I14" s="60" t="s">
        <v>31</v>
      </c>
    </row>
    <row r="15" spans="2:18">
      <c r="I15" s="60" t="s">
        <v>56</v>
      </c>
    </row>
    <row r="16" spans="2:18">
      <c r="I16" s="60" t="s">
        <v>57</v>
      </c>
    </row>
    <row r="17" spans="9:9">
      <c r="I17" s="60" t="s">
        <v>58</v>
      </c>
    </row>
  </sheetData>
  <mergeCells count="3">
    <mergeCell ref="B1:R1"/>
    <mergeCell ref="B2:R2"/>
    <mergeCell ref="B3:R3"/>
  </mergeCells>
  <phoneticPr fontId="6" type="noConversion"/>
  <pageMargins left="0.75" right="0.75" top="1" bottom="1" header="0.511811023622047" footer="0.511811023622047"/>
  <pageSetup paperSize="9"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4:E25"/>
  <sheetViews>
    <sheetView showGridLines="0" workbookViewId="0">
      <selection activeCell="G21" sqref="G21"/>
    </sheetView>
  </sheetViews>
  <sheetFormatPr defaultRowHeight="14.5"/>
  <cols>
    <col min="3" max="3" width="25.7265625" customWidth="1"/>
    <col min="4" max="4" width="61.08984375" customWidth="1"/>
    <col min="5" max="5" width="51.7265625" customWidth="1"/>
  </cols>
  <sheetData>
    <row r="4" spans="2:5" ht="22.5">
      <c r="B4" s="71" t="s">
        <v>934</v>
      </c>
      <c r="C4" s="35"/>
      <c r="D4" s="35"/>
      <c r="E4" s="35"/>
    </row>
    <row r="5" spans="2:5">
      <c r="B5" s="35"/>
      <c r="C5" s="35"/>
      <c r="D5" s="35"/>
      <c r="E5" s="35"/>
    </row>
    <row r="6" spans="2:5" ht="15.5">
      <c r="B6" s="72" t="s">
        <v>935</v>
      </c>
      <c r="C6" s="35"/>
      <c r="D6" s="35"/>
      <c r="E6" s="35"/>
    </row>
    <row r="7" spans="2:5">
      <c r="B7" s="73"/>
      <c r="C7" s="35"/>
      <c r="D7" s="35"/>
      <c r="E7" s="35"/>
    </row>
    <row r="8" spans="2:5">
      <c r="B8" s="35"/>
      <c r="C8" s="74" t="s">
        <v>897</v>
      </c>
      <c r="D8" s="35"/>
      <c r="E8" s="35"/>
    </row>
    <row r="9" spans="2:5">
      <c r="B9" s="35"/>
      <c r="C9" s="35"/>
      <c r="D9" s="35"/>
      <c r="E9" s="35"/>
    </row>
    <row r="10" spans="2:5" ht="15.5">
      <c r="B10" s="72" t="s">
        <v>936</v>
      </c>
      <c r="C10" s="35"/>
      <c r="D10" s="35"/>
      <c r="E10" s="35"/>
    </row>
    <row r="11" spans="2:5">
      <c r="B11" s="73"/>
      <c r="C11" s="35"/>
      <c r="D11" s="35"/>
      <c r="E11" s="35"/>
    </row>
    <row r="12" spans="2:5">
      <c r="B12" s="35"/>
      <c r="C12" s="73" t="s">
        <v>960</v>
      </c>
      <c r="D12" s="35"/>
      <c r="E12" s="35"/>
    </row>
    <row r="13" spans="2:5">
      <c r="B13" s="35"/>
      <c r="C13" s="73" t="s">
        <v>961</v>
      </c>
      <c r="D13" s="35"/>
      <c r="E13" s="35"/>
    </row>
    <row r="14" spans="2:5">
      <c r="B14" s="35"/>
      <c r="C14" s="73" t="s">
        <v>962</v>
      </c>
      <c r="D14" s="35"/>
      <c r="E14" s="35"/>
    </row>
    <row r="15" spans="2:5">
      <c r="B15" s="35"/>
      <c r="C15" s="35"/>
      <c r="D15" s="35"/>
      <c r="E15" s="35"/>
    </row>
    <row r="16" spans="2:5" ht="15">
      <c r="B16" s="35" t="s">
        <v>937</v>
      </c>
      <c r="C16" s="35"/>
      <c r="D16" s="35"/>
      <c r="E16" s="35"/>
    </row>
    <row r="17" spans="2:5">
      <c r="B17" s="35"/>
      <c r="C17" s="35"/>
      <c r="D17" s="35"/>
      <c r="E17" s="35"/>
    </row>
    <row r="18" spans="2:5" ht="15.5">
      <c r="B18" s="75" t="s">
        <v>938</v>
      </c>
      <c r="C18" s="35"/>
      <c r="D18" s="35"/>
      <c r="E18" s="35"/>
    </row>
    <row r="19" spans="2:5">
      <c r="B19" s="35"/>
      <c r="C19" s="35"/>
      <c r="D19" s="35"/>
      <c r="E19" s="35"/>
    </row>
    <row r="20" spans="2:5">
      <c r="B20" s="94" t="s">
        <v>939</v>
      </c>
      <c r="C20" s="94"/>
      <c r="D20" s="79" t="s">
        <v>940</v>
      </c>
      <c r="E20" s="80" t="s">
        <v>941</v>
      </c>
    </row>
    <row r="21" spans="2:5" ht="42">
      <c r="B21" s="86" t="s">
        <v>963</v>
      </c>
      <c r="C21" s="81" t="s">
        <v>942</v>
      </c>
      <c r="D21" s="82" t="s">
        <v>943</v>
      </c>
      <c r="E21" s="84" t="s">
        <v>968</v>
      </c>
    </row>
    <row r="22" spans="2:5" ht="42">
      <c r="B22" s="86" t="s">
        <v>964</v>
      </c>
      <c r="C22" s="81" t="s">
        <v>944</v>
      </c>
      <c r="D22" s="82" t="s">
        <v>945</v>
      </c>
      <c r="E22" s="84" t="s">
        <v>946</v>
      </c>
    </row>
    <row r="23" spans="2:5" ht="122" customHeight="1">
      <c r="B23" s="86" t="s">
        <v>965</v>
      </c>
      <c r="C23" s="81" t="s">
        <v>895</v>
      </c>
      <c r="D23" s="82" t="s">
        <v>947</v>
      </c>
      <c r="E23" s="83" t="s">
        <v>969</v>
      </c>
    </row>
    <row r="24" spans="2:5" ht="42">
      <c r="B24" s="86" t="s">
        <v>966</v>
      </c>
      <c r="C24" s="81" t="s">
        <v>896</v>
      </c>
      <c r="D24" s="82" t="s">
        <v>948</v>
      </c>
      <c r="E24" s="85" t="s">
        <v>949</v>
      </c>
    </row>
    <row r="25" spans="2:5" ht="56">
      <c r="B25" s="86" t="s">
        <v>967</v>
      </c>
      <c r="C25" s="81" t="s">
        <v>14</v>
      </c>
      <c r="D25" s="82" t="s">
        <v>950</v>
      </c>
      <c r="E25" s="83" t="s">
        <v>970</v>
      </c>
    </row>
  </sheetData>
  <mergeCells count="1">
    <mergeCell ref="B20:C20"/>
  </mergeCells>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W17"/>
  <sheetViews>
    <sheetView zoomScaleNormal="100" workbookViewId="0"/>
  </sheetViews>
  <sheetFormatPr defaultColWidth="8.6328125" defaultRowHeight="14" outlineLevelCol="1"/>
  <cols>
    <col min="1" max="1" width="8.6328125" style="47"/>
    <col min="2" max="2" width="16.453125" style="47" customWidth="1"/>
    <col min="3" max="3" width="42" style="47" customWidth="1"/>
    <col min="4" max="4" width="55" style="47" customWidth="1"/>
    <col min="5" max="5" width="12" style="47" customWidth="1"/>
    <col min="6" max="6" width="8.6328125" style="47"/>
    <col min="7" max="22" width="13" style="47" hidden="1" customWidth="1" outlineLevel="1"/>
    <col min="23" max="23" width="8.6328125" style="47" collapsed="1"/>
    <col min="24" max="16384" width="8.6328125" style="47"/>
  </cols>
  <sheetData>
    <row r="1" spans="2:22" ht="21.75" customHeight="1">
      <c r="B1" s="96" t="s">
        <v>764</v>
      </c>
      <c r="C1" s="96"/>
      <c r="D1" s="96"/>
      <c r="E1" s="96"/>
    </row>
    <row r="2" spans="2:22" ht="15.75" customHeight="1">
      <c r="B2" s="95" t="s">
        <v>765</v>
      </c>
      <c r="C2" s="95"/>
      <c r="D2" s="95"/>
      <c r="E2" s="95"/>
    </row>
    <row r="4" spans="2:22" ht="24" customHeight="1">
      <c r="B4" s="41" t="s">
        <v>766</v>
      </c>
      <c r="C4" s="41" t="s">
        <v>767</v>
      </c>
      <c r="D4" s="41" t="s">
        <v>768</v>
      </c>
      <c r="E4" s="41" t="s">
        <v>769</v>
      </c>
    </row>
    <row r="5" spans="2:22">
      <c r="B5" s="48" t="s">
        <v>687</v>
      </c>
      <c r="C5" s="49" t="s">
        <v>770</v>
      </c>
      <c r="D5" s="50" t="s">
        <v>771</v>
      </c>
      <c r="E5" s="51" t="str">
        <f>IFERROR(VLOOKUP(D5,$G$5:$H$8,2,FALSE()),"")</f>
        <v>N</v>
      </c>
      <c r="G5" s="47" t="s">
        <v>772</v>
      </c>
      <c r="H5" s="47" t="s">
        <v>33</v>
      </c>
      <c r="I5" s="47" t="s">
        <v>773</v>
      </c>
      <c r="J5" s="47" t="s">
        <v>397</v>
      </c>
      <c r="K5" s="47" t="s">
        <v>774</v>
      </c>
      <c r="L5" s="47" t="s">
        <v>33</v>
      </c>
      <c r="M5" s="47" t="s">
        <v>775</v>
      </c>
      <c r="N5" s="47" t="s">
        <v>33</v>
      </c>
      <c r="O5" s="47" t="s">
        <v>776</v>
      </c>
      <c r="P5" s="47" t="s">
        <v>688</v>
      </c>
      <c r="Q5" s="47" t="s">
        <v>777</v>
      </c>
      <c r="R5" s="47" t="s">
        <v>33</v>
      </c>
      <c r="S5" s="47" t="s">
        <v>777</v>
      </c>
      <c r="T5" s="47" t="s">
        <v>33</v>
      </c>
      <c r="U5" s="47" t="s">
        <v>777</v>
      </c>
      <c r="V5" s="47" t="s">
        <v>33</v>
      </c>
    </row>
    <row r="6" spans="2:22">
      <c r="B6" s="48" t="s">
        <v>689</v>
      </c>
      <c r="C6" s="49" t="s">
        <v>778</v>
      </c>
      <c r="D6" s="50" t="s">
        <v>779</v>
      </c>
      <c r="E6" s="51" t="str">
        <f>IFERROR(VLOOKUP(D6,$I$5:$J$6,2,FALSE()),"")</f>
        <v>L</v>
      </c>
      <c r="G6" s="47" t="s">
        <v>780</v>
      </c>
      <c r="H6" s="47" t="s">
        <v>399</v>
      </c>
      <c r="I6" s="47" t="s">
        <v>781</v>
      </c>
      <c r="J6" s="47" t="s">
        <v>398</v>
      </c>
      <c r="K6" s="47" t="s">
        <v>782</v>
      </c>
      <c r="L6" s="47" t="s">
        <v>397</v>
      </c>
      <c r="M6" s="47" t="s">
        <v>783</v>
      </c>
      <c r="N6" s="47" t="s">
        <v>400</v>
      </c>
      <c r="O6" s="47" t="s">
        <v>784</v>
      </c>
      <c r="P6" s="47" t="s">
        <v>690</v>
      </c>
      <c r="Q6" s="47" t="s">
        <v>785</v>
      </c>
      <c r="R6" s="47" t="s">
        <v>397</v>
      </c>
      <c r="S6" s="47" t="s">
        <v>786</v>
      </c>
      <c r="T6" s="47" t="s">
        <v>397</v>
      </c>
      <c r="U6" s="47" t="s">
        <v>787</v>
      </c>
      <c r="V6" s="47" t="s">
        <v>397</v>
      </c>
    </row>
    <row r="7" spans="2:22">
      <c r="B7" s="48" t="s">
        <v>691</v>
      </c>
      <c r="C7" s="49" t="s">
        <v>788</v>
      </c>
      <c r="D7" s="50" t="s">
        <v>789</v>
      </c>
      <c r="E7" s="51" t="str">
        <f>IFERROR(VLOOKUP(D7,$K$5:$L$7,2,FALSE()),"")</f>
        <v>N</v>
      </c>
      <c r="G7" s="47" t="s">
        <v>790</v>
      </c>
      <c r="H7" s="47" t="s">
        <v>397</v>
      </c>
      <c r="K7" s="47" t="s">
        <v>791</v>
      </c>
      <c r="L7" s="47" t="s">
        <v>398</v>
      </c>
      <c r="Q7" s="47" t="s">
        <v>792</v>
      </c>
      <c r="R7" s="47" t="s">
        <v>398</v>
      </c>
      <c r="S7" s="47" t="s">
        <v>793</v>
      </c>
      <c r="T7" s="47" t="s">
        <v>398</v>
      </c>
      <c r="U7" s="47" t="s">
        <v>794</v>
      </c>
      <c r="V7" s="47" t="s">
        <v>398</v>
      </c>
    </row>
    <row r="8" spans="2:22">
      <c r="B8" s="48" t="s">
        <v>692</v>
      </c>
      <c r="C8" s="49" t="s">
        <v>795</v>
      </c>
      <c r="D8" s="50" t="s">
        <v>796</v>
      </c>
      <c r="E8" s="51" t="str">
        <f>IFERROR(VLOOKUP(D8,$M$5:$N$6,2,FALSE()),"")</f>
        <v>N</v>
      </c>
      <c r="G8" s="47" t="s">
        <v>797</v>
      </c>
      <c r="H8" s="47" t="s">
        <v>401</v>
      </c>
    </row>
    <row r="9" spans="2:22">
      <c r="B9" s="48" t="s">
        <v>693</v>
      </c>
      <c r="C9" s="49" t="s">
        <v>798</v>
      </c>
      <c r="D9" s="50" t="s">
        <v>799</v>
      </c>
      <c r="E9" s="51" t="str">
        <f>IFERROR(VLOOKUP(D9,$O$5:$P$6,2,FALSE()),"")</f>
        <v>U</v>
      </c>
    </row>
    <row r="10" spans="2:22">
      <c r="B10" s="48" t="s">
        <v>690</v>
      </c>
      <c r="C10" s="49" t="s">
        <v>800</v>
      </c>
      <c r="D10" s="50" t="s">
        <v>801</v>
      </c>
      <c r="E10" s="51" t="str">
        <f>IFERROR(VLOOKUP(D10,$Q$5:$R$7,2,FALSE()),"")</f>
        <v>H</v>
      </c>
    </row>
    <row r="11" spans="2:22">
      <c r="B11" s="48" t="s">
        <v>694</v>
      </c>
      <c r="C11" s="49" t="s">
        <v>802</v>
      </c>
      <c r="D11" s="50" t="s">
        <v>803</v>
      </c>
      <c r="E11" s="51" t="str">
        <f>IFERROR(VLOOKUP(D11,$S$5:$T$7,2,FALSE()),"")</f>
        <v>H</v>
      </c>
    </row>
    <row r="12" spans="2:22">
      <c r="B12" s="48" t="s">
        <v>399</v>
      </c>
      <c r="C12" s="49" t="s">
        <v>804</v>
      </c>
      <c r="D12" s="50" t="s">
        <v>805</v>
      </c>
      <c r="E12" s="51" t="str">
        <f>IFERROR(VLOOKUP(D12,$U$5:$V$7,2,FALSE()),"")</f>
        <v>H</v>
      </c>
    </row>
    <row r="14" spans="2:22" ht="20" customHeight="1">
      <c r="B14" s="52" t="s">
        <v>806</v>
      </c>
      <c r="C14" s="97" t="str">
        <f>"AV:"&amp;E5&amp;"/"&amp;"AC:"&amp;E6&amp;"/"&amp;"PR:"&amp;E7&amp;"/"&amp;"UI:"&amp;E8&amp;"/"&amp;"S:"&amp;E9&amp;"/"&amp;"C:"&amp;E10&amp;"/"&amp;"I:"&amp;E11&amp;"/"&amp;"A:"&amp;E12</f>
        <v>AV:N/AC:L/PR:N/UI:N/S:U/C:H/I:H/A:H</v>
      </c>
      <c r="D14" s="97"/>
      <c r="E14" s="97"/>
    </row>
    <row r="15" spans="2:22" ht="20" customHeight="1">
      <c r="B15" s="52" t="s">
        <v>807</v>
      </c>
      <c r="C15" s="98">
        <f>IFERROR(cvss31basescore(C14),"(mCVSS.bas 매크로를 이 통합문서에 임포트하고 .xlsm으로 저장하세요)")</f>
        <v>9.8000000000000007</v>
      </c>
      <c r="D15" s="98"/>
      <c r="E15" s="98"/>
    </row>
    <row r="16" spans="2:22">
      <c r="B16" s="95" t="s">
        <v>808</v>
      </c>
      <c r="C16" s="95"/>
      <c r="D16" s="95"/>
      <c r="E16" s="95"/>
    </row>
    <row r="17" spans="2:5">
      <c r="B17" s="95" t="s">
        <v>809</v>
      </c>
      <c r="C17" s="95"/>
      <c r="D17" s="95"/>
      <c r="E17" s="95"/>
    </row>
  </sheetData>
  <mergeCells count="6">
    <mergeCell ref="B17:E17"/>
    <mergeCell ref="B1:E1"/>
    <mergeCell ref="B2:E2"/>
    <mergeCell ref="C14:E14"/>
    <mergeCell ref="C15:E15"/>
    <mergeCell ref="B16:E16"/>
  </mergeCells>
  <phoneticPr fontId="6" type="noConversion"/>
  <dataValidations count="8">
    <dataValidation type="list" allowBlank="1" sqref="D12">
      <formula1>$U$5:$U$7</formula1>
      <formula2>0</formula2>
    </dataValidation>
    <dataValidation type="list" allowBlank="1" sqref="D11">
      <formula1>$S$5:$S$7</formula1>
      <formula2>0</formula2>
    </dataValidation>
    <dataValidation type="list" allowBlank="1" sqref="D10">
      <formula1>$Q$5:$Q$7</formula1>
      <formula2>0</formula2>
    </dataValidation>
    <dataValidation type="list" allowBlank="1" sqref="D9">
      <formula1>$O$5:$O$6</formula1>
      <formula2>0</formula2>
    </dataValidation>
    <dataValidation type="list" allowBlank="1" sqref="D8">
      <formula1>$M$5:$M$6</formula1>
      <formula2>0</formula2>
    </dataValidation>
    <dataValidation type="list" allowBlank="1" sqref="D7">
      <formula1>$K$5:$K$7</formula1>
      <formula2>0</formula2>
    </dataValidation>
    <dataValidation type="list" allowBlank="1" sqref="D6">
      <formula1>$I$5:$I$6</formula1>
      <formula2>0</formula2>
    </dataValidation>
    <dataValidation type="list" allowBlank="1" sqref="D5">
      <formula1>$G$5:$G$8</formula1>
      <formula2>0</formula2>
    </dataValidation>
  </dataValidations>
  <pageMargins left="0.75" right="0.75" top="1" bottom="1" header="0.511811023622047" footer="0.511811023622047"/>
  <pageSetup paperSize="9" orientation="portrait"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R22"/>
  <sheetViews>
    <sheetView workbookViewId="0"/>
  </sheetViews>
  <sheetFormatPr defaultRowHeight="14"/>
  <cols>
    <col min="1" max="1" width="8.7265625" style="53"/>
    <col min="2" max="3" width="15.26953125" style="53" customWidth="1"/>
    <col min="4" max="4" width="2.6328125" style="53" customWidth="1"/>
    <col min="5" max="6" width="15.26953125" style="53" customWidth="1"/>
    <col min="7" max="7" width="2.6328125" style="53" customWidth="1"/>
    <col min="8" max="9" width="15.26953125" style="53" customWidth="1"/>
    <col min="10" max="10" width="2.6328125" style="53" customWidth="1"/>
    <col min="11" max="12" width="15.26953125" style="53" customWidth="1"/>
    <col min="13" max="13" width="2.6328125" style="53" customWidth="1"/>
    <col min="14" max="15" width="15.26953125" style="53" customWidth="1"/>
    <col min="16" max="16" width="2.6328125" style="53" customWidth="1"/>
    <col min="17" max="19" width="15.26953125" style="53" customWidth="1"/>
    <col min="20" max="16384" width="8.7265625" style="53"/>
  </cols>
  <sheetData>
    <row r="1" spans="2:18" ht="20" customHeight="1">
      <c r="B1" s="99" t="s">
        <v>810</v>
      </c>
      <c r="C1" s="100"/>
      <c r="D1" s="100"/>
      <c r="E1" s="100"/>
      <c r="F1" s="100"/>
      <c r="G1" s="64"/>
      <c r="H1" s="64"/>
      <c r="I1" s="64"/>
      <c r="J1" s="64"/>
      <c r="K1" s="64"/>
      <c r="L1" s="64"/>
      <c r="M1" s="64"/>
      <c r="N1" s="64"/>
      <c r="O1" s="64"/>
      <c r="P1" s="64"/>
      <c r="Q1" s="64"/>
      <c r="R1" s="64"/>
    </row>
    <row r="2" spans="2:18" ht="16" customHeight="1">
      <c r="B2" s="101" t="s">
        <v>811</v>
      </c>
      <c r="C2" s="100"/>
      <c r="D2" s="100"/>
      <c r="E2" s="100"/>
      <c r="F2" s="100"/>
      <c r="G2" s="64"/>
      <c r="H2" s="64"/>
      <c r="I2" s="64"/>
      <c r="J2" s="64"/>
      <c r="K2" s="64"/>
      <c r="L2" s="64"/>
      <c r="M2" s="64"/>
      <c r="N2" s="64"/>
      <c r="O2" s="64"/>
      <c r="P2" s="64"/>
      <c r="Q2" s="64"/>
      <c r="R2" s="64"/>
    </row>
    <row r="3" spans="2:18">
      <c r="B3" s="64"/>
      <c r="C3" s="64"/>
      <c r="D3" s="64"/>
      <c r="E3" s="64"/>
      <c r="F3" s="64"/>
      <c r="G3" s="64"/>
      <c r="H3" s="64"/>
      <c r="I3" s="64"/>
      <c r="J3" s="64"/>
      <c r="K3" s="64"/>
      <c r="L3" s="64"/>
      <c r="M3" s="64"/>
      <c r="N3" s="64"/>
      <c r="O3" s="64"/>
      <c r="P3" s="64"/>
      <c r="Q3" s="64"/>
      <c r="R3" s="64"/>
    </row>
    <row r="4" spans="2:18">
      <c r="B4" s="54" t="s">
        <v>391</v>
      </c>
      <c r="C4" s="54" t="s">
        <v>812</v>
      </c>
      <c r="D4" s="64"/>
      <c r="E4" s="54" t="s">
        <v>392</v>
      </c>
      <c r="F4" s="54" t="s">
        <v>812</v>
      </c>
      <c r="G4" s="64"/>
      <c r="H4" s="54" t="s">
        <v>393</v>
      </c>
      <c r="I4" s="54" t="s">
        <v>812</v>
      </c>
      <c r="J4" s="64"/>
      <c r="K4" s="54" t="s">
        <v>394</v>
      </c>
      <c r="L4" s="54" t="s">
        <v>812</v>
      </c>
      <c r="M4" s="64"/>
      <c r="N4" s="54" t="s">
        <v>395</v>
      </c>
      <c r="O4" s="54" t="s">
        <v>812</v>
      </c>
      <c r="P4" s="64"/>
      <c r="Q4" s="54" t="s">
        <v>396</v>
      </c>
      <c r="R4" s="54" t="s">
        <v>812</v>
      </c>
    </row>
    <row r="5" spans="2:18">
      <c r="B5" s="55" t="s">
        <v>33</v>
      </c>
      <c r="C5" s="55">
        <v>0.85</v>
      </c>
      <c r="D5" s="64"/>
      <c r="E5" s="55" t="s">
        <v>397</v>
      </c>
      <c r="F5" s="55">
        <v>0.77</v>
      </c>
      <c r="G5" s="64"/>
      <c r="H5" s="55" t="s">
        <v>33</v>
      </c>
      <c r="I5" s="55">
        <v>0.85</v>
      </c>
      <c r="J5" s="64"/>
      <c r="K5" s="55" t="s">
        <v>33</v>
      </c>
      <c r="L5" s="55">
        <v>0.85</v>
      </c>
      <c r="M5" s="64"/>
      <c r="N5" s="55" t="s">
        <v>33</v>
      </c>
      <c r="O5" s="55">
        <v>0.85</v>
      </c>
      <c r="P5" s="64"/>
      <c r="Q5" s="55" t="s">
        <v>398</v>
      </c>
      <c r="R5" s="55">
        <v>0.56000000000000005</v>
      </c>
    </row>
    <row r="6" spans="2:18">
      <c r="B6" s="55" t="s">
        <v>399</v>
      </c>
      <c r="C6" s="55">
        <v>0.62</v>
      </c>
      <c r="D6" s="64"/>
      <c r="E6" s="55" t="s">
        <v>398</v>
      </c>
      <c r="F6" s="55">
        <v>0.44</v>
      </c>
      <c r="G6" s="64"/>
      <c r="H6" s="55" t="s">
        <v>397</v>
      </c>
      <c r="I6" s="55">
        <v>0.62</v>
      </c>
      <c r="J6" s="64"/>
      <c r="K6" s="55" t="s">
        <v>397</v>
      </c>
      <c r="L6" s="55">
        <v>0.68</v>
      </c>
      <c r="M6" s="64"/>
      <c r="N6" s="55" t="s">
        <v>400</v>
      </c>
      <c r="O6" s="55">
        <v>0.62</v>
      </c>
      <c r="P6" s="64"/>
      <c r="Q6" s="55" t="s">
        <v>397</v>
      </c>
      <c r="R6" s="55">
        <v>0.22</v>
      </c>
    </row>
    <row r="7" spans="2:18">
      <c r="B7" s="55" t="s">
        <v>397</v>
      </c>
      <c r="C7" s="55">
        <v>0.55000000000000004</v>
      </c>
      <c r="D7" s="64"/>
      <c r="E7" s="64"/>
      <c r="F7" s="64"/>
      <c r="G7" s="64"/>
      <c r="H7" s="55" t="s">
        <v>398</v>
      </c>
      <c r="I7" s="55">
        <v>0.27</v>
      </c>
      <c r="J7" s="64"/>
      <c r="K7" s="55" t="s">
        <v>398</v>
      </c>
      <c r="L7" s="55">
        <v>0.5</v>
      </c>
      <c r="M7" s="64"/>
      <c r="N7" s="64"/>
      <c r="O7" s="64"/>
      <c r="P7" s="64"/>
      <c r="Q7" s="55" t="s">
        <v>33</v>
      </c>
      <c r="R7" s="55">
        <v>0</v>
      </c>
    </row>
    <row r="8" spans="2:18">
      <c r="B8" s="55" t="s">
        <v>401</v>
      </c>
      <c r="C8" s="55">
        <v>0.2</v>
      </c>
      <c r="D8" s="64"/>
      <c r="E8" s="64"/>
      <c r="F8" s="64"/>
      <c r="G8" s="64"/>
      <c r="H8" s="64"/>
      <c r="I8" s="64"/>
      <c r="J8" s="64"/>
      <c r="K8" s="64"/>
      <c r="L8" s="64"/>
      <c r="M8" s="64"/>
      <c r="N8" s="64"/>
      <c r="O8" s="64"/>
      <c r="P8" s="64"/>
      <c r="Q8" s="64"/>
      <c r="R8" s="64"/>
    </row>
    <row r="9" spans="2:18">
      <c r="B9" s="64"/>
      <c r="C9" s="64"/>
      <c r="D9" s="64"/>
      <c r="E9" s="64"/>
      <c r="F9" s="64"/>
      <c r="G9" s="64"/>
      <c r="H9" s="64"/>
      <c r="I9" s="64"/>
      <c r="J9" s="64"/>
      <c r="K9" s="64"/>
      <c r="L9" s="64"/>
      <c r="M9" s="64"/>
      <c r="N9" s="64"/>
      <c r="O9" s="64"/>
      <c r="P9" s="64"/>
      <c r="Q9" s="64"/>
      <c r="R9" s="64"/>
    </row>
    <row r="10" spans="2:18">
      <c r="B10" s="64"/>
      <c r="C10" s="64"/>
      <c r="D10" s="64"/>
      <c r="E10" s="64"/>
      <c r="F10" s="64"/>
      <c r="G10" s="64"/>
      <c r="H10" s="64"/>
      <c r="I10" s="64"/>
      <c r="J10" s="64"/>
      <c r="K10" s="64"/>
      <c r="L10" s="64"/>
      <c r="M10" s="64"/>
      <c r="N10" s="64"/>
      <c r="O10" s="64"/>
      <c r="P10" s="64"/>
      <c r="Q10" s="64"/>
      <c r="R10" s="64"/>
    </row>
    <row r="11" spans="2:18">
      <c r="B11" s="64"/>
      <c r="C11" s="64"/>
      <c r="D11" s="64"/>
      <c r="E11" s="64"/>
      <c r="F11" s="64"/>
      <c r="G11" s="64"/>
      <c r="H11" s="64"/>
      <c r="I11" s="64"/>
      <c r="J11" s="64"/>
      <c r="K11" s="64"/>
      <c r="L11" s="64"/>
      <c r="M11" s="64"/>
      <c r="N11" s="64"/>
      <c r="O11" s="64"/>
      <c r="P11" s="64"/>
      <c r="Q11" s="64"/>
      <c r="R11" s="64"/>
    </row>
    <row r="12" spans="2:18">
      <c r="B12" s="64"/>
      <c r="C12" s="64"/>
      <c r="D12" s="64"/>
      <c r="E12" s="64"/>
      <c r="F12" s="64"/>
      <c r="G12" s="64"/>
      <c r="H12" s="64"/>
      <c r="I12" s="64"/>
      <c r="J12" s="64"/>
      <c r="K12" s="64"/>
      <c r="L12" s="64"/>
      <c r="M12" s="64"/>
      <c r="N12" s="64"/>
      <c r="O12" s="64"/>
      <c r="P12" s="64"/>
      <c r="Q12" s="64"/>
      <c r="R12" s="64"/>
    </row>
    <row r="13" spans="2:18">
      <c r="B13" s="64"/>
      <c r="C13" s="64"/>
      <c r="D13" s="64"/>
      <c r="E13" s="64"/>
      <c r="F13" s="64"/>
      <c r="G13" s="64"/>
      <c r="H13" s="64"/>
      <c r="I13" s="64"/>
      <c r="J13" s="64"/>
      <c r="K13" s="64"/>
      <c r="L13" s="64"/>
      <c r="M13" s="64"/>
      <c r="N13" s="64"/>
      <c r="O13" s="64"/>
      <c r="P13" s="64"/>
      <c r="Q13" s="64"/>
      <c r="R13" s="64"/>
    </row>
    <row r="14" spans="2:18">
      <c r="B14" s="55" t="s">
        <v>813</v>
      </c>
      <c r="C14" s="64"/>
      <c r="D14" s="64"/>
      <c r="E14" s="64"/>
      <c r="F14" s="64"/>
      <c r="G14" s="64"/>
      <c r="H14" s="64"/>
      <c r="I14" s="64"/>
      <c r="J14" s="64"/>
      <c r="K14" s="64"/>
      <c r="L14" s="64"/>
      <c r="M14" s="64"/>
      <c r="N14" s="64"/>
      <c r="O14" s="64"/>
      <c r="P14" s="64"/>
      <c r="Q14" s="64"/>
      <c r="R14" s="64"/>
    </row>
    <row r="15" spans="2:18">
      <c r="B15" s="55" t="s">
        <v>402</v>
      </c>
      <c r="C15" s="64"/>
      <c r="D15" s="64"/>
      <c r="E15" s="64"/>
      <c r="F15" s="64"/>
      <c r="G15" s="64"/>
      <c r="H15" s="64"/>
      <c r="I15" s="64"/>
      <c r="J15" s="64"/>
      <c r="K15" s="64"/>
      <c r="L15" s="64"/>
      <c r="M15" s="64"/>
      <c r="N15" s="64"/>
      <c r="O15" s="64"/>
      <c r="P15" s="64"/>
      <c r="Q15" s="64"/>
      <c r="R15" s="64"/>
    </row>
    <row r="16" spans="2:18">
      <c r="B16" s="55" t="s">
        <v>403</v>
      </c>
      <c r="C16" s="64"/>
      <c r="D16" s="64"/>
      <c r="E16" s="64"/>
      <c r="F16" s="64"/>
      <c r="G16" s="64"/>
      <c r="H16" s="64"/>
      <c r="I16" s="64"/>
      <c r="J16" s="64"/>
      <c r="K16" s="64"/>
      <c r="L16" s="64"/>
      <c r="M16" s="64"/>
      <c r="N16" s="64"/>
      <c r="O16" s="64"/>
      <c r="P16" s="64"/>
      <c r="Q16" s="64"/>
      <c r="R16" s="64"/>
    </row>
    <row r="17" spans="2:18">
      <c r="B17" s="55" t="s">
        <v>404</v>
      </c>
      <c r="C17" s="64"/>
      <c r="D17" s="64"/>
      <c r="E17" s="64"/>
      <c r="F17" s="64"/>
      <c r="G17" s="64"/>
      <c r="H17" s="64"/>
      <c r="I17" s="64"/>
      <c r="J17" s="64"/>
      <c r="K17" s="64"/>
      <c r="L17" s="64"/>
      <c r="M17" s="64"/>
      <c r="N17" s="64"/>
      <c r="O17" s="64"/>
      <c r="P17" s="64"/>
      <c r="Q17" s="64"/>
      <c r="R17" s="64"/>
    </row>
    <row r="18" spans="2:18">
      <c r="B18" s="55" t="s">
        <v>405</v>
      </c>
      <c r="C18" s="64"/>
      <c r="D18" s="64"/>
      <c r="E18" s="64"/>
      <c r="F18" s="64"/>
      <c r="G18" s="64"/>
      <c r="H18" s="64"/>
      <c r="I18" s="64"/>
      <c r="J18" s="64"/>
      <c r="K18" s="64"/>
      <c r="L18" s="64"/>
      <c r="M18" s="64"/>
      <c r="N18" s="64"/>
      <c r="O18" s="64"/>
      <c r="P18" s="64"/>
      <c r="Q18" s="64"/>
      <c r="R18" s="64"/>
    </row>
    <row r="19" spans="2:18">
      <c r="B19" s="55"/>
      <c r="C19" s="64"/>
      <c r="D19" s="64"/>
      <c r="E19" s="64"/>
      <c r="F19" s="64"/>
      <c r="G19" s="64"/>
      <c r="H19" s="64"/>
      <c r="I19" s="64"/>
      <c r="J19" s="64"/>
      <c r="K19" s="64"/>
      <c r="L19" s="64"/>
      <c r="M19" s="64"/>
      <c r="N19" s="64"/>
      <c r="O19" s="64"/>
      <c r="P19" s="64"/>
      <c r="Q19" s="64"/>
      <c r="R19" s="64"/>
    </row>
    <row r="20" spans="2:18">
      <c r="B20" s="55" t="s">
        <v>814</v>
      </c>
      <c r="C20" s="64"/>
      <c r="D20" s="64"/>
      <c r="E20" s="64"/>
      <c r="F20" s="64"/>
      <c r="G20" s="64"/>
      <c r="H20" s="64"/>
      <c r="I20" s="64"/>
      <c r="J20" s="64"/>
      <c r="K20" s="64"/>
      <c r="L20" s="64"/>
      <c r="M20" s="64"/>
      <c r="N20" s="64"/>
      <c r="O20" s="64"/>
      <c r="P20" s="64"/>
      <c r="Q20" s="64"/>
      <c r="R20" s="64"/>
    </row>
    <row r="21" spans="2:18">
      <c r="B21" s="55" t="s">
        <v>406</v>
      </c>
      <c r="C21" s="64"/>
      <c r="D21" s="64"/>
      <c r="E21" s="64"/>
      <c r="F21" s="64"/>
      <c r="G21" s="64"/>
      <c r="H21" s="64"/>
      <c r="I21" s="64"/>
      <c r="J21" s="64"/>
      <c r="K21" s="64"/>
      <c r="L21" s="64"/>
      <c r="M21" s="64"/>
      <c r="N21" s="64"/>
      <c r="O21" s="64"/>
      <c r="P21" s="64"/>
      <c r="Q21" s="64"/>
      <c r="R21" s="64"/>
    </row>
    <row r="22" spans="2:18">
      <c r="B22" s="55" t="s">
        <v>407</v>
      </c>
      <c r="C22" s="64"/>
      <c r="D22" s="64"/>
      <c r="E22" s="64"/>
      <c r="F22" s="64"/>
      <c r="G22" s="64"/>
      <c r="H22" s="64"/>
      <c r="I22" s="64"/>
      <c r="J22" s="64"/>
      <c r="K22" s="64"/>
      <c r="L22" s="64"/>
      <c r="M22" s="64"/>
      <c r="N22" s="64"/>
      <c r="O22" s="64"/>
      <c r="P22" s="64"/>
      <c r="Q22" s="64"/>
      <c r="R22" s="64"/>
    </row>
  </sheetData>
  <mergeCells count="2">
    <mergeCell ref="B1:F1"/>
    <mergeCell ref="B2:F2"/>
  </mergeCells>
  <phoneticPr fontId="6" type="noConversion"/>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AC20"/>
  <sheetViews>
    <sheetView zoomScaleNormal="100" workbookViewId="0"/>
  </sheetViews>
  <sheetFormatPr defaultColWidth="8.6328125" defaultRowHeight="14" outlineLevelCol="1"/>
  <cols>
    <col min="1" max="1" width="8.6328125" style="47"/>
    <col min="2" max="2" width="16.26953125" style="47" customWidth="1"/>
    <col min="3" max="3" width="42" style="47" customWidth="1"/>
    <col min="4" max="4" width="55" style="47" customWidth="1"/>
    <col min="5" max="5" width="12" style="47" customWidth="1"/>
    <col min="6" max="6" width="8.6328125" style="47"/>
    <col min="7" max="28" width="13" style="47" hidden="1" customWidth="1" outlineLevel="1"/>
    <col min="29" max="29" width="8.6328125" style="47" collapsed="1"/>
    <col min="30" max="16384" width="8.6328125" style="47"/>
  </cols>
  <sheetData>
    <row r="1" spans="2:28" ht="21.75" customHeight="1">
      <c r="B1" s="96" t="s">
        <v>815</v>
      </c>
      <c r="C1" s="96"/>
      <c r="D1" s="96"/>
      <c r="E1" s="96"/>
    </row>
    <row r="2" spans="2:28" ht="15.75" customHeight="1">
      <c r="B2" s="95" t="s">
        <v>765</v>
      </c>
      <c r="C2" s="95"/>
      <c r="D2" s="95"/>
      <c r="E2" s="95"/>
    </row>
    <row r="4" spans="2:28" ht="24" customHeight="1">
      <c r="B4" s="41" t="s">
        <v>766</v>
      </c>
      <c r="C4" s="41" t="s">
        <v>767</v>
      </c>
      <c r="D4" s="41" t="s">
        <v>768</v>
      </c>
      <c r="E4" s="41" t="s">
        <v>769</v>
      </c>
    </row>
    <row r="5" spans="2:28">
      <c r="B5" s="48" t="s">
        <v>687</v>
      </c>
      <c r="C5" s="49" t="s">
        <v>770</v>
      </c>
      <c r="D5" s="50" t="s">
        <v>771</v>
      </c>
      <c r="E5" s="51" t="str">
        <f>IFERROR(VLOOKUP(D5,$G$5:$H$8,2,FALSE()),"")</f>
        <v>N</v>
      </c>
      <c r="G5" s="47" t="s">
        <v>772</v>
      </c>
      <c r="H5" s="47" t="s">
        <v>33</v>
      </c>
      <c r="I5" s="47" t="s">
        <v>816</v>
      </c>
      <c r="J5" s="47" t="s">
        <v>397</v>
      </c>
      <c r="K5" s="47" t="s">
        <v>817</v>
      </c>
      <c r="L5" s="47" t="s">
        <v>33</v>
      </c>
      <c r="M5" s="47" t="s">
        <v>774</v>
      </c>
      <c r="N5" s="47" t="s">
        <v>33</v>
      </c>
      <c r="O5" s="47" t="s">
        <v>775</v>
      </c>
      <c r="P5" s="47" t="s">
        <v>33</v>
      </c>
      <c r="Q5" s="47" t="s">
        <v>777</v>
      </c>
      <c r="R5" s="47" t="s">
        <v>33</v>
      </c>
      <c r="S5" s="47" t="s">
        <v>777</v>
      </c>
      <c r="T5" s="47" t="s">
        <v>33</v>
      </c>
      <c r="U5" s="47" t="s">
        <v>777</v>
      </c>
      <c r="V5" s="47" t="s">
        <v>33</v>
      </c>
      <c r="W5" s="47" t="s">
        <v>818</v>
      </c>
      <c r="X5" s="47" t="s">
        <v>33</v>
      </c>
      <c r="Y5" s="47" t="s">
        <v>818</v>
      </c>
      <c r="Z5" s="47" t="s">
        <v>33</v>
      </c>
      <c r="AA5" s="47" t="s">
        <v>818</v>
      </c>
      <c r="AB5" s="47" t="s">
        <v>33</v>
      </c>
    </row>
    <row r="6" spans="2:28">
      <c r="B6" s="48" t="s">
        <v>689</v>
      </c>
      <c r="C6" s="49" t="s">
        <v>819</v>
      </c>
      <c r="D6" s="50" t="s">
        <v>820</v>
      </c>
      <c r="E6" s="51" t="str">
        <f>IFERROR(VLOOKUP(D6,$I$5:$J$6,2,FALSE()),"")</f>
        <v>H</v>
      </c>
      <c r="G6" s="47" t="s">
        <v>780</v>
      </c>
      <c r="H6" s="47" t="s">
        <v>399</v>
      </c>
      <c r="I6" s="47" t="s">
        <v>821</v>
      </c>
      <c r="J6" s="47" t="s">
        <v>398</v>
      </c>
      <c r="K6" s="47" t="s">
        <v>822</v>
      </c>
      <c r="L6" s="47" t="s">
        <v>401</v>
      </c>
      <c r="M6" s="47" t="s">
        <v>782</v>
      </c>
      <c r="N6" s="47" t="s">
        <v>397</v>
      </c>
      <c r="O6" s="47" t="s">
        <v>823</v>
      </c>
      <c r="P6" s="47" t="s">
        <v>401</v>
      </c>
      <c r="Q6" s="47" t="s">
        <v>785</v>
      </c>
      <c r="R6" s="47" t="s">
        <v>397</v>
      </c>
      <c r="S6" s="47" t="s">
        <v>786</v>
      </c>
      <c r="T6" s="47" t="s">
        <v>397</v>
      </c>
      <c r="U6" s="47" t="s">
        <v>787</v>
      </c>
      <c r="V6" s="47" t="s">
        <v>397</v>
      </c>
      <c r="W6" s="47" t="s">
        <v>824</v>
      </c>
      <c r="X6" s="47" t="s">
        <v>397</v>
      </c>
      <c r="Y6" s="47" t="s">
        <v>825</v>
      </c>
      <c r="Z6" s="47" t="s">
        <v>397</v>
      </c>
      <c r="AA6" s="47" t="s">
        <v>826</v>
      </c>
      <c r="AB6" s="47" t="s">
        <v>397</v>
      </c>
    </row>
    <row r="7" spans="2:28">
      <c r="B7" s="48" t="s">
        <v>695</v>
      </c>
      <c r="C7" s="49" t="s">
        <v>827</v>
      </c>
      <c r="D7" s="50" t="s">
        <v>828</v>
      </c>
      <c r="E7" s="51" t="str">
        <f>IFERROR(VLOOKUP(D7,$K$5:$L$6,2,FALSE()),"")</f>
        <v>N</v>
      </c>
      <c r="G7" s="47" t="s">
        <v>790</v>
      </c>
      <c r="H7" s="47" t="s">
        <v>397</v>
      </c>
      <c r="M7" s="47" t="s">
        <v>791</v>
      </c>
      <c r="N7" s="47" t="s">
        <v>398</v>
      </c>
      <c r="O7" s="47" t="s">
        <v>829</v>
      </c>
      <c r="P7" s="47" t="s">
        <v>399</v>
      </c>
      <c r="Q7" s="47" t="s">
        <v>792</v>
      </c>
      <c r="R7" s="47" t="s">
        <v>398</v>
      </c>
      <c r="S7" s="47" t="s">
        <v>793</v>
      </c>
      <c r="T7" s="47" t="s">
        <v>398</v>
      </c>
      <c r="U7" s="47" t="s">
        <v>794</v>
      </c>
      <c r="V7" s="47" t="s">
        <v>398</v>
      </c>
      <c r="W7" s="47" t="s">
        <v>830</v>
      </c>
      <c r="X7" s="47" t="s">
        <v>398</v>
      </c>
      <c r="Y7" s="47" t="s">
        <v>831</v>
      </c>
      <c r="Z7" s="47" t="s">
        <v>398</v>
      </c>
      <c r="AA7" s="47" t="s">
        <v>832</v>
      </c>
      <c r="AB7" s="47" t="s">
        <v>398</v>
      </c>
    </row>
    <row r="8" spans="2:28">
      <c r="B8" s="48" t="s">
        <v>691</v>
      </c>
      <c r="C8" s="49" t="s">
        <v>788</v>
      </c>
      <c r="D8" s="50" t="s">
        <v>833</v>
      </c>
      <c r="E8" s="51" t="str">
        <f>IFERROR(VLOOKUP(D8,$M$5:$N$7,2,FALSE()),"")</f>
        <v>L</v>
      </c>
      <c r="G8" s="47" t="s">
        <v>797</v>
      </c>
      <c r="H8" s="47" t="s">
        <v>401</v>
      </c>
    </row>
    <row r="9" spans="2:28">
      <c r="B9" s="48" t="s">
        <v>692</v>
      </c>
      <c r="C9" s="49" t="s">
        <v>795</v>
      </c>
      <c r="D9" s="50" t="s">
        <v>834</v>
      </c>
      <c r="E9" s="51" t="str">
        <f>IFERROR(VLOOKUP(D9,$O$5:$P$7,2,FALSE()),"")</f>
        <v>P</v>
      </c>
    </row>
    <row r="10" spans="2:28">
      <c r="B10" s="48" t="s">
        <v>696</v>
      </c>
      <c r="C10" s="49" t="s">
        <v>835</v>
      </c>
      <c r="D10" s="50" t="s">
        <v>836</v>
      </c>
      <c r="E10" s="51" t="str">
        <f>IFERROR(VLOOKUP(D10,$Q$5:$R$7,2,FALSE()),"")</f>
        <v>L</v>
      </c>
    </row>
    <row r="11" spans="2:28">
      <c r="B11" s="48" t="s">
        <v>697</v>
      </c>
      <c r="C11" s="49" t="s">
        <v>837</v>
      </c>
      <c r="D11" s="50" t="s">
        <v>803</v>
      </c>
      <c r="E11" s="51" t="str">
        <f>IFERROR(VLOOKUP(D11,$S$5:$T$7,2,FALSE()),"")</f>
        <v>H</v>
      </c>
    </row>
    <row r="12" spans="2:28">
      <c r="B12" s="48" t="s">
        <v>698</v>
      </c>
      <c r="C12" s="49" t="s">
        <v>838</v>
      </c>
      <c r="D12" s="50" t="s">
        <v>839</v>
      </c>
      <c r="E12" s="51" t="str">
        <f>IFERROR(VLOOKUP(D12,$U$5:$V$7,2,FALSE()),"")</f>
        <v>N</v>
      </c>
    </row>
    <row r="13" spans="2:28">
      <c r="B13" s="48" t="s">
        <v>699</v>
      </c>
      <c r="C13" s="49" t="s">
        <v>840</v>
      </c>
      <c r="D13" s="50" t="s">
        <v>841</v>
      </c>
      <c r="E13" s="51" t="str">
        <f>IFERROR(VLOOKUP(D13,$W$5:$X$7,2,FALSE()),"")</f>
        <v>H</v>
      </c>
    </row>
    <row r="14" spans="2:28">
      <c r="B14" s="48" t="s">
        <v>700</v>
      </c>
      <c r="C14" s="49" t="s">
        <v>842</v>
      </c>
      <c r="D14" s="50" t="s">
        <v>843</v>
      </c>
      <c r="E14" s="51" t="str">
        <f>IFERROR(VLOOKUP(D14,$Y$5:$Z$7,2,FALSE()),"")</f>
        <v>L</v>
      </c>
    </row>
    <row r="15" spans="2:28">
      <c r="B15" s="48" t="s">
        <v>701</v>
      </c>
      <c r="C15" s="49" t="s">
        <v>844</v>
      </c>
      <c r="D15" s="50" t="s">
        <v>845</v>
      </c>
      <c r="E15" s="51" t="str">
        <f>IFERROR(VLOOKUP(D15,$AA$5:$AB$7,2,FALSE()),"")</f>
        <v>H</v>
      </c>
    </row>
    <row r="17" spans="2:5" ht="21.75" customHeight="1">
      <c r="B17" s="52" t="s">
        <v>806</v>
      </c>
      <c r="C17" s="97" t="str">
        <f>"AV:"&amp;E5&amp;"/"&amp;"AC:"&amp;E6&amp;"/"&amp;"AT:"&amp;E7&amp;"/"&amp;"PR:"&amp;E8&amp;"/"&amp;"UI:"&amp;E9&amp;"/"&amp;"VC:"&amp;E10&amp;"/"&amp;"VI:"&amp;E11&amp;"/"&amp;"VA:"&amp;E12&amp;"/"&amp;"SC:"&amp;E13&amp;"/"&amp;"SI:"&amp;E14&amp;"/"&amp;"SA:"&amp;E15</f>
        <v>AV:N/AC:H/AT:N/PR:L/UI:P/VC:L/VI:H/VA:N/SC:H/SI:L/SA:H</v>
      </c>
      <c r="D17" s="97"/>
      <c r="E17" s="97"/>
    </row>
    <row r="18" spans="2:5" ht="15.5">
      <c r="B18" s="52" t="s">
        <v>807</v>
      </c>
      <c r="C18" s="98" t="s">
        <v>951</v>
      </c>
      <c r="D18" s="98"/>
      <c r="E18" s="98"/>
    </row>
    <row r="19" spans="2:5">
      <c r="B19" s="95" t="s">
        <v>846</v>
      </c>
      <c r="C19" s="95"/>
      <c r="D19" s="95"/>
      <c r="E19" s="95"/>
    </row>
    <row r="20" spans="2:5">
      <c r="B20" s="95" t="s">
        <v>809</v>
      </c>
      <c r="C20" s="95"/>
      <c r="D20" s="95"/>
      <c r="E20" s="95"/>
    </row>
  </sheetData>
  <mergeCells count="6">
    <mergeCell ref="B20:E20"/>
    <mergeCell ref="B1:E1"/>
    <mergeCell ref="B2:E2"/>
    <mergeCell ref="C17:E17"/>
    <mergeCell ref="C18:E18"/>
    <mergeCell ref="B19:E19"/>
  </mergeCells>
  <phoneticPr fontId="6" type="noConversion"/>
  <dataValidations count="11">
    <dataValidation type="list" allowBlank="1" sqref="D15">
      <formula1>$AA$5:$AA$7</formula1>
      <formula2>0</formula2>
    </dataValidation>
    <dataValidation type="list" allowBlank="1" sqref="D14">
      <formula1>$Y$5:$Y$7</formula1>
      <formula2>0</formula2>
    </dataValidation>
    <dataValidation type="list" allowBlank="1" sqref="D13">
      <formula1>$W$5:$W$7</formula1>
      <formula2>0</formula2>
    </dataValidation>
    <dataValidation type="list" allowBlank="1" sqref="D12">
      <formula1>$U$5:$U$7</formula1>
      <formula2>0</formula2>
    </dataValidation>
    <dataValidation type="list" allowBlank="1" sqref="D11">
      <formula1>$S$5:$S$7</formula1>
      <formula2>0</formula2>
    </dataValidation>
    <dataValidation type="list" allowBlank="1" sqref="D10">
      <formula1>$Q$5:$Q$7</formula1>
      <formula2>0</formula2>
    </dataValidation>
    <dataValidation type="list" allowBlank="1" sqref="D9">
      <formula1>$O$5:$O$7</formula1>
      <formula2>0</formula2>
    </dataValidation>
    <dataValidation type="list" allowBlank="1" sqref="D8">
      <formula1>$M$5:$M$7</formula1>
      <formula2>0</formula2>
    </dataValidation>
    <dataValidation type="list" allowBlank="1" sqref="D7">
      <formula1>$K$5:$K$6</formula1>
      <formula2>0</formula2>
    </dataValidation>
    <dataValidation type="list" allowBlank="1" sqref="D6">
      <formula1>$I$5:$I$6</formula1>
      <formula2>0</formula2>
    </dataValidation>
    <dataValidation type="list" allowBlank="1" sqref="D5">
      <formula1>$G$5:$G$8</formula1>
      <formula2>0</formula2>
    </dataValidation>
  </dataValidations>
  <pageMargins left="0.75" right="0.75" top="1" bottom="1" header="0.511811023622047" footer="0.511811023622047"/>
  <pageSetup paperSize="9" orientation="portrait"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C274"/>
  <sheetViews>
    <sheetView workbookViewId="0"/>
  </sheetViews>
  <sheetFormatPr defaultRowHeight="14"/>
  <cols>
    <col min="1" max="1" width="8.7265625" style="53"/>
    <col min="2" max="2" width="15.26953125" style="53" customWidth="1"/>
    <col min="3" max="3" width="10.90625" style="53" customWidth="1"/>
    <col min="4" max="16384" width="8.7265625" style="53"/>
  </cols>
  <sheetData>
    <row r="1" spans="2:3" ht="20" customHeight="1">
      <c r="B1" s="56" t="s">
        <v>847</v>
      </c>
      <c r="C1" s="57"/>
    </row>
    <row r="2" spans="2:3" ht="16" customHeight="1">
      <c r="B2" s="58" t="s">
        <v>952</v>
      </c>
      <c r="C2" s="57"/>
    </row>
    <row r="3" spans="2:3">
      <c r="B3" s="64"/>
      <c r="C3" s="64"/>
    </row>
    <row r="4" spans="2:3">
      <c r="B4" s="59" t="s">
        <v>408</v>
      </c>
      <c r="C4" s="59" t="s">
        <v>409</v>
      </c>
    </row>
    <row r="5" spans="2:3">
      <c r="B5" s="55" t="s">
        <v>410</v>
      </c>
      <c r="C5" s="55">
        <v>10</v>
      </c>
    </row>
    <row r="6" spans="2:3">
      <c r="B6" s="55" t="s">
        <v>411</v>
      </c>
      <c r="C6" s="55">
        <v>9.9</v>
      </c>
    </row>
    <row r="7" spans="2:3">
      <c r="B7" s="55" t="s">
        <v>412</v>
      </c>
      <c r="C7" s="55">
        <v>9.8000000000000007</v>
      </c>
    </row>
    <row r="8" spans="2:3">
      <c r="B8" s="55" t="s">
        <v>413</v>
      </c>
      <c r="C8" s="55">
        <v>9.5</v>
      </c>
    </row>
    <row r="9" spans="2:3">
      <c r="B9" s="55" t="s">
        <v>414</v>
      </c>
      <c r="C9" s="55">
        <v>9.5</v>
      </c>
    </row>
    <row r="10" spans="2:3">
      <c r="B10" s="55" t="s">
        <v>415</v>
      </c>
      <c r="C10" s="55">
        <v>9.1999999999999993</v>
      </c>
    </row>
    <row r="11" spans="2:3">
      <c r="B11" s="55" t="s">
        <v>416</v>
      </c>
      <c r="C11" s="55">
        <v>10</v>
      </c>
    </row>
    <row r="12" spans="2:3">
      <c r="B12" s="55" t="s">
        <v>417</v>
      </c>
      <c r="C12" s="55">
        <v>9.6</v>
      </c>
    </row>
    <row r="13" spans="2:3">
      <c r="B13" s="55" t="s">
        <v>418</v>
      </c>
      <c r="C13" s="55">
        <v>9.3000000000000007</v>
      </c>
    </row>
    <row r="14" spans="2:3">
      <c r="B14" s="55" t="s">
        <v>419</v>
      </c>
      <c r="C14" s="55">
        <v>8.6999999999999993</v>
      </c>
    </row>
    <row r="15" spans="2:3">
      <c r="B15" s="55" t="s">
        <v>420</v>
      </c>
      <c r="C15" s="55">
        <v>9.1</v>
      </c>
    </row>
    <row r="16" spans="2:3">
      <c r="B16" s="55" t="s">
        <v>421</v>
      </c>
      <c r="C16" s="55">
        <v>8.1</v>
      </c>
    </row>
    <row r="17" spans="2:3">
      <c r="B17" s="55" t="s">
        <v>422</v>
      </c>
      <c r="C17" s="55">
        <v>9.3000000000000007</v>
      </c>
    </row>
    <row r="18" spans="2:3">
      <c r="B18" s="55" t="s">
        <v>423</v>
      </c>
      <c r="C18" s="55">
        <v>9</v>
      </c>
    </row>
    <row r="19" spans="2:3">
      <c r="B19" s="55" t="s">
        <v>424</v>
      </c>
      <c r="C19" s="55">
        <v>8.9</v>
      </c>
    </row>
    <row r="20" spans="2:3">
      <c r="B20" s="55" t="s">
        <v>425</v>
      </c>
      <c r="C20" s="55">
        <v>8</v>
      </c>
    </row>
    <row r="21" spans="2:3">
      <c r="B21" s="55" t="s">
        <v>426</v>
      </c>
      <c r="C21" s="55">
        <v>8.1</v>
      </c>
    </row>
    <row r="22" spans="2:3">
      <c r="B22" s="55" t="s">
        <v>427</v>
      </c>
      <c r="C22" s="55">
        <v>6.8</v>
      </c>
    </row>
    <row r="23" spans="2:3">
      <c r="B23" s="55" t="s">
        <v>428</v>
      </c>
      <c r="C23" s="55">
        <v>9.8000000000000007</v>
      </c>
    </row>
    <row r="24" spans="2:3">
      <c r="B24" s="55" t="s">
        <v>429</v>
      </c>
      <c r="C24" s="55">
        <v>9.5</v>
      </c>
    </row>
    <row r="25" spans="2:3">
      <c r="B25" s="55" t="s">
        <v>430</v>
      </c>
      <c r="C25" s="55">
        <v>9.5</v>
      </c>
    </row>
    <row r="26" spans="2:3">
      <c r="B26" s="55" t="s">
        <v>431</v>
      </c>
      <c r="C26" s="55">
        <v>9.1999999999999993</v>
      </c>
    </row>
    <row r="27" spans="2:3">
      <c r="B27" s="55" t="s">
        <v>432</v>
      </c>
      <c r="C27" s="55">
        <v>9</v>
      </c>
    </row>
    <row r="28" spans="2:3">
      <c r="B28" s="55" t="s">
        <v>433</v>
      </c>
      <c r="C28" s="55">
        <v>8.4</v>
      </c>
    </row>
    <row r="29" spans="2:3">
      <c r="B29" s="55" t="s">
        <v>434</v>
      </c>
      <c r="C29" s="55">
        <v>9.3000000000000007</v>
      </c>
    </row>
    <row r="30" spans="2:3">
      <c r="B30" s="55" t="s">
        <v>435</v>
      </c>
      <c r="C30" s="55">
        <v>9.1999999999999993</v>
      </c>
    </row>
    <row r="31" spans="2:3">
      <c r="B31" s="55" t="s">
        <v>436</v>
      </c>
      <c r="C31" s="55">
        <v>8.9</v>
      </c>
    </row>
    <row r="32" spans="2:3">
      <c r="B32" s="55" t="s">
        <v>437</v>
      </c>
      <c r="C32" s="55">
        <v>8.1</v>
      </c>
    </row>
    <row r="33" spans="2:3">
      <c r="B33" s="55" t="s">
        <v>438</v>
      </c>
      <c r="C33" s="55">
        <v>8.1</v>
      </c>
    </row>
    <row r="34" spans="2:3">
      <c r="B34" s="55" t="s">
        <v>439</v>
      </c>
      <c r="C34" s="55">
        <v>6.5</v>
      </c>
    </row>
    <row r="35" spans="2:3">
      <c r="B35" s="55" t="s">
        <v>440</v>
      </c>
      <c r="C35" s="55">
        <v>8.8000000000000007</v>
      </c>
    </row>
    <row r="36" spans="2:3">
      <c r="B36" s="55" t="s">
        <v>441</v>
      </c>
      <c r="C36" s="55">
        <v>8</v>
      </c>
    </row>
    <row r="37" spans="2:3">
      <c r="B37" s="55" t="s">
        <v>442</v>
      </c>
      <c r="C37" s="55">
        <v>7.8</v>
      </c>
    </row>
    <row r="38" spans="2:3">
      <c r="B38" s="55" t="s">
        <v>443</v>
      </c>
      <c r="C38" s="55">
        <v>7</v>
      </c>
    </row>
    <row r="39" spans="2:3">
      <c r="B39" s="55" t="s">
        <v>444</v>
      </c>
      <c r="C39" s="55">
        <v>6.9</v>
      </c>
    </row>
    <row r="40" spans="2:3">
      <c r="B40" s="55" t="s">
        <v>445</v>
      </c>
      <c r="C40" s="55">
        <v>4.8</v>
      </c>
    </row>
    <row r="41" spans="2:3">
      <c r="B41" s="55" t="s">
        <v>446</v>
      </c>
      <c r="C41" s="55">
        <v>9.1999999999999993</v>
      </c>
    </row>
    <row r="42" spans="2:3">
      <c r="B42" s="55" t="s">
        <v>447</v>
      </c>
      <c r="C42" s="55">
        <v>8.1999999999999993</v>
      </c>
    </row>
    <row r="43" spans="2:3">
      <c r="B43" s="55" t="s">
        <v>448</v>
      </c>
      <c r="C43" s="55">
        <v>7.2</v>
      </c>
    </row>
    <row r="44" spans="2:3">
      <c r="B44" s="55" t="s">
        <v>449</v>
      </c>
      <c r="C44" s="55">
        <v>7.9</v>
      </c>
    </row>
    <row r="45" spans="2:3">
      <c r="B45" s="55" t="s">
        <v>450</v>
      </c>
      <c r="C45" s="55">
        <v>6.9</v>
      </c>
    </row>
    <row r="46" spans="2:3">
      <c r="B46" s="55" t="s">
        <v>451</v>
      </c>
      <c r="C46" s="55">
        <v>5</v>
      </c>
    </row>
    <row r="47" spans="2:3">
      <c r="B47" s="55" t="s">
        <v>452</v>
      </c>
      <c r="C47" s="55">
        <v>6.9</v>
      </c>
    </row>
    <row r="48" spans="2:3">
      <c r="B48" s="55" t="s">
        <v>453</v>
      </c>
      <c r="C48" s="55">
        <v>5.5</v>
      </c>
    </row>
    <row r="49" spans="2:3">
      <c r="B49" s="55" t="s">
        <v>454</v>
      </c>
      <c r="C49" s="55">
        <v>2.7</v>
      </c>
    </row>
    <row r="50" spans="2:3">
      <c r="B50" s="55" t="s">
        <v>455</v>
      </c>
      <c r="C50" s="55">
        <v>9.9</v>
      </c>
    </row>
    <row r="51" spans="2:3">
      <c r="B51" s="55" t="s">
        <v>456</v>
      </c>
      <c r="C51" s="55">
        <v>9.6999999999999993</v>
      </c>
    </row>
    <row r="52" spans="2:3">
      <c r="B52" s="55" t="s">
        <v>457</v>
      </c>
      <c r="C52" s="55">
        <v>9.5</v>
      </c>
    </row>
    <row r="53" spans="2:3">
      <c r="B53" s="55" t="s">
        <v>458</v>
      </c>
      <c r="C53" s="55">
        <v>9.1999999999999993</v>
      </c>
    </row>
    <row r="54" spans="2:3">
      <c r="B54" s="55" t="s">
        <v>459</v>
      </c>
      <c r="C54" s="55">
        <v>9.1999999999999993</v>
      </c>
    </row>
    <row r="55" spans="2:3">
      <c r="B55" s="55" t="s">
        <v>460</v>
      </c>
      <c r="C55" s="55">
        <v>8.5</v>
      </c>
    </row>
    <row r="56" spans="2:3">
      <c r="B56" s="55" t="s">
        <v>461</v>
      </c>
      <c r="C56" s="55">
        <v>9.5</v>
      </c>
    </row>
    <row r="57" spans="2:3">
      <c r="B57" s="55" t="s">
        <v>462</v>
      </c>
      <c r="C57" s="55">
        <v>9.1</v>
      </c>
    </row>
    <row r="58" spans="2:3">
      <c r="B58" s="55" t="s">
        <v>463</v>
      </c>
      <c r="C58" s="55">
        <v>9</v>
      </c>
    </row>
    <row r="59" spans="2:3">
      <c r="B59" s="55" t="s">
        <v>464</v>
      </c>
      <c r="C59" s="55">
        <v>8.3000000000000007</v>
      </c>
    </row>
    <row r="60" spans="2:3">
      <c r="B60" s="55" t="s">
        <v>465</v>
      </c>
      <c r="C60" s="55">
        <v>8.4</v>
      </c>
    </row>
    <row r="61" spans="2:3">
      <c r="B61" s="55" t="s">
        <v>466</v>
      </c>
      <c r="C61" s="55">
        <v>7.1</v>
      </c>
    </row>
    <row r="62" spans="2:3">
      <c r="B62" s="55" t="s">
        <v>467</v>
      </c>
      <c r="C62" s="55">
        <v>9.1999999999999993</v>
      </c>
    </row>
    <row r="63" spans="2:3">
      <c r="B63" s="55" t="s">
        <v>468</v>
      </c>
      <c r="C63" s="55">
        <v>8.1</v>
      </c>
    </row>
    <row r="64" spans="2:3">
      <c r="B64" s="55" t="s">
        <v>469</v>
      </c>
      <c r="C64" s="55">
        <v>8.1999999999999993</v>
      </c>
    </row>
    <row r="65" spans="2:3">
      <c r="B65" s="55" t="s">
        <v>470</v>
      </c>
      <c r="C65" s="55">
        <v>7.1</v>
      </c>
    </row>
    <row r="66" spans="2:3">
      <c r="B66" s="55" t="s">
        <v>471</v>
      </c>
      <c r="C66" s="55">
        <v>7.2</v>
      </c>
    </row>
    <row r="67" spans="2:3">
      <c r="B67" s="55" t="s">
        <v>472</v>
      </c>
      <c r="C67" s="55">
        <v>5.3</v>
      </c>
    </row>
    <row r="68" spans="2:3">
      <c r="B68" s="55" t="s">
        <v>473</v>
      </c>
      <c r="C68" s="55">
        <v>9.5</v>
      </c>
    </row>
    <row r="69" spans="2:3">
      <c r="B69" s="55" t="s">
        <v>474</v>
      </c>
      <c r="C69" s="55">
        <v>9.3000000000000007</v>
      </c>
    </row>
    <row r="70" spans="2:3">
      <c r="B70" s="55" t="s">
        <v>475</v>
      </c>
      <c r="C70" s="55">
        <v>9.1999999999999993</v>
      </c>
    </row>
    <row r="71" spans="2:3">
      <c r="B71" s="55" t="s">
        <v>476</v>
      </c>
      <c r="C71" s="55">
        <v>8.5</v>
      </c>
    </row>
    <row r="72" spans="2:3">
      <c r="B72" s="55" t="s">
        <v>477</v>
      </c>
      <c r="C72" s="55">
        <v>8.5</v>
      </c>
    </row>
    <row r="73" spans="2:3">
      <c r="B73" s="55" t="s">
        <v>478</v>
      </c>
      <c r="C73" s="55">
        <v>7.3</v>
      </c>
    </row>
    <row r="74" spans="2:3">
      <c r="B74" s="55" t="s">
        <v>479</v>
      </c>
      <c r="C74" s="55">
        <v>9.1999999999999993</v>
      </c>
    </row>
    <row r="75" spans="2:3">
      <c r="B75" s="55" t="s">
        <v>480</v>
      </c>
      <c r="C75" s="55">
        <v>8.1999999999999993</v>
      </c>
    </row>
    <row r="76" spans="2:3">
      <c r="B76" s="55" t="s">
        <v>481</v>
      </c>
      <c r="C76" s="55">
        <v>8</v>
      </c>
    </row>
    <row r="77" spans="2:3">
      <c r="B77" s="55" t="s">
        <v>482</v>
      </c>
      <c r="C77" s="55">
        <v>7.2</v>
      </c>
    </row>
    <row r="78" spans="2:3">
      <c r="B78" s="55" t="s">
        <v>483</v>
      </c>
      <c r="C78" s="55">
        <v>7</v>
      </c>
    </row>
    <row r="79" spans="2:3">
      <c r="B79" s="55" t="s">
        <v>484</v>
      </c>
      <c r="C79" s="55">
        <v>5.9</v>
      </c>
    </row>
    <row r="80" spans="2:3">
      <c r="B80" s="55" t="s">
        <v>485</v>
      </c>
      <c r="C80" s="55">
        <v>8.4</v>
      </c>
    </row>
    <row r="81" spans="2:3">
      <c r="B81" s="55" t="s">
        <v>486</v>
      </c>
      <c r="C81" s="55">
        <v>7</v>
      </c>
    </row>
    <row r="82" spans="2:3">
      <c r="B82" s="55" t="s">
        <v>487</v>
      </c>
      <c r="C82" s="55">
        <v>7.1</v>
      </c>
    </row>
    <row r="83" spans="2:3">
      <c r="B83" s="55" t="s">
        <v>488</v>
      </c>
      <c r="C83" s="55">
        <v>5.2</v>
      </c>
    </row>
    <row r="84" spans="2:3">
      <c r="B84" s="55" t="s">
        <v>489</v>
      </c>
      <c r="C84" s="55">
        <v>5</v>
      </c>
    </row>
    <row r="85" spans="2:3">
      <c r="B85" s="55" t="s">
        <v>490</v>
      </c>
      <c r="C85" s="55">
        <v>3</v>
      </c>
    </row>
    <row r="86" spans="2:3">
      <c r="B86" s="55" t="s">
        <v>491</v>
      </c>
      <c r="C86" s="55">
        <v>8.6</v>
      </c>
    </row>
    <row r="87" spans="2:3">
      <c r="B87" s="55" t="s">
        <v>492</v>
      </c>
      <c r="C87" s="55">
        <v>7.5</v>
      </c>
    </row>
    <row r="88" spans="2:3">
      <c r="B88" s="55" t="s">
        <v>493</v>
      </c>
      <c r="C88" s="55">
        <v>5.2</v>
      </c>
    </row>
    <row r="89" spans="2:3">
      <c r="B89" s="55" t="s">
        <v>494</v>
      </c>
      <c r="C89" s="55">
        <v>7.1</v>
      </c>
    </row>
    <row r="90" spans="2:3">
      <c r="B90" s="55" t="s">
        <v>495</v>
      </c>
      <c r="C90" s="55">
        <v>5.2</v>
      </c>
    </row>
    <row r="91" spans="2:3">
      <c r="B91" s="55" t="s">
        <v>496</v>
      </c>
      <c r="C91" s="55">
        <v>2.9</v>
      </c>
    </row>
    <row r="92" spans="2:3">
      <c r="B92" s="55" t="s">
        <v>497</v>
      </c>
      <c r="C92" s="55">
        <v>6.3</v>
      </c>
    </row>
    <row r="93" spans="2:3">
      <c r="B93" s="55" t="s">
        <v>498</v>
      </c>
      <c r="C93" s="55">
        <v>2.9</v>
      </c>
    </row>
    <row r="94" spans="2:3">
      <c r="B94" s="55" t="s">
        <v>499</v>
      </c>
      <c r="C94" s="55">
        <v>1.7</v>
      </c>
    </row>
    <row r="95" spans="2:3">
      <c r="B95" s="55" t="s">
        <v>500</v>
      </c>
      <c r="C95" s="55">
        <v>9.8000000000000007</v>
      </c>
    </row>
    <row r="96" spans="2:3">
      <c r="B96" s="55" t="s">
        <v>501</v>
      </c>
      <c r="C96" s="55">
        <v>9.5</v>
      </c>
    </row>
    <row r="97" spans="2:3">
      <c r="B97" s="55" t="s">
        <v>502</v>
      </c>
      <c r="C97" s="55">
        <v>9.4</v>
      </c>
    </row>
    <row r="98" spans="2:3">
      <c r="B98" s="55" t="s">
        <v>503</v>
      </c>
      <c r="C98" s="55">
        <v>8.6999999999999993</v>
      </c>
    </row>
    <row r="99" spans="2:3">
      <c r="B99" s="55" t="s">
        <v>504</v>
      </c>
      <c r="C99" s="55">
        <v>9.1</v>
      </c>
    </row>
    <row r="100" spans="2:3">
      <c r="B100" s="55" t="s">
        <v>505</v>
      </c>
      <c r="C100" s="55">
        <v>8.1</v>
      </c>
    </row>
    <row r="101" spans="2:3">
      <c r="B101" s="55" t="s">
        <v>506</v>
      </c>
      <c r="C101" s="55">
        <v>9.4</v>
      </c>
    </row>
    <row r="102" spans="2:3">
      <c r="B102" s="55" t="s">
        <v>507</v>
      </c>
      <c r="C102" s="55">
        <v>8.9</v>
      </c>
    </row>
    <row r="103" spans="2:3">
      <c r="B103" s="55" t="s">
        <v>508</v>
      </c>
      <c r="C103" s="55">
        <v>8.6</v>
      </c>
    </row>
    <row r="104" spans="2:3">
      <c r="B104" s="55" t="s">
        <v>509</v>
      </c>
      <c r="C104" s="55">
        <v>7.4</v>
      </c>
    </row>
    <row r="105" spans="2:3">
      <c r="B105" s="55" t="s">
        <v>510</v>
      </c>
      <c r="C105" s="55">
        <v>7.7</v>
      </c>
    </row>
    <row r="106" spans="2:3">
      <c r="B106" s="55" t="s">
        <v>511</v>
      </c>
      <c r="C106" s="55">
        <v>6.4</v>
      </c>
    </row>
    <row r="107" spans="2:3">
      <c r="B107" s="55" t="s">
        <v>512</v>
      </c>
      <c r="C107" s="55">
        <v>8.6999999999999993</v>
      </c>
    </row>
    <row r="108" spans="2:3">
      <c r="B108" s="55" t="s">
        <v>513</v>
      </c>
      <c r="C108" s="55">
        <v>7.5</v>
      </c>
    </row>
    <row r="109" spans="2:3">
      <c r="B109" s="55" t="s">
        <v>514</v>
      </c>
      <c r="C109" s="55">
        <v>7.4</v>
      </c>
    </row>
    <row r="110" spans="2:3">
      <c r="B110" s="55" t="s">
        <v>515</v>
      </c>
      <c r="C110" s="55">
        <v>6.3</v>
      </c>
    </row>
    <row r="111" spans="2:3">
      <c r="B111" s="55" t="s">
        <v>516</v>
      </c>
      <c r="C111" s="55">
        <v>6.3</v>
      </c>
    </row>
    <row r="112" spans="2:3">
      <c r="B112" s="55" t="s">
        <v>517</v>
      </c>
      <c r="C112" s="55">
        <v>4.9000000000000004</v>
      </c>
    </row>
    <row r="113" spans="2:3">
      <c r="B113" s="55" t="s">
        <v>518</v>
      </c>
      <c r="C113" s="55">
        <v>9.4</v>
      </c>
    </row>
    <row r="114" spans="2:3">
      <c r="B114" s="55" t="s">
        <v>519</v>
      </c>
      <c r="C114" s="55">
        <v>8.9</v>
      </c>
    </row>
    <row r="115" spans="2:3">
      <c r="B115" s="55" t="s">
        <v>520</v>
      </c>
      <c r="C115" s="55">
        <v>8.8000000000000007</v>
      </c>
    </row>
    <row r="116" spans="2:3">
      <c r="B116" s="55" t="s">
        <v>521</v>
      </c>
      <c r="C116" s="55">
        <v>7.7</v>
      </c>
    </row>
    <row r="117" spans="2:3">
      <c r="B117" s="55" t="s">
        <v>522</v>
      </c>
      <c r="C117" s="55">
        <v>7.6</v>
      </c>
    </row>
    <row r="118" spans="2:3">
      <c r="B118" s="55" t="s">
        <v>523</v>
      </c>
      <c r="C118" s="55">
        <v>6.7</v>
      </c>
    </row>
    <row r="119" spans="2:3">
      <c r="B119" s="55" t="s">
        <v>524</v>
      </c>
      <c r="C119" s="55">
        <v>8.6</v>
      </c>
    </row>
    <row r="120" spans="2:3">
      <c r="B120" s="55" t="s">
        <v>525</v>
      </c>
      <c r="C120" s="55">
        <v>7.6</v>
      </c>
    </row>
    <row r="121" spans="2:3">
      <c r="B121" s="55" t="s">
        <v>526</v>
      </c>
      <c r="C121" s="55">
        <v>7.4</v>
      </c>
    </row>
    <row r="122" spans="2:3">
      <c r="B122" s="55" t="s">
        <v>527</v>
      </c>
      <c r="C122" s="55">
        <v>5.8</v>
      </c>
    </row>
    <row r="123" spans="2:3">
      <c r="B123" s="55" t="s">
        <v>528</v>
      </c>
      <c r="C123" s="55">
        <v>5.9</v>
      </c>
    </row>
    <row r="124" spans="2:3">
      <c r="B124" s="55" t="s">
        <v>529</v>
      </c>
      <c r="C124" s="55">
        <v>5</v>
      </c>
    </row>
    <row r="125" spans="2:3">
      <c r="B125" s="55" t="s">
        <v>530</v>
      </c>
      <c r="C125" s="55">
        <v>7.2</v>
      </c>
    </row>
    <row r="126" spans="2:3">
      <c r="B126" s="55" t="s">
        <v>531</v>
      </c>
      <c r="C126" s="55">
        <v>5.7</v>
      </c>
    </row>
    <row r="127" spans="2:3">
      <c r="B127" s="55" t="s">
        <v>532</v>
      </c>
      <c r="C127" s="55">
        <v>5.7</v>
      </c>
    </row>
    <row r="128" spans="2:3">
      <c r="B128" s="55" t="s">
        <v>533</v>
      </c>
      <c r="C128" s="55">
        <v>5.2</v>
      </c>
    </row>
    <row r="129" spans="2:3">
      <c r="B129" s="55" t="s">
        <v>534</v>
      </c>
      <c r="C129" s="55">
        <v>5.2</v>
      </c>
    </row>
    <row r="130" spans="2:3">
      <c r="B130" s="55" t="s">
        <v>535</v>
      </c>
      <c r="C130" s="55">
        <v>2.5</v>
      </c>
    </row>
    <row r="131" spans="2:3">
      <c r="B131" s="55" t="s">
        <v>536</v>
      </c>
      <c r="C131" s="55">
        <v>8.3000000000000007</v>
      </c>
    </row>
    <row r="132" spans="2:3">
      <c r="B132" s="55" t="s">
        <v>537</v>
      </c>
      <c r="C132" s="55">
        <v>7</v>
      </c>
    </row>
    <row r="133" spans="2:3">
      <c r="B133" s="55" t="s">
        <v>538</v>
      </c>
      <c r="C133" s="55">
        <v>5.4</v>
      </c>
    </row>
    <row r="134" spans="2:3">
      <c r="B134" s="55" t="s">
        <v>539</v>
      </c>
      <c r="C134" s="55">
        <v>6.5</v>
      </c>
    </row>
    <row r="135" spans="2:3">
      <c r="B135" s="55" t="s">
        <v>540</v>
      </c>
      <c r="C135" s="55">
        <v>5.8</v>
      </c>
    </row>
    <row r="136" spans="2:3">
      <c r="B136" s="55" t="s">
        <v>541</v>
      </c>
      <c r="C136" s="55">
        <v>2.6</v>
      </c>
    </row>
    <row r="137" spans="2:3">
      <c r="B137" s="55" t="s">
        <v>542</v>
      </c>
      <c r="C137" s="55">
        <v>5.3</v>
      </c>
    </row>
    <row r="138" spans="2:3">
      <c r="B138" s="55" t="s">
        <v>543</v>
      </c>
      <c r="C138" s="55">
        <v>2.1</v>
      </c>
    </row>
    <row r="139" spans="2:3">
      <c r="B139" s="55" t="s">
        <v>544</v>
      </c>
      <c r="C139" s="55">
        <v>1.3</v>
      </c>
    </row>
    <row r="140" spans="2:3">
      <c r="B140" s="55" t="s">
        <v>545</v>
      </c>
      <c r="C140" s="55">
        <v>9.5</v>
      </c>
    </row>
    <row r="141" spans="2:3">
      <c r="B141" s="55" t="s">
        <v>546</v>
      </c>
      <c r="C141" s="55">
        <v>9</v>
      </c>
    </row>
    <row r="142" spans="2:3">
      <c r="B142" s="55" t="s">
        <v>547</v>
      </c>
      <c r="C142" s="55">
        <v>8.8000000000000007</v>
      </c>
    </row>
    <row r="143" spans="2:3">
      <c r="B143" s="55" t="s">
        <v>548</v>
      </c>
      <c r="C143" s="55">
        <v>7.6</v>
      </c>
    </row>
    <row r="144" spans="2:3">
      <c r="B144" s="55" t="s">
        <v>549</v>
      </c>
      <c r="C144" s="55">
        <v>7.6</v>
      </c>
    </row>
    <row r="145" spans="2:3">
      <c r="B145" s="55" t="s">
        <v>550</v>
      </c>
      <c r="C145" s="55">
        <v>7</v>
      </c>
    </row>
    <row r="146" spans="2:3">
      <c r="B146" s="55" t="s">
        <v>551</v>
      </c>
      <c r="C146" s="55">
        <v>9</v>
      </c>
    </row>
    <row r="147" spans="2:3">
      <c r="B147" s="55" t="s">
        <v>552</v>
      </c>
      <c r="C147" s="55">
        <v>7.7</v>
      </c>
    </row>
    <row r="148" spans="2:3">
      <c r="B148" s="55" t="s">
        <v>553</v>
      </c>
      <c r="C148" s="55">
        <v>7.5</v>
      </c>
    </row>
    <row r="149" spans="2:3">
      <c r="B149" s="55" t="s">
        <v>554</v>
      </c>
      <c r="C149" s="55">
        <v>6.2</v>
      </c>
    </row>
    <row r="150" spans="2:3">
      <c r="B150" s="55" t="s">
        <v>555</v>
      </c>
      <c r="C150" s="55">
        <v>6.1</v>
      </c>
    </row>
    <row r="151" spans="2:3">
      <c r="B151" s="55" t="s">
        <v>556</v>
      </c>
      <c r="C151" s="55">
        <v>5.3</v>
      </c>
    </row>
    <row r="152" spans="2:3">
      <c r="B152" s="55" t="s">
        <v>557</v>
      </c>
      <c r="C152" s="55">
        <v>7.7</v>
      </c>
    </row>
    <row r="153" spans="2:3">
      <c r="B153" s="55" t="s">
        <v>558</v>
      </c>
      <c r="C153" s="55">
        <v>6.6</v>
      </c>
    </row>
    <row r="154" spans="2:3">
      <c r="B154" s="55" t="s">
        <v>559</v>
      </c>
      <c r="C154" s="55">
        <v>6.8</v>
      </c>
    </row>
    <row r="155" spans="2:3">
      <c r="B155" s="55" t="s">
        <v>560</v>
      </c>
      <c r="C155" s="55">
        <v>5.9</v>
      </c>
    </row>
    <row r="156" spans="2:3">
      <c r="B156" s="55" t="s">
        <v>561</v>
      </c>
      <c r="C156" s="55">
        <v>5.2</v>
      </c>
    </row>
    <row r="157" spans="2:3">
      <c r="B157" s="55" t="s">
        <v>562</v>
      </c>
      <c r="C157" s="55">
        <v>3</v>
      </c>
    </row>
    <row r="158" spans="2:3">
      <c r="B158" s="55" t="s">
        <v>563</v>
      </c>
      <c r="C158" s="55">
        <v>8.9</v>
      </c>
    </row>
    <row r="159" spans="2:3">
      <c r="B159" s="55" t="s">
        <v>564</v>
      </c>
      <c r="C159" s="55">
        <v>7.8</v>
      </c>
    </row>
    <row r="160" spans="2:3">
      <c r="B160" s="55" t="s">
        <v>565</v>
      </c>
      <c r="C160" s="55">
        <v>7.6</v>
      </c>
    </row>
    <row r="161" spans="2:3">
      <c r="B161" s="55" t="s">
        <v>566</v>
      </c>
      <c r="C161" s="55">
        <v>6.7</v>
      </c>
    </row>
    <row r="162" spans="2:3">
      <c r="B162" s="55" t="s">
        <v>567</v>
      </c>
      <c r="C162" s="55">
        <v>6.2</v>
      </c>
    </row>
    <row r="163" spans="2:3">
      <c r="B163" s="55" t="s">
        <v>568</v>
      </c>
      <c r="C163" s="55">
        <v>5.8</v>
      </c>
    </row>
    <row r="164" spans="2:3">
      <c r="B164" s="55" t="s">
        <v>569</v>
      </c>
      <c r="C164" s="55">
        <v>7.4</v>
      </c>
    </row>
    <row r="165" spans="2:3">
      <c r="B165" s="55" t="s">
        <v>570</v>
      </c>
      <c r="C165" s="55">
        <v>5.9</v>
      </c>
    </row>
    <row r="166" spans="2:3">
      <c r="B166" s="55" t="s">
        <v>571</v>
      </c>
      <c r="C166" s="55">
        <v>5.7</v>
      </c>
    </row>
    <row r="167" spans="2:3">
      <c r="B167" s="55" t="s">
        <v>572</v>
      </c>
      <c r="C167" s="55">
        <v>5.7</v>
      </c>
    </row>
    <row r="168" spans="2:3">
      <c r="B168" s="55" t="s">
        <v>573</v>
      </c>
      <c r="C168" s="55">
        <v>4.7</v>
      </c>
    </row>
    <row r="169" spans="2:3">
      <c r="B169" s="55" t="s">
        <v>574</v>
      </c>
      <c r="C169" s="55">
        <v>2.2999999999999998</v>
      </c>
    </row>
    <row r="170" spans="2:3">
      <c r="B170" s="55" t="s">
        <v>575</v>
      </c>
      <c r="C170" s="55">
        <v>6.1</v>
      </c>
    </row>
    <row r="171" spans="2:3">
      <c r="B171" s="55" t="s">
        <v>576</v>
      </c>
      <c r="C171" s="55">
        <v>5.2</v>
      </c>
    </row>
    <row r="172" spans="2:3">
      <c r="B172" s="55" t="s">
        <v>577</v>
      </c>
      <c r="C172" s="55">
        <v>5.7</v>
      </c>
    </row>
    <row r="173" spans="2:3">
      <c r="B173" s="55" t="s">
        <v>578</v>
      </c>
      <c r="C173" s="55">
        <v>2.9</v>
      </c>
    </row>
    <row r="174" spans="2:3">
      <c r="B174" s="55" t="s">
        <v>579</v>
      </c>
      <c r="C174" s="55">
        <v>2.4</v>
      </c>
    </row>
    <row r="175" spans="2:3">
      <c r="B175" s="55" t="s">
        <v>580</v>
      </c>
      <c r="C175" s="55">
        <v>1.6</v>
      </c>
    </row>
    <row r="176" spans="2:3">
      <c r="B176" s="55" t="s">
        <v>581</v>
      </c>
      <c r="C176" s="55">
        <v>7.1</v>
      </c>
    </row>
    <row r="177" spans="2:3">
      <c r="B177" s="55" t="s">
        <v>582</v>
      </c>
      <c r="C177" s="55">
        <v>5.9</v>
      </c>
    </row>
    <row r="178" spans="2:3">
      <c r="B178" s="55" t="s">
        <v>583</v>
      </c>
      <c r="C178" s="55">
        <v>3</v>
      </c>
    </row>
    <row r="179" spans="2:3">
      <c r="B179" s="55" t="s">
        <v>584</v>
      </c>
      <c r="C179" s="55">
        <v>5.8</v>
      </c>
    </row>
    <row r="180" spans="2:3">
      <c r="B180" s="55" t="s">
        <v>585</v>
      </c>
      <c r="C180" s="55">
        <v>2.6</v>
      </c>
    </row>
    <row r="181" spans="2:3">
      <c r="B181" s="55" t="s">
        <v>586</v>
      </c>
      <c r="C181" s="55">
        <v>1.5</v>
      </c>
    </row>
    <row r="182" spans="2:3">
      <c r="B182" s="55" t="s">
        <v>587</v>
      </c>
      <c r="C182" s="55">
        <v>2.2999999999999998</v>
      </c>
    </row>
    <row r="183" spans="2:3">
      <c r="B183" s="55" t="s">
        <v>588</v>
      </c>
      <c r="C183" s="55">
        <v>1.3</v>
      </c>
    </row>
    <row r="184" spans="2:3">
      <c r="B184" s="55" t="s">
        <v>589</v>
      </c>
      <c r="C184" s="55">
        <v>0.6</v>
      </c>
    </row>
    <row r="185" spans="2:3">
      <c r="B185" s="55" t="s">
        <v>590</v>
      </c>
      <c r="C185" s="55">
        <v>9.3000000000000007</v>
      </c>
    </row>
    <row r="186" spans="2:3">
      <c r="B186" s="55" t="s">
        <v>591</v>
      </c>
      <c r="C186" s="55">
        <v>8.6999999999999993</v>
      </c>
    </row>
    <row r="187" spans="2:3">
      <c r="B187" s="55" t="s">
        <v>592</v>
      </c>
      <c r="C187" s="55">
        <v>8.6</v>
      </c>
    </row>
    <row r="188" spans="2:3">
      <c r="B188" s="55" t="s">
        <v>593</v>
      </c>
      <c r="C188" s="55">
        <v>7.2</v>
      </c>
    </row>
    <row r="189" spans="2:3">
      <c r="B189" s="55" t="s">
        <v>594</v>
      </c>
      <c r="C189" s="55">
        <v>7.5</v>
      </c>
    </row>
    <row r="190" spans="2:3">
      <c r="B190" s="55" t="s">
        <v>595</v>
      </c>
      <c r="C190" s="55">
        <v>5.8</v>
      </c>
    </row>
    <row r="191" spans="2:3">
      <c r="B191" s="55" t="s">
        <v>596</v>
      </c>
      <c r="C191" s="55">
        <v>8.6</v>
      </c>
    </row>
    <row r="192" spans="2:3">
      <c r="B192" s="55" t="s">
        <v>597</v>
      </c>
      <c r="C192" s="55">
        <v>7.4</v>
      </c>
    </row>
    <row r="193" spans="2:3">
      <c r="B193" s="55" t="s">
        <v>598</v>
      </c>
      <c r="C193" s="55">
        <v>7.4</v>
      </c>
    </row>
    <row r="194" spans="2:3">
      <c r="B194" s="55" t="s">
        <v>599</v>
      </c>
      <c r="C194" s="55">
        <v>6.1</v>
      </c>
    </row>
    <row r="195" spans="2:3">
      <c r="B195" s="55" t="s">
        <v>600</v>
      </c>
      <c r="C195" s="55">
        <v>5.6</v>
      </c>
    </row>
    <row r="196" spans="2:3">
      <c r="B196" s="55" t="s">
        <v>601</v>
      </c>
      <c r="C196" s="55">
        <v>3.4</v>
      </c>
    </row>
    <row r="197" spans="2:3">
      <c r="B197" s="55" t="s">
        <v>602</v>
      </c>
      <c r="C197" s="55">
        <v>7</v>
      </c>
    </row>
    <row r="198" spans="2:3">
      <c r="B198" s="55" t="s">
        <v>603</v>
      </c>
      <c r="C198" s="55">
        <v>5.4</v>
      </c>
    </row>
    <row r="199" spans="2:3">
      <c r="B199" s="55" t="s">
        <v>604</v>
      </c>
      <c r="C199" s="55">
        <v>5.2</v>
      </c>
    </row>
    <row r="200" spans="2:3">
      <c r="B200" s="55" t="s">
        <v>605</v>
      </c>
      <c r="C200" s="55">
        <v>4</v>
      </c>
    </row>
    <row r="201" spans="2:3">
      <c r="B201" s="55" t="s">
        <v>606</v>
      </c>
      <c r="C201" s="55">
        <v>4</v>
      </c>
    </row>
    <row r="202" spans="2:3">
      <c r="B202" s="55" t="s">
        <v>607</v>
      </c>
      <c r="C202" s="55">
        <v>2.2000000000000002</v>
      </c>
    </row>
    <row r="203" spans="2:3">
      <c r="B203" s="55" t="s">
        <v>608</v>
      </c>
      <c r="C203" s="55">
        <v>8.5</v>
      </c>
    </row>
    <row r="204" spans="2:3">
      <c r="B204" s="55" t="s">
        <v>609</v>
      </c>
      <c r="C204" s="55">
        <v>7.5</v>
      </c>
    </row>
    <row r="205" spans="2:3">
      <c r="B205" s="55" t="s">
        <v>610</v>
      </c>
      <c r="C205" s="55">
        <v>7.4</v>
      </c>
    </row>
    <row r="206" spans="2:3">
      <c r="B206" s="55" t="s">
        <v>611</v>
      </c>
      <c r="C206" s="55">
        <v>5.5</v>
      </c>
    </row>
    <row r="207" spans="2:3">
      <c r="B207" s="55" t="s">
        <v>612</v>
      </c>
      <c r="C207" s="55">
        <v>6.2</v>
      </c>
    </row>
    <row r="208" spans="2:3">
      <c r="B208" s="55" t="s">
        <v>613</v>
      </c>
      <c r="C208" s="55">
        <v>5.0999999999999996</v>
      </c>
    </row>
    <row r="209" spans="2:3">
      <c r="B209" s="55" t="s">
        <v>614</v>
      </c>
      <c r="C209" s="55">
        <v>7.2</v>
      </c>
    </row>
    <row r="210" spans="2:3">
      <c r="B210" s="55" t="s">
        <v>615</v>
      </c>
      <c r="C210" s="55">
        <v>5.7</v>
      </c>
    </row>
    <row r="211" spans="2:3">
      <c r="B211" s="55" t="s">
        <v>616</v>
      </c>
      <c r="C211" s="55">
        <v>5.5</v>
      </c>
    </row>
    <row r="212" spans="2:3">
      <c r="B212" s="55" t="s">
        <v>617</v>
      </c>
      <c r="C212" s="55">
        <v>4.0999999999999996</v>
      </c>
    </row>
    <row r="213" spans="2:3">
      <c r="B213" s="55" t="s">
        <v>618</v>
      </c>
      <c r="C213" s="55">
        <v>4.5999999999999996</v>
      </c>
    </row>
    <row r="214" spans="2:3">
      <c r="B214" s="55" t="s">
        <v>619</v>
      </c>
      <c r="C214" s="55">
        <v>1.9</v>
      </c>
    </row>
    <row r="215" spans="2:3">
      <c r="B215" s="55" t="s">
        <v>620</v>
      </c>
      <c r="C215" s="55">
        <v>5.3</v>
      </c>
    </row>
    <row r="216" spans="2:3">
      <c r="B216" s="55" t="s">
        <v>621</v>
      </c>
      <c r="C216" s="55">
        <v>3.6</v>
      </c>
    </row>
    <row r="217" spans="2:3">
      <c r="B217" s="55" t="s">
        <v>622</v>
      </c>
      <c r="C217" s="55">
        <v>3.4</v>
      </c>
    </row>
    <row r="218" spans="2:3">
      <c r="B218" s="55" t="s">
        <v>623</v>
      </c>
      <c r="C218" s="55">
        <v>1.9</v>
      </c>
    </row>
    <row r="219" spans="2:3">
      <c r="B219" s="55" t="s">
        <v>624</v>
      </c>
      <c r="C219" s="55">
        <v>1.9</v>
      </c>
    </row>
    <row r="220" spans="2:3">
      <c r="B220" s="55" t="s">
        <v>625</v>
      </c>
      <c r="C220" s="55">
        <v>0.8</v>
      </c>
    </row>
    <row r="221" spans="2:3">
      <c r="B221" s="55" t="s">
        <v>626</v>
      </c>
      <c r="C221" s="55">
        <v>6.4</v>
      </c>
    </row>
    <row r="222" spans="2:3">
      <c r="B222" s="55" t="s">
        <v>627</v>
      </c>
      <c r="C222" s="55">
        <v>5.0999999999999996</v>
      </c>
    </row>
    <row r="223" spans="2:3">
      <c r="B223" s="55" t="s">
        <v>628</v>
      </c>
      <c r="C223" s="55">
        <v>2</v>
      </c>
    </row>
    <row r="224" spans="2:3">
      <c r="B224" s="55" t="s">
        <v>629</v>
      </c>
      <c r="C224" s="55">
        <v>4.7</v>
      </c>
    </row>
    <row r="225" spans="2:3">
      <c r="B225" s="55" t="s">
        <v>630</v>
      </c>
      <c r="C225" s="55">
        <v>2.1</v>
      </c>
    </row>
    <row r="226" spans="2:3">
      <c r="B226" s="55" t="s">
        <v>631</v>
      </c>
      <c r="C226" s="55">
        <v>1.1000000000000001</v>
      </c>
    </row>
    <row r="227" spans="2:3">
      <c r="B227" s="55" t="s">
        <v>632</v>
      </c>
      <c r="C227" s="55">
        <v>2.4</v>
      </c>
    </row>
    <row r="228" spans="2:3">
      <c r="B228" s="55" t="s">
        <v>633</v>
      </c>
      <c r="C228" s="55">
        <v>0.9</v>
      </c>
    </row>
    <row r="229" spans="2:3">
      <c r="B229" s="55" t="s">
        <v>634</v>
      </c>
      <c r="C229" s="55">
        <v>0.4</v>
      </c>
    </row>
    <row r="230" spans="2:3">
      <c r="B230" s="55" t="s">
        <v>635</v>
      </c>
      <c r="C230" s="55">
        <v>8.8000000000000007</v>
      </c>
    </row>
    <row r="231" spans="2:3">
      <c r="B231" s="55" t="s">
        <v>636</v>
      </c>
      <c r="C231" s="55">
        <v>7.5</v>
      </c>
    </row>
    <row r="232" spans="2:3">
      <c r="B232" s="55" t="s">
        <v>637</v>
      </c>
      <c r="C232" s="55">
        <v>7.3</v>
      </c>
    </row>
    <row r="233" spans="2:3">
      <c r="B233" s="55" t="s">
        <v>638</v>
      </c>
      <c r="C233" s="55">
        <v>5.3</v>
      </c>
    </row>
    <row r="234" spans="2:3">
      <c r="B234" s="55" t="s">
        <v>639</v>
      </c>
      <c r="C234" s="55">
        <v>6</v>
      </c>
    </row>
    <row r="235" spans="2:3">
      <c r="B235" s="55" t="s">
        <v>640</v>
      </c>
      <c r="C235" s="55">
        <v>5</v>
      </c>
    </row>
    <row r="236" spans="2:3">
      <c r="B236" s="55" t="s">
        <v>641</v>
      </c>
      <c r="C236" s="55">
        <v>7.3</v>
      </c>
    </row>
    <row r="237" spans="2:3">
      <c r="B237" s="55" t="s">
        <v>642</v>
      </c>
      <c r="C237" s="55">
        <v>5.5</v>
      </c>
    </row>
    <row r="238" spans="2:3">
      <c r="B238" s="55" t="s">
        <v>643</v>
      </c>
      <c r="C238" s="55">
        <v>5.9</v>
      </c>
    </row>
    <row r="239" spans="2:3">
      <c r="B239" s="55" t="s">
        <v>644</v>
      </c>
      <c r="C239" s="55">
        <v>4</v>
      </c>
    </row>
    <row r="240" spans="2:3">
      <c r="B240" s="55" t="s">
        <v>645</v>
      </c>
      <c r="C240" s="55">
        <v>4.0999999999999996</v>
      </c>
    </row>
    <row r="241" spans="2:3">
      <c r="B241" s="55" t="s">
        <v>646</v>
      </c>
      <c r="C241" s="55">
        <v>2</v>
      </c>
    </row>
    <row r="242" spans="2:3">
      <c r="B242" s="55" t="s">
        <v>647</v>
      </c>
      <c r="C242" s="55">
        <v>5.4</v>
      </c>
    </row>
    <row r="243" spans="2:3">
      <c r="B243" s="55" t="s">
        <v>648</v>
      </c>
      <c r="C243" s="55">
        <v>4.3</v>
      </c>
    </row>
    <row r="244" spans="2:3">
      <c r="B244" s="55" t="s">
        <v>649</v>
      </c>
      <c r="C244" s="55">
        <v>4.5</v>
      </c>
    </row>
    <row r="245" spans="2:3">
      <c r="B245" s="55" t="s">
        <v>650</v>
      </c>
      <c r="C245" s="55">
        <v>2.2000000000000002</v>
      </c>
    </row>
    <row r="246" spans="2:3">
      <c r="B246" s="55" t="s">
        <v>651</v>
      </c>
      <c r="C246" s="55">
        <v>2</v>
      </c>
    </row>
    <row r="247" spans="2:3">
      <c r="B247" s="55" t="s">
        <v>652</v>
      </c>
      <c r="C247" s="55">
        <v>1.1000000000000001</v>
      </c>
    </row>
    <row r="248" spans="2:3">
      <c r="B248" s="55" t="s">
        <v>653</v>
      </c>
      <c r="C248" s="55">
        <v>7.5</v>
      </c>
    </row>
    <row r="249" spans="2:3">
      <c r="B249" s="55" t="s">
        <v>654</v>
      </c>
      <c r="C249" s="55">
        <v>5.5</v>
      </c>
    </row>
    <row r="250" spans="2:3">
      <c r="B250" s="55" t="s">
        <v>655</v>
      </c>
      <c r="C250" s="55">
        <v>5.8</v>
      </c>
    </row>
    <row r="251" spans="2:3">
      <c r="B251" s="55" t="s">
        <v>656</v>
      </c>
      <c r="C251" s="55">
        <v>4.5</v>
      </c>
    </row>
    <row r="252" spans="2:3">
      <c r="B252" s="55" t="s">
        <v>657</v>
      </c>
      <c r="C252" s="55">
        <v>4</v>
      </c>
    </row>
    <row r="253" spans="2:3">
      <c r="B253" s="55" t="s">
        <v>658</v>
      </c>
      <c r="C253" s="55">
        <v>2.1</v>
      </c>
    </row>
    <row r="254" spans="2:3">
      <c r="B254" s="55" t="s">
        <v>659</v>
      </c>
      <c r="C254" s="55">
        <v>6.1</v>
      </c>
    </row>
    <row r="255" spans="2:3">
      <c r="B255" s="55" t="s">
        <v>660</v>
      </c>
      <c r="C255" s="55">
        <v>5.0999999999999996</v>
      </c>
    </row>
    <row r="256" spans="2:3">
      <c r="B256" s="55" t="s">
        <v>661</v>
      </c>
      <c r="C256" s="55">
        <v>4.8</v>
      </c>
    </row>
    <row r="257" spans="2:3">
      <c r="B257" s="55" t="s">
        <v>662</v>
      </c>
      <c r="C257" s="55">
        <v>1.8</v>
      </c>
    </row>
    <row r="258" spans="2:3">
      <c r="B258" s="55" t="s">
        <v>663</v>
      </c>
      <c r="C258" s="55">
        <v>2</v>
      </c>
    </row>
    <row r="259" spans="2:3">
      <c r="B259" s="55" t="s">
        <v>664</v>
      </c>
      <c r="C259" s="55">
        <v>0.9</v>
      </c>
    </row>
    <row r="260" spans="2:3">
      <c r="B260" s="55" t="s">
        <v>665</v>
      </c>
      <c r="C260" s="55">
        <v>4.5999999999999996</v>
      </c>
    </row>
    <row r="261" spans="2:3">
      <c r="B261" s="55" t="s">
        <v>666</v>
      </c>
      <c r="C261" s="55">
        <v>1.8</v>
      </c>
    </row>
    <row r="262" spans="2:3">
      <c r="B262" s="55" t="s">
        <v>667</v>
      </c>
      <c r="C262" s="55">
        <v>1.7</v>
      </c>
    </row>
    <row r="263" spans="2:3">
      <c r="B263" s="55" t="s">
        <v>668</v>
      </c>
      <c r="C263" s="55">
        <v>0.7</v>
      </c>
    </row>
    <row r="264" spans="2:3">
      <c r="B264" s="55" t="s">
        <v>669</v>
      </c>
      <c r="C264" s="55">
        <v>0.8</v>
      </c>
    </row>
    <row r="265" spans="2:3">
      <c r="B265" s="55" t="s">
        <v>670</v>
      </c>
      <c r="C265" s="55">
        <v>0.2</v>
      </c>
    </row>
    <row r="266" spans="2:3">
      <c r="B266" s="55" t="s">
        <v>671</v>
      </c>
      <c r="C266" s="55">
        <v>5.3</v>
      </c>
    </row>
    <row r="267" spans="2:3">
      <c r="B267" s="55" t="s">
        <v>672</v>
      </c>
      <c r="C267" s="55">
        <v>2.4</v>
      </c>
    </row>
    <row r="268" spans="2:3">
      <c r="B268" s="55" t="s">
        <v>673</v>
      </c>
      <c r="C268" s="55">
        <v>1.4</v>
      </c>
    </row>
    <row r="269" spans="2:3">
      <c r="B269" s="55" t="s">
        <v>674</v>
      </c>
      <c r="C269" s="55">
        <v>2.4</v>
      </c>
    </row>
    <row r="270" spans="2:3">
      <c r="B270" s="55" t="s">
        <v>675</v>
      </c>
      <c r="C270" s="55">
        <v>1.2</v>
      </c>
    </row>
    <row r="271" spans="2:3">
      <c r="B271" s="55" t="s">
        <v>676</v>
      </c>
      <c r="C271" s="55">
        <v>0.5</v>
      </c>
    </row>
    <row r="272" spans="2:3">
      <c r="B272" s="55" t="s">
        <v>677</v>
      </c>
      <c r="C272" s="55">
        <v>1</v>
      </c>
    </row>
    <row r="273" spans="2:3">
      <c r="B273" s="55" t="s">
        <v>678</v>
      </c>
      <c r="C273" s="55">
        <v>0.3</v>
      </c>
    </row>
    <row r="274" spans="2:3">
      <c r="B274" s="55" t="s">
        <v>679</v>
      </c>
      <c r="C274" s="55">
        <v>0.1</v>
      </c>
    </row>
  </sheetData>
  <phoneticPr fontId="6" type="noConversion"/>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H300"/>
  <sheetViews>
    <sheetView zoomScaleNormal="100" workbookViewId="0"/>
  </sheetViews>
  <sheetFormatPr defaultColWidth="8.6328125" defaultRowHeight="14"/>
  <cols>
    <col min="1" max="1" width="8.6328125" style="35"/>
    <col min="2" max="2" width="14.36328125" style="35" bestFit="1" customWidth="1"/>
    <col min="3" max="3" width="20.7265625" style="35" bestFit="1" customWidth="1"/>
    <col min="4" max="4" width="21.453125" style="35" bestFit="1" customWidth="1"/>
    <col min="5" max="5" width="40.6328125" style="35" bestFit="1" customWidth="1"/>
    <col min="6" max="6" width="7.81640625" style="35" bestFit="1" customWidth="1"/>
    <col min="7" max="7" width="16.26953125" style="35" bestFit="1" customWidth="1"/>
    <col min="8" max="8" width="24" style="35" customWidth="1"/>
    <col min="9" max="16384" width="8.6328125" style="35"/>
  </cols>
  <sheetData>
    <row r="1" spans="2:8" ht="19.5" customHeight="1">
      <c r="B1" s="92" t="s">
        <v>859</v>
      </c>
      <c r="C1" s="92"/>
      <c r="D1" s="92"/>
      <c r="E1" s="92"/>
      <c r="F1" s="92"/>
      <c r="G1" s="92"/>
      <c r="H1" s="92"/>
    </row>
    <row r="2" spans="2:8" ht="15.75" customHeight="1">
      <c r="B2" s="93" t="s">
        <v>860</v>
      </c>
      <c r="C2" s="93"/>
      <c r="D2" s="93"/>
      <c r="E2" s="93"/>
      <c r="F2" s="93"/>
      <c r="G2" s="93"/>
      <c r="H2" s="93"/>
    </row>
    <row r="3" spans="2:8" ht="15.75" customHeight="1">
      <c r="B3" s="93" t="s">
        <v>861</v>
      </c>
      <c r="C3" s="93"/>
      <c r="D3" s="93"/>
      <c r="E3" s="93"/>
      <c r="F3" s="93"/>
      <c r="G3" s="93"/>
      <c r="H3" s="93"/>
    </row>
    <row r="4" spans="2:8" ht="19.5" customHeight="1">
      <c r="B4" s="41" t="s">
        <v>59</v>
      </c>
      <c r="C4" s="41" t="s">
        <v>862</v>
      </c>
      <c r="D4" s="41" t="s">
        <v>4</v>
      </c>
      <c r="E4" s="41" t="s">
        <v>5</v>
      </c>
      <c r="F4" s="41" t="s">
        <v>6</v>
      </c>
      <c r="G4" s="41" t="s">
        <v>60</v>
      </c>
      <c r="H4" s="41" t="s">
        <v>61</v>
      </c>
    </row>
    <row r="5" spans="2:8">
      <c r="B5" s="43" t="s">
        <v>26</v>
      </c>
      <c r="C5" s="43" t="s">
        <v>863</v>
      </c>
      <c r="D5" s="43" t="s">
        <v>23</v>
      </c>
      <c r="E5" s="43" t="s">
        <v>24</v>
      </c>
      <c r="F5" s="43" t="s">
        <v>25</v>
      </c>
      <c r="G5" s="43" t="s">
        <v>864</v>
      </c>
      <c r="H5" s="62" t="s">
        <v>865</v>
      </c>
    </row>
    <row r="6" spans="2:8">
      <c r="B6" s="43" t="s">
        <v>164</v>
      </c>
      <c r="C6" s="43" t="s">
        <v>866</v>
      </c>
      <c r="D6" s="43" t="s">
        <v>165</v>
      </c>
      <c r="E6" s="43" t="s">
        <v>166</v>
      </c>
      <c r="F6" s="43" t="s">
        <v>167</v>
      </c>
      <c r="G6" s="43" t="s">
        <v>864</v>
      </c>
      <c r="H6" s="43"/>
    </row>
    <row r="7" spans="2:8">
      <c r="B7" s="43" t="s">
        <v>168</v>
      </c>
      <c r="C7" s="43" t="s">
        <v>867</v>
      </c>
      <c r="D7" s="43" t="s">
        <v>169</v>
      </c>
      <c r="E7" s="43" t="s">
        <v>170</v>
      </c>
      <c r="F7" s="43" t="s">
        <v>171</v>
      </c>
      <c r="G7" s="43" t="s">
        <v>864</v>
      </c>
      <c r="H7" s="43"/>
    </row>
    <row r="8" spans="2:8">
      <c r="B8" s="43" t="s">
        <v>172</v>
      </c>
      <c r="C8" s="43" t="s">
        <v>868</v>
      </c>
      <c r="D8" s="43" t="s">
        <v>173</v>
      </c>
      <c r="E8" s="43" t="s">
        <v>174</v>
      </c>
      <c r="F8" s="43" t="s">
        <v>175</v>
      </c>
      <c r="G8" s="43" t="s">
        <v>864</v>
      </c>
      <c r="H8" s="43"/>
    </row>
    <row r="9" spans="2:8">
      <c r="B9" s="43" t="s">
        <v>176</v>
      </c>
      <c r="C9" s="43" t="s">
        <v>869</v>
      </c>
      <c r="D9" s="43" t="s">
        <v>177</v>
      </c>
      <c r="E9" s="43" t="s">
        <v>178</v>
      </c>
      <c r="F9" s="43" t="s">
        <v>179</v>
      </c>
      <c r="G9" s="43" t="s">
        <v>864</v>
      </c>
      <c r="H9" s="43"/>
    </row>
    <row r="10" spans="2:8">
      <c r="B10" s="43" t="s">
        <v>180</v>
      </c>
      <c r="C10" s="43" t="s">
        <v>870</v>
      </c>
      <c r="D10" s="43" t="s">
        <v>181</v>
      </c>
      <c r="E10" s="43" t="s">
        <v>182</v>
      </c>
      <c r="F10" s="43" t="s">
        <v>183</v>
      </c>
      <c r="G10" s="43" t="s">
        <v>864</v>
      </c>
      <c r="H10" s="43"/>
    </row>
    <row r="11" spans="2:8">
      <c r="B11" s="43" t="s">
        <v>184</v>
      </c>
      <c r="C11" s="43" t="s">
        <v>871</v>
      </c>
      <c r="D11" s="43" t="s">
        <v>185</v>
      </c>
      <c r="E11" s="43" t="s">
        <v>186</v>
      </c>
      <c r="F11" s="43" t="s">
        <v>187</v>
      </c>
      <c r="G11" s="43" t="s">
        <v>864</v>
      </c>
      <c r="H11" s="43"/>
    </row>
    <row r="12" spans="2:8">
      <c r="B12" s="43" t="s">
        <v>188</v>
      </c>
      <c r="C12" s="43" t="s">
        <v>872</v>
      </c>
      <c r="D12" s="43" t="s">
        <v>189</v>
      </c>
      <c r="E12" s="43" t="s">
        <v>190</v>
      </c>
      <c r="F12" s="43" t="s">
        <v>191</v>
      </c>
      <c r="G12" s="43" t="s">
        <v>864</v>
      </c>
      <c r="H12" s="43"/>
    </row>
    <row r="13" spans="2:8">
      <c r="B13" s="43" t="s">
        <v>192</v>
      </c>
      <c r="C13" s="43" t="s">
        <v>873</v>
      </c>
      <c r="D13" s="43" t="s">
        <v>193</v>
      </c>
      <c r="E13" s="43" t="s">
        <v>194</v>
      </c>
      <c r="F13" s="43" t="s">
        <v>195</v>
      </c>
      <c r="G13" s="43" t="s">
        <v>864</v>
      </c>
      <c r="H13" s="43"/>
    </row>
    <row r="14" spans="2:8">
      <c r="B14" s="43" t="s">
        <v>196</v>
      </c>
      <c r="C14" s="43" t="s">
        <v>874</v>
      </c>
      <c r="D14" s="43" t="s">
        <v>197</v>
      </c>
      <c r="E14" s="43" t="s">
        <v>198</v>
      </c>
      <c r="F14" s="43" t="s">
        <v>199</v>
      </c>
      <c r="G14" s="43" t="s">
        <v>864</v>
      </c>
      <c r="H14" s="43"/>
    </row>
    <row r="15" spans="2:8">
      <c r="B15" s="43" t="s">
        <v>200</v>
      </c>
      <c r="C15" s="43" t="s">
        <v>875</v>
      </c>
      <c r="D15" s="43" t="s">
        <v>201</v>
      </c>
      <c r="E15" s="43" t="s">
        <v>202</v>
      </c>
      <c r="F15" s="43" t="s">
        <v>203</v>
      </c>
      <c r="G15" s="43" t="s">
        <v>864</v>
      </c>
      <c r="H15" s="43"/>
    </row>
    <row r="16" spans="2:8">
      <c r="B16" s="43" t="s">
        <v>204</v>
      </c>
      <c r="C16" s="43" t="s">
        <v>876</v>
      </c>
      <c r="D16" s="43" t="s">
        <v>205</v>
      </c>
      <c r="E16" s="43" t="s">
        <v>206</v>
      </c>
      <c r="F16" s="43" t="s">
        <v>207</v>
      </c>
      <c r="G16" s="43" t="s">
        <v>864</v>
      </c>
      <c r="H16" s="43"/>
    </row>
    <row r="17" spans="2:8">
      <c r="B17" s="43" t="s">
        <v>208</v>
      </c>
      <c r="C17" s="43" t="s">
        <v>877</v>
      </c>
      <c r="D17" s="43" t="s">
        <v>209</v>
      </c>
      <c r="E17" s="43" t="s">
        <v>210</v>
      </c>
      <c r="F17" s="43" t="s">
        <v>211</v>
      </c>
      <c r="G17" s="43" t="s">
        <v>864</v>
      </c>
      <c r="H17" s="43"/>
    </row>
    <row r="18" spans="2:8">
      <c r="B18" s="43" t="s">
        <v>212</v>
      </c>
      <c r="C18" s="43" t="s">
        <v>878</v>
      </c>
      <c r="D18" s="43" t="s">
        <v>213</v>
      </c>
      <c r="E18" s="43" t="s">
        <v>214</v>
      </c>
      <c r="F18" s="43" t="s">
        <v>215</v>
      </c>
      <c r="G18" s="43" t="s">
        <v>864</v>
      </c>
      <c r="H18" s="43"/>
    </row>
    <row r="19" spans="2:8">
      <c r="B19" s="43"/>
      <c r="C19" s="43"/>
      <c r="D19" s="43"/>
      <c r="E19" s="43"/>
      <c r="F19" s="43"/>
      <c r="G19" s="43"/>
      <c r="H19" s="43"/>
    </row>
    <row r="20" spans="2:8">
      <c r="B20" s="43"/>
      <c r="C20" s="43"/>
      <c r="D20" s="43"/>
      <c r="E20" s="43"/>
      <c r="F20" s="43"/>
      <c r="G20" s="43"/>
      <c r="H20" s="43"/>
    </row>
    <row r="21" spans="2:8">
      <c r="B21" s="43"/>
      <c r="C21" s="43"/>
      <c r="D21" s="43"/>
      <c r="E21" s="43"/>
      <c r="F21" s="43"/>
      <c r="G21" s="43"/>
      <c r="H21" s="43"/>
    </row>
    <row r="22" spans="2:8">
      <c r="B22" s="43"/>
      <c r="C22" s="43"/>
      <c r="D22" s="43"/>
      <c r="E22" s="43"/>
      <c r="F22" s="43"/>
      <c r="G22" s="43"/>
      <c r="H22" s="43"/>
    </row>
    <row r="23" spans="2:8">
      <c r="B23" s="43"/>
      <c r="C23" s="43"/>
      <c r="D23" s="43"/>
      <c r="E23" s="43"/>
      <c r="F23" s="43"/>
      <c r="G23" s="43"/>
      <c r="H23" s="43"/>
    </row>
    <row r="24" spans="2:8">
      <c r="B24" s="43"/>
      <c r="C24" s="43"/>
      <c r="D24" s="43"/>
      <c r="E24" s="43"/>
      <c r="F24" s="43"/>
      <c r="G24" s="43"/>
      <c r="H24" s="43"/>
    </row>
    <row r="25" spans="2:8">
      <c r="B25" s="43"/>
      <c r="C25" s="43"/>
      <c r="D25" s="43"/>
      <c r="E25" s="43"/>
      <c r="F25" s="43"/>
      <c r="G25" s="43"/>
      <c r="H25" s="43"/>
    </row>
    <row r="26" spans="2:8">
      <c r="B26" s="43"/>
      <c r="C26" s="43"/>
      <c r="D26" s="43"/>
      <c r="E26" s="43"/>
      <c r="F26" s="43"/>
      <c r="G26" s="43"/>
      <c r="H26" s="43"/>
    </row>
    <row r="27" spans="2:8">
      <c r="B27" s="43"/>
      <c r="C27" s="43"/>
      <c r="D27" s="43"/>
      <c r="E27" s="43"/>
      <c r="F27" s="43"/>
      <c r="G27" s="43"/>
      <c r="H27" s="43"/>
    </row>
    <row r="28" spans="2:8">
      <c r="B28" s="43"/>
      <c r="C28" s="43"/>
      <c r="D28" s="43"/>
      <c r="E28" s="43"/>
      <c r="F28" s="43"/>
      <c r="G28" s="43"/>
      <c r="H28" s="43"/>
    </row>
    <row r="29" spans="2:8">
      <c r="B29" s="43"/>
      <c r="C29" s="43"/>
      <c r="D29" s="43"/>
      <c r="E29" s="43"/>
      <c r="F29" s="43"/>
      <c r="G29" s="43"/>
      <c r="H29" s="43"/>
    </row>
    <row r="30" spans="2:8">
      <c r="B30" s="43"/>
      <c r="C30" s="43"/>
      <c r="D30" s="43"/>
      <c r="E30" s="43"/>
      <c r="F30" s="43"/>
      <c r="G30" s="43"/>
      <c r="H30" s="43"/>
    </row>
    <row r="31" spans="2:8">
      <c r="B31" s="43"/>
      <c r="C31" s="43"/>
      <c r="D31" s="43"/>
      <c r="E31" s="43"/>
      <c r="F31" s="43"/>
      <c r="G31" s="43"/>
      <c r="H31" s="43"/>
    </row>
    <row r="32" spans="2:8">
      <c r="B32" s="43"/>
      <c r="C32" s="43"/>
      <c r="D32" s="43"/>
      <c r="E32" s="43"/>
      <c r="F32" s="43"/>
      <c r="G32" s="43"/>
      <c r="H32" s="43"/>
    </row>
    <row r="33" spans="2:8">
      <c r="B33" s="43"/>
      <c r="C33" s="43"/>
      <c r="D33" s="43"/>
      <c r="E33" s="43"/>
      <c r="F33" s="43"/>
      <c r="G33" s="43"/>
      <c r="H33" s="43"/>
    </row>
    <row r="34" spans="2:8">
      <c r="B34" s="43"/>
      <c r="C34" s="43"/>
      <c r="D34" s="43"/>
      <c r="E34" s="43"/>
      <c r="F34" s="43"/>
      <c r="G34" s="43"/>
      <c r="H34" s="43"/>
    </row>
    <row r="35" spans="2:8">
      <c r="B35" s="43"/>
      <c r="C35" s="43"/>
      <c r="D35" s="43"/>
      <c r="E35" s="43"/>
      <c r="F35" s="43"/>
      <c r="G35" s="43"/>
      <c r="H35" s="43"/>
    </row>
    <row r="36" spans="2:8">
      <c r="B36" s="43"/>
      <c r="C36" s="43"/>
      <c r="D36" s="43"/>
      <c r="E36" s="43"/>
      <c r="F36" s="43"/>
      <c r="G36" s="43"/>
      <c r="H36" s="43"/>
    </row>
    <row r="37" spans="2:8">
      <c r="B37" s="43"/>
      <c r="C37" s="43"/>
      <c r="D37" s="43"/>
      <c r="E37" s="43"/>
      <c r="F37" s="43"/>
      <c r="G37" s="43"/>
      <c r="H37" s="43"/>
    </row>
    <row r="38" spans="2:8">
      <c r="B38" s="43"/>
      <c r="C38" s="43"/>
      <c r="D38" s="43"/>
      <c r="E38" s="43"/>
      <c r="F38" s="43"/>
      <c r="G38" s="43"/>
      <c r="H38" s="43"/>
    </row>
    <row r="39" spans="2:8">
      <c r="B39" s="43"/>
      <c r="C39" s="43"/>
      <c r="D39" s="43"/>
      <c r="E39" s="43"/>
      <c r="F39" s="43"/>
      <c r="G39" s="43"/>
      <c r="H39" s="43"/>
    </row>
    <row r="40" spans="2:8">
      <c r="B40" s="43"/>
      <c r="C40" s="43"/>
      <c r="D40" s="43"/>
      <c r="E40" s="43"/>
      <c r="F40" s="43"/>
      <c r="G40" s="43"/>
      <c r="H40" s="43"/>
    </row>
    <row r="41" spans="2:8">
      <c r="B41" s="43"/>
      <c r="C41" s="43"/>
      <c r="D41" s="43"/>
      <c r="E41" s="43"/>
      <c r="F41" s="43"/>
      <c r="G41" s="43"/>
      <c r="H41" s="43"/>
    </row>
    <row r="42" spans="2:8">
      <c r="B42" s="43"/>
      <c r="C42" s="43"/>
      <c r="D42" s="43"/>
      <c r="E42" s="43"/>
      <c r="F42" s="43"/>
      <c r="G42" s="43"/>
      <c r="H42" s="43"/>
    </row>
    <row r="43" spans="2:8">
      <c r="B43" s="43"/>
      <c r="C43" s="43"/>
      <c r="D43" s="43"/>
      <c r="E43" s="43"/>
      <c r="F43" s="43"/>
      <c r="G43" s="43"/>
      <c r="H43" s="43"/>
    </row>
    <row r="44" spans="2:8">
      <c r="B44" s="43"/>
      <c r="C44" s="43"/>
      <c r="D44" s="43"/>
      <c r="E44" s="43"/>
      <c r="F44" s="43"/>
      <c r="G44" s="43"/>
      <c r="H44" s="43"/>
    </row>
    <row r="45" spans="2:8">
      <c r="B45" s="43"/>
      <c r="C45" s="43"/>
      <c r="D45" s="43"/>
      <c r="E45" s="43"/>
      <c r="F45" s="43"/>
      <c r="G45" s="43"/>
      <c r="H45" s="43"/>
    </row>
    <row r="46" spans="2:8">
      <c r="B46" s="43"/>
      <c r="C46" s="43"/>
      <c r="D46" s="43"/>
      <c r="E46" s="43"/>
      <c r="F46" s="43"/>
      <c r="G46" s="43"/>
      <c r="H46" s="43"/>
    </row>
    <row r="47" spans="2:8">
      <c r="B47" s="43"/>
      <c r="C47" s="43"/>
      <c r="D47" s="43"/>
      <c r="E47" s="43"/>
      <c r="F47" s="43"/>
      <c r="G47" s="43"/>
      <c r="H47" s="43"/>
    </row>
    <row r="48" spans="2:8">
      <c r="B48" s="43"/>
      <c r="C48" s="43"/>
      <c r="D48" s="43"/>
      <c r="E48" s="43"/>
      <c r="F48" s="43"/>
      <c r="G48" s="43"/>
      <c r="H48" s="43"/>
    </row>
    <row r="49" spans="2:8">
      <c r="B49" s="43"/>
      <c r="C49" s="43"/>
      <c r="D49" s="43"/>
      <c r="E49" s="43"/>
      <c r="F49" s="43"/>
      <c r="G49" s="43"/>
      <c r="H49" s="43"/>
    </row>
    <row r="50" spans="2:8">
      <c r="B50" s="43"/>
      <c r="C50" s="43"/>
      <c r="D50" s="43"/>
      <c r="E50" s="43"/>
      <c r="F50" s="43"/>
      <c r="G50" s="43"/>
      <c r="H50" s="43"/>
    </row>
    <row r="51" spans="2:8">
      <c r="B51" s="43"/>
      <c r="C51" s="43"/>
      <c r="D51" s="43"/>
      <c r="E51" s="43"/>
      <c r="F51" s="43"/>
      <c r="G51" s="43"/>
      <c r="H51" s="43"/>
    </row>
    <row r="52" spans="2:8">
      <c r="B52" s="43"/>
      <c r="C52" s="43"/>
      <c r="D52" s="43"/>
      <c r="E52" s="43"/>
      <c r="F52" s="43"/>
      <c r="G52" s="43"/>
      <c r="H52" s="43"/>
    </row>
    <row r="53" spans="2:8">
      <c r="B53" s="43"/>
      <c r="C53" s="43"/>
      <c r="D53" s="43"/>
      <c r="E53" s="43"/>
      <c r="F53" s="43"/>
      <c r="G53" s="43"/>
      <c r="H53" s="43"/>
    </row>
    <row r="54" spans="2:8">
      <c r="B54" s="43"/>
      <c r="C54" s="43"/>
      <c r="D54" s="43"/>
      <c r="E54" s="43"/>
      <c r="F54" s="43"/>
      <c r="G54" s="43"/>
      <c r="H54" s="43"/>
    </row>
    <row r="55" spans="2:8">
      <c r="B55" s="43"/>
      <c r="C55" s="43"/>
      <c r="D55" s="43"/>
      <c r="E55" s="43"/>
      <c r="F55" s="43"/>
      <c r="G55" s="43"/>
      <c r="H55" s="43"/>
    </row>
    <row r="56" spans="2:8">
      <c r="B56" s="43"/>
      <c r="C56" s="43"/>
      <c r="D56" s="43"/>
      <c r="E56" s="43"/>
      <c r="F56" s="43"/>
      <c r="G56" s="43"/>
      <c r="H56" s="43"/>
    </row>
    <row r="57" spans="2:8">
      <c r="B57" s="43"/>
      <c r="C57" s="43"/>
      <c r="D57" s="43"/>
      <c r="E57" s="43"/>
      <c r="F57" s="43"/>
      <c r="G57" s="43"/>
      <c r="H57" s="43"/>
    </row>
    <row r="58" spans="2:8">
      <c r="B58" s="43"/>
      <c r="C58" s="43"/>
      <c r="D58" s="43"/>
      <c r="E58" s="43"/>
      <c r="F58" s="43"/>
      <c r="G58" s="43"/>
      <c r="H58" s="43"/>
    </row>
    <row r="59" spans="2:8">
      <c r="B59" s="43"/>
      <c r="C59" s="43"/>
      <c r="D59" s="43"/>
      <c r="E59" s="43"/>
      <c r="F59" s="43"/>
      <c r="G59" s="43"/>
      <c r="H59" s="43"/>
    </row>
    <row r="60" spans="2:8">
      <c r="B60" s="43"/>
      <c r="C60" s="43"/>
      <c r="D60" s="43"/>
      <c r="E60" s="43"/>
      <c r="F60" s="43"/>
      <c r="G60" s="43"/>
      <c r="H60" s="43"/>
    </row>
    <row r="61" spans="2:8">
      <c r="B61" s="43"/>
      <c r="C61" s="43"/>
      <c r="D61" s="43"/>
      <c r="E61" s="43"/>
      <c r="F61" s="43"/>
      <c r="G61" s="43"/>
      <c r="H61" s="43"/>
    </row>
    <row r="62" spans="2:8">
      <c r="B62" s="43"/>
      <c r="C62" s="43"/>
      <c r="D62" s="43"/>
      <c r="E62" s="43"/>
      <c r="F62" s="43"/>
      <c r="G62" s="43"/>
      <c r="H62" s="43"/>
    </row>
    <row r="63" spans="2:8">
      <c r="B63" s="43"/>
      <c r="C63" s="43"/>
      <c r="D63" s="43"/>
      <c r="E63" s="43"/>
      <c r="F63" s="43"/>
      <c r="G63" s="43"/>
      <c r="H63" s="43"/>
    </row>
    <row r="64" spans="2:8">
      <c r="B64" s="43"/>
      <c r="C64" s="43"/>
      <c r="D64" s="43"/>
      <c r="E64" s="43"/>
      <c r="F64" s="43"/>
      <c r="G64" s="43"/>
      <c r="H64" s="43"/>
    </row>
    <row r="65" spans="2:8">
      <c r="B65" s="43"/>
      <c r="C65" s="43"/>
      <c r="D65" s="43"/>
      <c r="E65" s="43"/>
      <c r="F65" s="43"/>
      <c r="G65" s="43"/>
      <c r="H65" s="43"/>
    </row>
    <row r="66" spans="2:8">
      <c r="B66" s="43"/>
      <c r="C66" s="43"/>
      <c r="D66" s="43"/>
      <c r="E66" s="43"/>
      <c r="F66" s="43"/>
      <c r="G66" s="43"/>
      <c r="H66" s="43"/>
    </row>
    <row r="67" spans="2:8">
      <c r="B67" s="43"/>
      <c r="C67" s="43"/>
      <c r="D67" s="43"/>
      <c r="E67" s="43"/>
      <c r="F67" s="43"/>
      <c r="G67" s="43"/>
      <c r="H67" s="43"/>
    </row>
    <row r="68" spans="2:8">
      <c r="B68" s="43"/>
      <c r="C68" s="43"/>
      <c r="D68" s="43"/>
      <c r="E68" s="43"/>
      <c r="F68" s="43"/>
      <c r="G68" s="43"/>
      <c r="H68" s="43"/>
    </row>
    <row r="69" spans="2:8">
      <c r="B69" s="43"/>
      <c r="C69" s="43"/>
      <c r="D69" s="43"/>
      <c r="E69" s="43"/>
      <c r="F69" s="43"/>
      <c r="G69" s="43"/>
      <c r="H69" s="43"/>
    </row>
    <row r="70" spans="2:8">
      <c r="B70" s="43"/>
      <c r="C70" s="43"/>
      <c r="D70" s="43"/>
      <c r="E70" s="43"/>
      <c r="F70" s="43"/>
      <c r="G70" s="43"/>
      <c r="H70" s="43"/>
    </row>
    <row r="71" spans="2:8">
      <c r="B71" s="43"/>
      <c r="C71" s="43"/>
      <c r="D71" s="43"/>
      <c r="E71" s="43"/>
      <c r="F71" s="43"/>
      <c r="G71" s="43"/>
      <c r="H71" s="43"/>
    </row>
    <row r="72" spans="2:8">
      <c r="B72" s="43"/>
      <c r="C72" s="43"/>
      <c r="D72" s="43"/>
      <c r="E72" s="43"/>
      <c r="F72" s="43"/>
      <c r="G72" s="43"/>
      <c r="H72" s="43"/>
    </row>
    <row r="73" spans="2:8">
      <c r="B73" s="43"/>
      <c r="C73" s="43"/>
      <c r="D73" s="43"/>
      <c r="E73" s="43"/>
      <c r="F73" s="43"/>
      <c r="G73" s="43"/>
      <c r="H73" s="43"/>
    </row>
    <row r="74" spans="2:8">
      <c r="B74" s="43"/>
      <c r="C74" s="43"/>
      <c r="D74" s="43"/>
      <c r="E74" s="43"/>
      <c r="F74" s="43"/>
      <c r="G74" s="43"/>
      <c r="H74" s="43"/>
    </row>
    <row r="75" spans="2:8">
      <c r="B75" s="43"/>
      <c r="C75" s="43"/>
      <c r="D75" s="43"/>
      <c r="E75" s="43"/>
      <c r="F75" s="43"/>
      <c r="G75" s="43"/>
      <c r="H75" s="43"/>
    </row>
    <row r="76" spans="2:8">
      <c r="B76" s="43"/>
      <c r="C76" s="43"/>
      <c r="D76" s="43"/>
      <c r="E76" s="43"/>
      <c r="F76" s="43"/>
      <c r="G76" s="43"/>
      <c r="H76" s="43"/>
    </row>
    <row r="77" spans="2:8">
      <c r="B77" s="43"/>
      <c r="C77" s="43"/>
      <c r="D77" s="43"/>
      <c r="E77" s="43"/>
      <c r="F77" s="43"/>
      <c r="G77" s="43"/>
      <c r="H77" s="43"/>
    </row>
    <row r="78" spans="2:8">
      <c r="B78" s="43"/>
      <c r="C78" s="43"/>
      <c r="D78" s="43"/>
      <c r="E78" s="43"/>
      <c r="F78" s="43"/>
      <c r="G78" s="43"/>
      <c r="H78" s="43"/>
    </row>
    <row r="79" spans="2:8">
      <c r="B79" s="43"/>
      <c r="C79" s="43"/>
      <c r="D79" s="43"/>
      <c r="E79" s="43"/>
      <c r="F79" s="43"/>
      <c r="G79" s="43"/>
      <c r="H79" s="43"/>
    </row>
    <row r="80" spans="2:8">
      <c r="B80" s="43"/>
      <c r="C80" s="43"/>
      <c r="D80" s="43"/>
      <c r="E80" s="43"/>
      <c r="F80" s="43"/>
      <c r="G80" s="43"/>
      <c r="H80" s="43"/>
    </row>
    <row r="81" spans="2:8">
      <c r="B81" s="43"/>
      <c r="C81" s="43"/>
      <c r="D81" s="43"/>
      <c r="E81" s="43"/>
      <c r="F81" s="43"/>
      <c r="G81" s="43"/>
      <c r="H81" s="43"/>
    </row>
    <row r="82" spans="2:8">
      <c r="B82" s="43"/>
      <c r="C82" s="43"/>
      <c r="D82" s="43"/>
      <c r="E82" s="43"/>
      <c r="F82" s="43"/>
      <c r="G82" s="43"/>
      <c r="H82" s="43"/>
    </row>
    <row r="83" spans="2:8">
      <c r="B83" s="43"/>
      <c r="C83" s="43"/>
      <c r="D83" s="43"/>
      <c r="E83" s="43"/>
      <c r="F83" s="43"/>
      <c r="G83" s="43"/>
      <c r="H83" s="43"/>
    </row>
    <row r="84" spans="2:8">
      <c r="B84" s="43"/>
      <c r="C84" s="43"/>
      <c r="D84" s="43"/>
      <c r="E84" s="43"/>
      <c r="F84" s="43"/>
      <c r="G84" s="43"/>
      <c r="H84" s="43"/>
    </row>
    <row r="85" spans="2:8">
      <c r="B85" s="43"/>
      <c r="C85" s="43"/>
      <c r="D85" s="43"/>
      <c r="E85" s="43"/>
      <c r="F85" s="43"/>
      <c r="G85" s="43"/>
      <c r="H85" s="43"/>
    </row>
    <row r="86" spans="2:8">
      <c r="B86" s="43"/>
      <c r="C86" s="43"/>
      <c r="D86" s="43"/>
      <c r="E86" s="43"/>
      <c r="F86" s="43"/>
      <c r="G86" s="43"/>
      <c r="H86" s="43"/>
    </row>
    <row r="87" spans="2:8">
      <c r="B87" s="43"/>
      <c r="C87" s="43"/>
      <c r="D87" s="43"/>
      <c r="E87" s="43"/>
      <c r="F87" s="43"/>
      <c r="G87" s="43"/>
      <c r="H87" s="43"/>
    </row>
    <row r="88" spans="2:8">
      <c r="B88" s="43"/>
      <c r="C88" s="43"/>
      <c r="D88" s="43"/>
      <c r="E88" s="43"/>
      <c r="F88" s="43"/>
      <c r="G88" s="43"/>
      <c r="H88" s="43"/>
    </row>
    <row r="89" spans="2:8">
      <c r="B89" s="43"/>
      <c r="C89" s="43"/>
      <c r="D89" s="43"/>
      <c r="E89" s="43"/>
      <c r="F89" s="43"/>
      <c r="G89" s="43"/>
      <c r="H89" s="43"/>
    </row>
    <row r="90" spans="2:8">
      <c r="B90" s="43"/>
      <c r="C90" s="43"/>
      <c r="D90" s="43"/>
      <c r="E90" s="43"/>
      <c r="F90" s="43"/>
      <c r="G90" s="43"/>
      <c r="H90" s="43"/>
    </row>
    <row r="91" spans="2:8">
      <c r="B91" s="43"/>
      <c r="C91" s="43"/>
      <c r="D91" s="43"/>
      <c r="E91" s="43"/>
      <c r="F91" s="43"/>
      <c r="G91" s="43"/>
      <c r="H91" s="43"/>
    </row>
    <row r="92" spans="2:8">
      <c r="B92" s="43"/>
      <c r="C92" s="43"/>
      <c r="D92" s="43"/>
      <c r="E92" s="43"/>
      <c r="F92" s="43"/>
      <c r="G92" s="43"/>
      <c r="H92" s="43"/>
    </row>
    <row r="93" spans="2:8">
      <c r="B93" s="43"/>
      <c r="C93" s="43"/>
      <c r="D93" s="43"/>
      <c r="E93" s="43"/>
      <c r="F93" s="43"/>
      <c r="G93" s="43"/>
      <c r="H93" s="43"/>
    </row>
    <row r="94" spans="2:8">
      <c r="B94" s="43"/>
      <c r="C94" s="43"/>
      <c r="D94" s="43"/>
      <c r="E94" s="43"/>
      <c r="F94" s="43"/>
      <c r="G94" s="43"/>
      <c r="H94" s="43"/>
    </row>
    <row r="95" spans="2:8">
      <c r="B95" s="43"/>
      <c r="C95" s="43"/>
      <c r="D95" s="43"/>
      <c r="E95" s="43"/>
      <c r="F95" s="43"/>
      <c r="G95" s="43"/>
      <c r="H95" s="43"/>
    </row>
    <row r="96" spans="2:8">
      <c r="B96" s="43"/>
      <c r="C96" s="43"/>
      <c r="D96" s="43"/>
      <c r="E96" s="43"/>
      <c r="F96" s="43"/>
      <c r="G96" s="43"/>
      <c r="H96" s="43"/>
    </row>
    <row r="97" spans="2:8">
      <c r="B97" s="43"/>
      <c r="C97" s="43"/>
      <c r="D97" s="43"/>
      <c r="E97" s="43"/>
      <c r="F97" s="43"/>
      <c r="G97" s="43"/>
      <c r="H97" s="43"/>
    </row>
    <row r="98" spans="2:8">
      <c r="B98" s="43"/>
      <c r="C98" s="43"/>
      <c r="D98" s="43"/>
      <c r="E98" s="43"/>
      <c r="F98" s="43"/>
      <c r="G98" s="43"/>
      <c r="H98" s="43"/>
    </row>
    <row r="99" spans="2:8">
      <c r="B99" s="43"/>
      <c r="C99" s="43"/>
      <c r="D99" s="43"/>
      <c r="E99" s="43"/>
      <c r="F99" s="43"/>
      <c r="G99" s="43"/>
      <c r="H99" s="43"/>
    </row>
    <row r="100" spans="2:8">
      <c r="B100" s="43"/>
      <c r="C100" s="43"/>
      <c r="D100" s="43"/>
      <c r="E100" s="43"/>
      <c r="F100" s="43"/>
      <c r="G100" s="43"/>
      <c r="H100" s="43"/>
    </row>
    <row r="101" spans="2:8">
      <c r="B101" s="43"/>
      <c r="C101" s="43"/>
      <c r="D101" s="43"/>
      <c r="E101" s="43"/>
      <c r="F101" s="43"/>
      <c r="G101" s="43"/>
      <c r="H101" s="43"/>
    </row>
    <row r="102" spans="2:8">
      <c r="B102" s="43"/>
      <c r="C102" s="43"/>
      <c r="D102" s="43"/>
      <c r="E102" s="43"/>
      <c r="F102" s="43"/>
      <c r="G102" s="43"/>
      <c r="H102" s="43"/>
    </row>
    <row r="103" spans="2:8">
      <c r="B103" s="43"/>
      <c r="C103" s="43"/>
      <c r="D103" s="43"/>
      <c r="E103" s="43"/>
      <c r="F103" s="43"/>
      <c r="G103" s="43"/>
      <c r="H103" s="43"/>
    </row>
    <row r="104" spans="2:8">
      <c r="B104" s="43"/>
      <c r="C104" s="43"/>
      <c r="D104" s="43"/>
      <c r="E104" s="43"/>
      <c r="F104" s="43"/>
      <c r="G104" s="43"/>
      <c r="H104" s="43"/>
    </row>
    <row r="105" spans="2:8">
      <c r="B105" s="43"/>
      <c r="C105" s="43"/>
      <c r="D105" s="43"/>
      <c r="E105" s="43"/>
      <c r="F105" s="43"/>
      <c r="G105" s="43"/>
      <c r="H105" s="43"/>
    </row>
    <row r="106" spans="2:8">
      <c r="B106" s="43"/>
      <c r="C106" s="43"/>
      <c r="D106" s="43"/>
      <c r="E106" s="43"/>
      <c r="F106" s="43"/>
      <c r="G106" s="43"/>
      <c r="H106" s="43"/>
    </row>
    <row r="107" spans="2:8">
      <c r="B107" s="43"/>
      <c r="C107" s="43"/>
      <c r="D107" s="43"/>
      <c r="E107" s="43"/>
      <c r="F107" s="43"/>
      <c r="G107" s="43"/>
      <c r="H107" s="43"/>
    </row>
    <row r="108" spans="2:8">
      <c r="B108" s="43"/>
      <c r="C108" s="43"/>
      <c r="D108" s="43"/>
      <c r="E108" s="43"/>
      <c r="F108" s="43"/>
      <c r="G108" s="43"/>
      <c r="H108" s="43"/>
    </row>
    <row r="109" spans="2:8">
      <c r="B109" s="43"/>
      <c r="C109" s="43"/>
      <c r="D109" s="43"/>
      <c r="E109" s="43"/>
      <c r="F109" s="43"/>
      <c r="G109" s="43"/>
      <c r="H109" s="43"/>
    </row>
    <row r="110" spans="2:8">
      <c r="B110" s="43"/>
      <c r="C110" s="43"/>
      <c r="D110" s="43"/>
      <c r="E110" s="43"/>
      <c r="F110" s="43"/>
      <c r="G110" s="43"/>
      <c r="H110" s="43"/>
    </row>
    <row r="111" spans="2:8">
      <c r="B111" s="43"/>
      <c r="C111" s="43"/>
      <c r="D111" s="43"/>
      <c r="E111" s="43"/>
      <c r="F111" s="43"/>
      <c r="G111" s="43"/>
      <c r="H111" s="43"/>
    </row>
    <row r="112" spans="2:8">
      <c r="B112" s="43"/>
      <c r="C112" s="43"/>
      <c r="D112" s="43"/>
      <c r="E112" s="43"/>
      <c r="F112" s="43"/>
      <c r="G112" s="43"/>
      <c r="H112" s="43"/>
    </row>
    <row r="113" spans="2:8">
      <c r="B113" s="43"/>
      <c r="C113" s="43"/>
      <c r="D113" s="43"/>
      <c r="E113" s="43"/>
      <c r="F113" s="43"/>
      <c r="G113" s="43"/>
      <c r="H113" s="43"/>
    </row>
    <row r="114" spans="2:8">
      <c r="B114" s="43"/>
      <c r="C114" s="43"/>
      <c r="D114" s="43"/>
      <c r="E114" s="43"/>
      <c r="F114" s="43"/>
      <c r="G114" s="43"/>
      <c r="H114" s="43"/>
    </row>
    <row r="115" spans="2:8">
      <c r="B115" s="43"/>
      <c r="C115" s="43"/>
      <c r="D115" s="43"/>
      <c r="E115" s="43"/>
      <c r="F115" s="43"/>
      <c r="G115" s="43"/>
      <c r="H115" s="43"/>
    </row>
    <row r="116" spans="2:8">
      <c r="B116" s="43"/>
      <c r="C116" s="43"/>
      <c r="D116" s="43"/>
      <c r="E116" s="43"/>
      <c r="F116" s="43"/>
      <c r="G116" s="43"/>
      <c r="H116" s="43"/>
    </row>
    <row r="117" spans="2:8">
      <c r="B117" s="43"/>
      <c r="C117" s="43"/>
      <c r="D117" s="43"/>
      <c r="E117" s="43"/>
      <c r="F117" s="43"/>
      <c r="G117" s="43"/>
      <c r="H117" s="43"/>
    </row>
    <row r="118" spans="2:8">
      <c r="B118" s="43"/>
      <c r="C118" s="43"/>
      <c r="D118" s="43"/>
      <c r="E118" s="43"/>
      <c r="F118" s="43"/>
      <c r="G118" s="43"/>
      <c r="H118" s="43"/>
    </row>
    <row r="119" spans="2:8">
      <c r="B119" s="43"/>
      <c r="C119" s="43"/>
      <c r="D119" s="43"/>
      <c r="E119" s="43"/>
      <c r="F119" s="43"/>
      <c r="G119" s="43"/>
      <c r="H119" s="43"/>
    </row>
    <row r="120" spans="2:8">
      <c r="B120" s="43"/>
      <c r="C120" s="43"/>
      <c r="D120" s="43"/>
      <c r="E120" s="43"/>
      <c r="F120" s="43"/>
      <c r="G120" s="43"/>
      <c r="H120" s="43"/>
    </row>
    <row r="121" spans="2:8">
      <c r="B121" s="43"/>
      <c r="C121" s="43"/>
      <c r="D121" s="43"/>
      <c r="E121" s="43"/>
      <c r="F121" s="43"/>
      <c r="G121" s="43"/>
      <c r="H121" s="43"/>
    </row>
    <row r="122" spans="2:8">
      <c r="B122" s="43"/>
      <c r="C122" s="43"/>
      <c r="D122" s="43"/>
      <c r="E122" s="43"/>
      <c r="F122" s="43"/>
      <c r="G122" s="43"/>
      <c r="H122" s="43"/>
    </row>
    <row r="123" spans="2:8">
      <c r="B123" s="43"/>
      <c r="C123" s="43"/>
      <c r="D123" s="43"/>
      <c r="E123" s="43"/>
      <c r="F123" s="43"/>
      <c r="G123" s="43"/>
      <c r="H123" s="43"/>
    </row>
    <row r="124" spans="2:8">
      <c r="B124" s="43"/>
      <c r="C124" s="43"/>
      <c r="D124" s="43"/>
      <c r="E124" s="43"/>
      <c r="F124" s="43"/>
      <c r="G124" s="43"/>
      <c r="H124" s="43"/>
    </row>
    <row r="125" spans="2:8">
      <c r="B125" s="43"/>
      <c r="C125" s="43"/>
      <c r="D125" s="43"/>
      <c r="E125" s="43"/>
      <c r="F125" s="43"/>
      <c r="G125" s="43"/>
      <c r="H125" s="43"/>
    </row>
    <row r="126" spans="2:8">
      <c r="B126" s="43"/>
      <c r="C126" s="43"/>
      <c r="D126" s="43"/>
      <c r="E126" s="43"/>
      <c r="F126" s="43"/>
      <c r="G126" s="43"/>
      <c r="H126" s="43"/>
    </row>
    <row r="127" spans="2:8">
      <c r="B127" s="43"/>
      <c r="C127" s="43"/>
      <c r="D127" s="43"/>
      <c r="E127" s="43"/>
      <c r="F127" s="43"/>
      <c r="G127" s="43"/>
      <c r="H127" s="43"/>
    </row>
    <row r="128" spans="2:8">
      <c r="B128" s="43"/>
      <c r="C128" s="43"/>
      <c r="D128" s="43"/>
      <c r="E128" s="43"/>
      <c r="F128" s="43"/>
      <c r="G128" s="43"/>
      <c r="H128" s="43"/>
    </row>
    <row r="129" spans="2:8">
      <c r="B129" s="43"/>
      <c r="C129" s="43"/>
      <c r="D129" s="43"/>
      <c r="E129" s="43"/>
      <c r="F129" s="43"/>
      <c r="G129" s="43"/>
      <c r="H129" s="43"/>
    </row>
    <row r="130" spans="2:8">
      <c r="B130" s="43"/>
      <c r="C130" s="43"/>
      <c r="D130" s="43"/>
      <c r="E130" s="43"/>
      <c r="F130" s="43"/>
      <c r="G130" s="43"/>
      <c r="H130" s="43"/>
    </row>
    <row r="131" spans="2:8">
      <c r="B131" s="43"/>
      <c r="C131" s="43"/>
      <c r="D131" s="43"/>
      <c r="E131" s="43"/>
      <c r="F131" s="43"/>
      <c r="G131" s="43"/>
      <c r="H131" s="43"/>
    </row>
    <row r="132" spans="2:8">
      <c r="B132" s="43"/>
      <c r="C132" s="43"/>
      <c r="D132" s="43"/>
      <c r="E132" s="43"/>
      <c r="F132" s="43"/>
      <c r="G132" s="43"/>
      <c r="H132" s="43"/>
    </row>
    <row r="133" spans="2:8">
      <c r="B133" s="43"/>
      <c r="C133" s="43"/>
      <c r="D133" s="43"/>
      <c r="E133" s="43"/>
      <c r="F133" s="43"/>
      <c r="G133" s="43"/>
      <c r="H133" s="43"/>
    </row>
    <row r="134" spans="2:8">
      <c r="B134" s="43"/>
      <c r="C134" s="43"/>
      <c r="D134" s="43"/>
      <c r="E134" s="43"/>
      <c r="F134" s="43"/>
      <c r="G134" s="43"/>
      <c r="H134" s="43"/>
    </row>
    <row r="135" spans="2:8">
      <c r="B135" s="43"/>
      <c r="C135" s="43"/>
      <c r="D135" s="43"/>
      <c r="E135" s="43"/>
      <c r="F135" s="43"/>
      <c r="G135" s="43"/>
      <c r="H135" s="43"/>
    </row>
    <row r="136" spans="2:8">
      <c r="B136" s="43"/>
      <c r="C136" s="43"/>
      <c r="D136" s="43"/>
      <c r="E136" s="43"/>
      <c r="F136" s="43"/>
      <c r="G136" s="43"/>
      <c r="H136" s="43"/>
    </row>
    <row r="137" spans="2:8">
      <c r="B137" s="43"/>
      <c r="C137" s="43"/>
      <c r="D137" s="43"/>
      <c r="E137" s="43"/>
      <c r="F137" s="43"/>
      <c r="G137" s="43"/>
      <c r="H137" s="43"/>
    </row>
    <row r="138" spans="2:8">
      <c r="B138" s="43"/>
      <c r="C138" s="43"/>
      <c r="D138" s="43"/>
      <c r="E138" s="43"/>
      <c r="F138" s="43"/>
      <c r="G138" s="43"/>
      <c r="H138" s="43"/>
    </row>
    <row r="139" spans="2:8">
      <c r="B139" s="43"/>
      <c r="C139" s="43"/>
      <c r="D139" s="43"/>
      <c r="E139" s="43"/>
      <c r="F139" s="43"/>
      <c r="G139" s="43"/>
      <c r="H139" s="43"/>
    </row>
    <row r="140" spans="2:8">
      <c r="B140" s="43"/>
      <c r="C140" s="43"/>
      <c r="D140" s="43"/>
      <c r="E140" s="43"/>
      <c r="F140" s="43"/>
      <c r="G140" s="43"/>
      <c r="H140" s="43"/>
    </row>
    <row r="141" spans="2:8">
      <c r="B141" s="43"/>
      <c r="C141" s="43"/>
      <c r="D141" s="43"/>
      <c r="E141" s="43"/>
      <c r="F141" s="43"/>
      <c r="G141" s="43"/>
      <c r="H141" s="43"/>
    </row>
    <row r="142" spans="2:8">
      <c r="B142" s="43"/>
      <c r="C142" s="43"/>
      <c r="D142" s="43"/>
      <c r="E142" s="43"/>
      <c r="F142" s="43"/>
      <c r="G142" s="43"/>
      <c r="H142" s="43"/>
    </row>
    <row r="143" spans="2:8">
      <c r="B143" s="43"/>
      <c r="C143" s="43"/>
      <c r="D143" s="43"/>
      <c r="E143" s="43"/>
      <c r="F143" s="43"/>
      <c r="G143" s="43"/>
      <c r="H143" s="43"/>
    </row>
    <row r="144" spans="2:8">
      <c r="B144" s="43"/>
      <c r="C144" s="43"/>
      <c r="D144" s="43"/>
      <c r="E144" s="43"/>
      <c r="F144" s="43"/>
      <c r="G144" s="43"/>
      <c r="H144" s="43"/>
    </row>
    <row r="145" spans="2:8">
      <c r="B145" s="43"/>
      <c r="C145" s="43"/>
      <c r="D145" s="43"/>
      <c r="E145" s="43"/>
      <c r="F145" s="43"/>
      <c r="G145" s="43"/>
      <c r="H145" s="43"/>
    </row>
    <row r="146" spans="2:8">
      <c r="B146" s="43"/>
      <c r="C146" s="43"/>
      <c r="D146" s="43"/>
      <c r="E146" s="43"/>
      <c r="F146" s="43"/>
      <c r="G146" s="43"/>
      <c r="H146" s="43"/>
    </row>
    <row r="147" spans="2:8">
      <c r="B147" s="43"/>
      <c r="C147" s="43"/>
      <c r="D147" s="43"/>
      <c r="E147" s="43"/>
      <c r="F147" s="43"/>
      <c r="G147" s="43"/>
      <c r="H147" s="43"/>
    </row>
    <row r="148" spans="2:8">
      <c r="B148" s="43"/>
      <c r="C148" s="43"/>
      <c r="D148" s="43"/>
      <c r="E148" s="43"/>
      <c r="F148" s="43"/>
      <c r="G148" s="43"/>
      <c r="H148" s="43"/>
    </row>
    <row r="149" spans="2:8">
      <c r="B149" s="43"/>
      <c r="C149" s="43"/>
      <c r="D149" s="43"/>
      <c r="E149" s="43"/>
      <c r="F149" s="43"/>
      <c r="G149" s="43"/>
      <c r="H149" s="43"/>
    </row>
    <row r="150" spans="2:8">
      <c r="B150" s="43"/>
      <c r="C150" s="43"/>
      <c r="D150" s="43"/>
      <c r="E150" s="43"/>
      <c r="F150" s="43"/>
      <c r="G150" s="43"/>
      <c r="H150" s="43"/>
    </row>
    <row r="151" spans="2:8">
      <c r="B151" s="43"/>
      <c r="C151" s="43"/>
      <c r="D151" s="43"/>
      <c r="E151" s="43"/>
      <c r="F151" s="43"/>
      <c r="G151" s="43"/>
      <c r="H151" s="43"/>
    </row>
    <row r="152" spans="2:8">
      <c r="B152" s="43"/>
      <c r="C152" s="43"/>
      <c r="D152" s="43"/>
      <c r="E152" s="43"/>
      <c r="F152" s="43"/>
      <c r="G152" s="43"/>
      <c r="H152" s="43"/>
    </row>
    <row r="153" spans="2:8">
      <c r="B153" s="43"/>
      <c r="C153" s="43"/>
      <c r="D153" s="43"/>
      <c r="E153" s="43"/>
      <c r="F153" s="43"/>
      <c r="G153" s="43"/>
      <c r="H153" s="43"/>
    </row>
    <row r="154" spans="2:8">
      <c r="B154" s="43"/>
      <c r="C154" s="43"/>
      <c r="D154" s="43"/>
      <c r="E154" s="43"/>
      <c r="F154" s="43"/>
      <c r="G154" s="43"/>
      <c r="H154" s="43"/>
    </row>
    <row r="155" spans="2:8">
      <c r="B155" s="43"/>
      <c r="C155" s="43"/>
      <c r="D155" s="43"/>
      <c r="E155" s="43"/>
      <c r="F155" s="43"/>
      <c r="G155" s="43"/>
      <c r="H155" s="43"/>
    </row>
    <row r="156" spans="2:8">
      <c r="B156" s="43"/>
      <c r="C156" s="43"/>
      <c r="D156" s="43"/>
      <c r="E156" s="43"/>
      <c r="F156" s="43"/>
      <c r="G156" s="43"/>
      <c r="H156" s="43"/>
    </row>
    <row r="157" spans="2:8">
      <c r="B157" s="43"/>
      <c r="C157" s="43"/>
      <c r="D157" s="43"/>
      <c r="E157" s="43"/>
      <c r="F157" s="43"/>
      <c r="G157" s="43"/>
      <c r="H157" s="43"/>
    </row>
    <row r="158" spans="2:8">
      <c r="B158" s="43"/>
      <c r="C158" s="43"/>
      <c r="D158" s="43"/>
      <c r="E158" s="43"/>
      <c r="F158" s="43"/>
      <c r="G158" s="43"/>
      <c r="H158" s="43"/>
    </row>
    <row r="159" spans="2:8">
      <c r="B159" s="43"/>
      <c r="C159" s="43"/>
      <c r="D159" s="43"/>
      <c r="E159" s="43"/>
      <c r="F159" s="43"/>
      <c r="G159" s="43"/>
      <c r="H159" s="43"/>
    </row>
    <row r="160" spans="2:8">
      <c r="B160" s="43"/>
      <c r="C160" s="43"/>
      <c r="D160" s="43"/>
      <c r="E160" s="43"/>
      <c r="F160" s="43"/>
      <c r="G160" s="43"/>
      <c r="H160" s="43"/>
    </row>
    <row r="161" spans="2:8">
      <c r="B161" s="43"/>
      <c r="C161" s="43"/>
      <c r="D161" s="43"/>
      <c r="E161" s="43"/>
      <c r="F161" s="43"/>
      <c r="G161" s="43"/>
      <c r="H161" s="43"/>
    </row>
    <row r="162" spans="2:8">
      <c r="B162" s="43"/>
      <c r="C162" s="43"/>
      <c r="D162" s="43"/>
      <c r="E162" s="43"/>
      <c r="F162" s="43"/>
      <c r="G162" s="43"/>
      <c r="H162" s="43"/>
    </row>
    <row r="163" spans="2:8">
      <c r="B163" s="43"/>
      <c r="C163" s="43"/>
      <c r="D163" s="43"/>
      <c r="E163" s="43"/>
      <c r="F163" s="43"/>
      <c r="G163" s="43"/>
      <c r="H163" s="43"/>
    </row>
    <row r="164" spans="2:8">
      <c r="B164" s="43"/>
      <c r="C164" s="43"/>
      <c r="D164" s="43"/>
      <c r="E164" s="43"/>
      <c r="F164" s="43"/>
      <c r="G164" s="43"/>
      <c r="H164" s="43"/>
    </row>
    <row r="165" spans="2:8">
      <c r="B165" s="43"/>
      <c r="C165" s="43"/>
      <c r="D165" s="43"/>
      <c r="E165" s="43"/>
      <c r="F165" s="43"/>
      <c r="G165" s="43"/>
      <c r="H165" s="43"/>
    </row>
    <row r="166" spans="2:8">
      <c r="B166" s="43"/>
      <c r="C166" s="43"/>
      <c r="D166" s="43"/>
      <c r="E166" s="43"/>
      <c r="F166" s="43"/>
      <c r="G166" s="43"/>
      <c r="H166" s="43"/>
    </row>
    <row r="167" spans="2:8">
      <c r="B167" s="43"/>
      <c r="C167" s="43"/>
      <c r="D167" s="43"/>
      <c r="E167" s="43"/>
      <c r="F167" s="43"/>
      <c r="G167" s="43"/>
      <c r="H167" s="43"/>
    </row>
    <row r="168" spans="2:8">
      <c r="B168" s="43"/>
      <c r="C168" s="43"/>
      <c r="D168" s="43"/>
      <c r="E168" s="43"/>
      <c r="F168" s="43"/>
      <c r="G168" s="43"/>
      <c r="H168" s="43"/>
    </row>
    <row r="169" spans="2:8">
      <c r="B169" s="43"/>
      <c r="C169" s="43"/>
      <c r="D169" s="43"/>
      <c r="E169" s="43"/>
      <c r="F169" s="43"/>
      <c r="G169" s="43"/>
      <c r="H169" s="43"/>
    </row>
    <row r="170" spans="2:8">
      <c r="B170" s="43"/>
      <c r="C170" s="43"/>
      <c r="D170" s="43"/>
      <c r="E170" s="43"/>
      <c r="F170" s="43"/>
      <c r="G170" s="43"/>
      <c r="H170" s="43"/>
    </row>
    <row r="171" spans="2:8">
      <c r="B171" s="43"/>
      <c r="C171" s="43"/>
      <c r="D171" s="43"/>
      <c r="E171" s="43"/>
      <c r="F171" s="43"/>
      <c r="G171" s="43"/>
      <c r="H171" s="43"/>
    </row>
    <row r="172" spans="2:8">
      <c r="B172" s="43"/>
      <c r="C172" s="43"/>
      <c r="D172" s="43"/>
      <c r="E172" s="43"/>
      <c r="F172" s="43"/>
      <c r="G172" s="43"/>
      <c r="H172" s="43"/>
    </row>
    <row r="173" spans="2:8">
      <c r="B173" s="43"/>
      <c r="C173" s="43"/>
      <c r="D173" s="43"/>
      <c r="E173" s="43"/>
      <c r="F173" s="43"/>
      <c r="G173" s="43"/>
      <c r="H173" s="43"/>
    </row>
    <row r="174" spans="2:8">
      <c r="B174" s="43"/>
      <c r="C174" s="43"/>
      <c r="D174" s="43"/>
      <c r="E174" s="43"/>
      <c r="F174" s="43"/>
      <c r="G174" s="43"/>
      <c r="H174" s="43"/>
    </row>
    <row r="175" spans="2:8">
      <c r="B175" s="43"/>
      <c r="C175" s="43"/>
      <c r="D175" s="43"/>
      <c r="E175" s="43"/>
      <c r="F175" s="43"/>
      <c r="G175" s="43"/>
      <c r="H175" s="43"/>
    </row>
    <row r="176" spans="2:8">
      <c r="B176" s="43"/>
      <c r="C176" s="43"/>
      <c r="D176" s="43"/>
      <c r="E176" s="43"/>
      <c r="F176" s="43"/>
      <c r="G176" s="43"/>
      <c r="H176" s="43"/>
    </row>
    <row r="177" spans="2:8">
      <c r="B177" s="43"/>
      <c r="C177" s="43"/>
      <c r="D177" s="43"/>
      <c r="E177" s="43"/>
      <c r="F177" s="43"/>
      <c r="G177" s="43"/>
      <c r="H177" s="43"/>
    </row>
    <row r="178" spans="2:8">
      <c r="B178" s="43"/>
      <c r="C178" s="43"/>
      <c r="D178" s="43"/>
      <c r="E178" s="43"/>
      <c r="F178" s="43"/>
      <c r="G178" s="43"/>
      <c r="H178" s="43"/>
    </row>
    <row r="179" spans="2:8">
      <c r="B179" s="43"/>
      <c r="C179" s="43"/>
      <c r="D179" s="43"/>
      <c r="E179" s="43"/>
      <c r="F179" s="43"/>
      <c r="G179" s="43"/>
      <c r="H179" s="43"/>
    </row>
    <row r="180" spans="2:8">
      <c r="B180" s="43"/>
      <c r="C180" s="43"/>
      <c r="D180" s="43"/>
      <c r="E180" s="43"/>
      <c r="F180" s="43"/>
      <c r="G180" s="43"/>
      <c r="H180" s="43"/>
    </row>
    <row r="181" spans="2:8">
      <c r="B181" s="43"/>
      <c r="C181" s="43"/>
      <c r="D181" s="43"/>
      <c r="E181" s="43"/>
      <c r="F181" s="43"/>
      <c r="G181" s="43"/>
      <c r="H181" s="43"/>
    </row>
    <row r="182" spans="2:8">
      <c r="B182" s="43"/>
      <c r="C182" s="43"/>
      <c r="D182" s="43"/>
      <c r="E182" s="43"/>
      <c r="F182" s="43"/>
      <c r="G182" s="43"/>
      <c r="H182" s="43"/>
    </row>
    <row r="183" spans="2:8">
      <c r="B183" s="43"/>
      <c r="C183" s="43"/>
      <c r="D183" s="43"/>
      <c r="E183" s="43"/>
      <c r="F183" s="43"/>
      <c r="G183" s="43"/>
      <c r="H183" s="43"/>
    </row>
    <row r="184" spans="2:8">
      <c r="B184" s="43"/>
      <c r="C184" s="43"/>
      <c r="D184" s="43"/>
      <c r="E184" s="43"/>
      <c r="F184" s="43"/>
      <c r="G184" s="43"/>
      <c r="H184" s="43"/>
    </row>
    <row r="185" spans="2:8">
      <c r="B185" s="43"/>
      <c r="C185" s="43"/>
      <c r="D185" s="43"/>
      <c r="E185" s="43"/>
      <c r="F185" s="43"/>
      <c r="G185" s="43"/>
      <c r="H185" s="43"/>
    </row>
    <row r="186" spans="2:8">
      <c r="B186" s="43"/>
      <c r="C186" s="43"/>
      <c r="D186" s="43"/>
      <c r="E186" s="43"/>
      <c r="F186" s="43"/>
      <c r="G186" s="43"/>
      <c r="H186" s="43"/>
    </row>
    <row r="187" spans="2:8">
      <c r="B187" s="43"/>
      <c r="C187" s="43"/>
      <c r="D187" s="43"/>
      <c r="E187" s="43"/>
      <c r="F187" s="43"/>
      <c r="G187" s="43"/>
      <c r="H187" s="43"/>
    </row>
    <row r="188" spans="2:8">
      <c r="B188" s="43"/>
      <c r="C188" s="43"/>
      <c r="D188" s="43"/>
      <c r="E188" s="43"/>
      <c r="F188" s="43"/>
      <c r="G188" s="43"/>
      <c r="H188" s="43"/>
    </row>
    <row r="189" spans="2:8">
      <c r="B189" s="43"/>
      <c r="C189" s="43"/>
      <c r="D189" s="43"/>
      <c r="E189" s="43"/>
      <c r="F189" s="43"/>
      <c r="G189" s="43"/>
      <c r="H189" s="43"/>
    </row>
    <row r="190" spans="2:8">
      <c r="B190" s="43"/>
      <c r="C190" s="43"/>
      <c r="D190" s="43"/>
      <c r="E190" s="43"/>
      <c r="F190" s="43"/>
      <c r="G190" s="43"/>
      <c r="H190" s="43"/>
    </row>
    <row r="191" spans="2:8">
      <c r="B191" s="43"/>
      <c r="C191" s="43"/>
      <c r="D191" s="43"/>
      <c r="E191" s="43"/>
      <c r="F191" s="43"/>
      <c r="G191" s="43"/>
      <c r="H191" s="43"/>
    </row>
    <row r="192" spans="2:8">
      <c r="B192" s="43"/>
      <c r="C192" s="43"/>
      <c r="D192" s="43"/>
      <c r="E192" s="43"/>
      <c r="F192" s="43"/>
      <c r="G192" s="43"/>
      <c r="H192" s="43"/>
    </row>
    <row r="193" spans="2:8">
      <c r="B193" s="43"/>
      <c r="C193" s="43"/>
      <c r="D193" s="43"/>
      <c r="E193" s="43"/>
      <c r="F193" s="43"/>
      <c r="G193" s="43"/>
      <c r="H193" s="43"/>
    </row>
    <row r="194" spans="2:8">
      <c r="B194" s="43"/>
      <c r="C194" s="43"/>
      <c r="D194" s="43"/>
      <c r="E194" s="43"/>
      <c r="F194" s="43"/>
      <c r="G194" s="43"/>
      <c r="H194" s="43"/>
    </row>
    <row r="195" spans="2:8">
      <c r="B195" s="43"/>
      <c r="C195" s="43"/>
      <c r="D195" s="43"/>
      <c r="E195" s="43"/>
      <c r="F195" s="43"/>
      <c r="G195" s="43"/>
      <c r="H195" s="43"/>
    </row>
    <row r="196" spans="2:8">
      <c r="B196" s="43"/>
      <c r="C196" s="43"/>
      <c r="D196" s="43"/>
      <c r="E196" s="43"/>
      <c r="F196" s="43"/>
      <c r="G196" s="43"/>
      <c r="H196" s="43"/>
    </row>
    <row r="197" spans="2:8">
      <c r="B197" s="43"/>
      <c r="C197" s="43"/>
      <c r="D197" s="43"/>
      <c r="E197" s="43"/>
      <c r="F197" s="43"/>
      <c r="G197" s="43"/>
      <c r="H197" s="43"/>
    </row>
    <row r="198" spans="2:8">
      <c r="B198" s="43"/>
      <c r="C198" s="43"/>
      <c r="D198" s="43"/>
      <c r="E198" s="43"/>
      <c r="F198" s="43"/>
      <c r="G198" s="43"/>
      <c r="H198" s="43"/>
    </row>
    <row r="199" spans="2:8">
      <c r="B199" s="43"/>
      <c r="C199" s="43"/>
      <c r="D199" s="43"/>
      <c r="E199" s="43"/>
      <c r="F199" s="43"/>
      <c r="G199" s="43"/>
      <c r="H199" s="43"/>
    </row>
    <row r="200" spans="2:8">
      <c r="B200" s="43"/>
      <c r="C200" s="43"/>
      <c r="D200" s="43"/>
      <c r="E200" s="43"/>
      <c r="F200" s="43"/>
      <c r="G200" s="43"/>
      <c r="H200" s="43"/>
    </row>
    <row r="201" spans="2:8">
      <c r="B201" s="43"/>
      <c r="C201" s="43"/>
      <c r="D201" s="43"/>
      <c r="E201" s="43"/>
      <c r="F201" s="43"/>
      <c r="G201" s="43"/>
      <c r="H201" s="43"/>
    </row>
    <row r="202" spans="2:8">
      <c r="B202" s="43"/>
      <c r="C202" s="43"/>
      <c r="D202" s="43"/>
      <c r="E202" s="43"/>
      <c r="F202" s="43"/>
      <c r="G202" s="43"/>
      <c r="H202" s="43"/>
    </row>
    <row r="203" spans="2:8">
      <c r="B203" s="43"/>
      <c r="C203" s="43"/>
      <c r="D203" s="43"/>
      <c r="E203" s="43"/>
      <c r="F203" s="43"/>
      <c r="G203" s="43"/>
      <c r="H203" s="43"/>
    </row>
    <row r="204" spans="2:8">
      <c r="B204" s="43"/>
      <c r="C204" s="43"/>
      <c r="D204" s="43"/>
      <c r="E204" s="43"/>
      <c r="F204" s="43"/>
      <c r="G204" s="43"/>
      <c r="H204" s="43"/>
    </row>
    <row r="205" spans="2:8">
      <c r="B205" s="43"/>
      <c r="C205" s="43"/>
      <c r="D205" s="43"/>
      <c r="E205" s="43"/>
      <c r="F205" s="43"/>
      <c r="G205" s="43"/>
      <c r="H205" s="43"/>
    </row>
    <row r="206" spans="2:8">
      <c r="B206" s="43"/>
      <c r="C206" s="43"/>
      <c r="D206" s="43"/>
      <c r="E206" s="43"/>
      <c r="F206" s="43"/>
      <c r="G206" s="43"/>
      <c r="H206" s="43"/>
    </row>
    <row r="207" spans="2:8">
      <c r="B207" s="43"/>
      <c r="C207" s="43"/>
      <c r="D207" s="43"/>
      <c r="E207" s="43"/>
      <c r="F207" s="43"/>
      <c r="G207" s="43"/>
      <c r="H207" s="43"/>
    </row>
    <row r="208" spans="2:8">
      <c r="B208" s="43"/>
      <c r="C208" s="43"/>
      <c r="D208" s="43"/>
      <c r="E208" s="43"/>
      <c r="F208" s="43"/>
      <c r="G208" s="43"/>
      <c r="H208" s="43"/>
    </row>
    <row r="209" spans="2:8">
      <c r="B209" s="43"/>
      <c r="C209" s="43"/>
      <c r="D209" s="43"/>
      <c r="E209" s="43"/>
      <c r="F209" s="43"/>
      <c r="G209" s="43"/>
      <c r="H209" s="43"/>
    </row>
    <row r="210" spans="2:8">
      <c r="B210" s="43"/>
      <c r="C210" s="43"/>
      <c r="D210" s="43"/>
      <c r="E210" s="43"/>
      <c r="F210" s="43"/>
      <c r="G210" s="43"/>
      <c r="H210" s="43"/>
    </row>
    <row r="211" spans="2:8">
      <c r="B211" s="43"/>
      <c r="C211" s="43"/>
      <c r="D211" s="43"/>
      <c r="E211" s="43"/>
      <c r="F211" s="43"/>
      <c r="G211" s="43"/>
      <c r="H211" s="43"/>
    </row>
    <row r="212" spans="2:8">
      <c r="B212" s="43"/>
      <c r="C212" s="43"/>
      <c r="D212" s="43"/>
      <c r="E212" s="43"/>
      <c r="F212" s="43"/>
      <c r="G212" s="43"/>
      <c r="H212" s="43"/>
    </row>
    <row r="213" spans="2:8">
      <c r="B213" s="43"/>
      <c r="C213" s="43"/>
      <c r="D213" s="43"/>
      <c r="E213" s="43"/>
      <c r="F213" s="43"/>
      <c r="G213" s="43"/>
      <c r="H213" s="43"/>
    </row>
    <row r="214" spans="2:8">
      <c r="B214" s="43"/>
      <c r="C214" s="43"/>
      <c r="D214" s="43"/>
      <c r="E214" s="43"/>
      <c r="F214" s="43"/>
      <c r="G214" s="43"/>
      <c r="H214" s="43"/>
    </row>
    <row r="215" spans="2:8">
      <c r="B215" s="43"/>
      <c r="C215" s="43"/>
      <c r="D215" s="43"/>
      <c r="E215" s="43"/>
      <c r="F215" s="43"/>
      <c r="G215" s="43"/>
      <c r="H215" s="43"/>
    </row>
    <row r="216" spans="2:8">
      <c r="B216" s="43"/>
      <c r="C216" s="43"/>
      <c r="D216" s="43"/>
      <c r="E216" s="43"/>
      <c r="F216" s="43"/>
      <c r="G216" s="43"/>
      <c r="H216" s="43"/>
    </row>
    <row r="217" spans="2:8">
      <c r="B217" s="43"/>
      <c r="C217" s="43"/>
      <c r="D217" s="43"/>
      <c r="E217" s="43"/>
      <c r="F217" s="43"/>
      <c r="G217" s="43"/>
      <c r="H217" s="43"/>
    </row>
    <row r="218" spans="2:8">
      <c r="B218" s="43"/>
      <c r="C218" s="43"/>
      <c r="D218" s="43"/>
      <c r="E218" s="43"/>
      <c r="F218" s="43"/>
      <c r="G218" s="43"/>
      <c r="H218" s="43"/>
    </row>
    <row r="219" spans="2:8">
      <c r="B219" s="43"/>
      <c r="C219" s="43"/>
      <c r="D219" s="43"/>
      <c r="E219" s="43"/>
      <c r="F219" s="43"/>
      <c r="G219" s="43"/>
      <c r="H219" s="43"/>
    </row>
    <row r="220" spans="2:8">
      <c r="B220" s="43"/>
      <c r="C220" s="43"/>
      <c r="D220" s="43"/>
      <c r="E220" s="43"/>
      <c r="F220" s="43"/>
      <c r="G220" s="43"/>
      <c r="H220" s="43"/>
    </row>
    <row r="221" spans="2:8">
      <c r="B221" s="43"/>
      <c r="C221" s="43"/>
      <c r="D221" s="43"/>
      <c r="E221" s="43"/>
      <c r="F221" s="43"/>
      <c r="G221" s="43"/>
      <c r="H221" s="43"/>
    </row>
    <row r="222" spans="2:8">
      <c r="B222" s="43"/>
      <c r="C222" s="43"/>
      <c r="D222" s="43"/>
      <c r="E222" s="43"/>
      <c r="F222" s="43"/>
      <c r="G222" s="43"/>
      <c r="H222" s="43"/>
    </row>
    <row r="223" spans="2:8">
      <c r="B223" s="43"/>
      <c r="C223" s="43"/>
      <c r="D223" s="43"/>
      <c r="E223" s="43"/>
      <c r="F223" s="43"/>
      <c r="G223" s="43"/>
      <c r="H223" s="43"/>
    </row>
    <row r="224" spans="2:8">
      <c r="B224" s="43"/>
      <c r="C224" s="43"/>
      <c r="D224" s="43"/>
      <c r="E224" s="43"/>
      <c r="F224" s="43"/>
      <c r="G224" s="43"/>
      <c r="H224" s="43"/>
    </row>
    <row r="225" spans="2:8">
      <c r="B225" s="43"/>
      <c r="C225" s="43"/>
      <c r="D225" s="43"/>
      <c r="E225" s="43"/>
      <c r="F225" s="43"/>
      <c r="G225" s="43"/>
      <c r="H225" s="43"/>
    </row>
    <row r="226" spans="2:8">
      <c r="B226" s="43"/>
      <c r="C226" s="43"/>
      <c r="D226" s="43"/>
      <c r="E226" s="43"/>
      <c r="F226" s="43"/>
      <c r="G226" s="43"/>
      <c r="H226" s="43"/>
    </row>
    <row r="227" spans="2:8">
      <c r="B227" s="43"/>
      <c r="C227" s="43"/>
      <c r="D227" s="43"/>
      <c r="E227" s="43"/>
      <c r="F227" s="43"/>
      <c r="G227" s="43"/>
      <c r="H227" s="43"/>
    </row>
    <row r="228" spans="2:8">
      <c r="B228" s="43"/>
      <c r="C228" s="43"/>
      <c r="D228" s="43"/>
      <c r="E228" s="43"/>
      <c r="F228" s="43"/>
      <c r="G228" s="43"/>
      <c r="H228" s="43"/>
    </row>
    <row r="229" spans="2:8">
      <c r="B229" s="43"/>
      <c r="C229" s="43"/>
      <c r="D229" s="43"/>
      <c r="E229" s="43"/>
      <c r="F229" s="43"/>
      <c r="G229" s="43"/>
      <c r="H229" s="43"/>
    </row>
    <row r="230" spans="2:8">
      <c r="B230" s="43"/>
      <c r="C230" s="43"/>
      <c r="D230" s="43"/>
      <c r="E230" s="43"/>
      <c r="F230" s="43"/>
      <c r="G230" s="43"/>
      <c r="H230" s="43"/>
    </row>
    <row r="231" spans="2:8">
      <c r="B231" s="43"/>
      <c r="C231" s="43"/>
      <c r="D231" s="43"/>
      <c r="E231" s="43"/>
      <c r="F231" s="43"/>
      <c r="G231" s="43"/>
      <c r="H231" s="43"/>
    </row>
    <row r="232" spans="2:8">
      <c r="B232" s="43"/>
      <c r="C232" s="43"/>
      <c r="D232" s="43"/>
      <c r="E232" s="43"/>
      <c r="F232" s="43"/>
      <c r="G232" s="43"/>
      <c r="H232" s="43"/>
    </row>
    <row r="233" spans="2:8">
      <c r="B233" s="43"/>
      <c r="C233" s="43"/>
      <c r="D233" s="43"/>
      <c r="E233" s="43"/>
      <c r="F233" s="43"/>
      <c r="G233" s="43"/>
      <c r="H233" s="43"/>
    </row>
    <row r="234" spans="2:8">
      <c r="B234" s="43"/>
      <c r="C234" s="43"/>
      <c r="D234" s="43"/>
      <c r="E234" s="43"/>
      <c r="F234" s="43"/>
      <c r="G234" s="43"/>
      <c r="H234" s="43"/>
    </row>
    <row r="235" spans="2:8">
      <c r="B235" s="43"/>
      <c r="C235" s="43"/>
      <c r="D235" s="43"/>
      <c r="E235" s="43"/>
      <c r="F235" s="43"/>
      <c r="G235" s="43"/>
      <c r="H235" s="43"/>
    </row>
    <row r="236" spans="2:8">
      <c r="B236" s="43"/>
      <c r="C236" s="43"/>
      <c r="D236" s="43"/>
      <c r="E236" s="43"/>
      <c r="F236" s="43"/>
      <c r="G236" s="43"/>
      <c r="H236" s="43"/>
    </row>
    <row r="237" spans="2:8">
      <c r="B237" s="43"/>
      <c r="C237" s="43"/>
      <c r="D237" s="43"/>
      <c r="E237" s="43"/>
      <c r="F237" s="43"/>
      <c r="G237" s="43"/>
      <c r="H237" s="43"/>
    </row>
    <row r="238" spans="2:8">
      <c r="B238" s="43"/>
      <c r="C238" s="43"/>
      <c r="D238" s="43"/>
      <c r="E238" s="43"/>
      <c r="F238" s="43"/>
      <c r="G238" s="43"/>
      <c r="H238" s="43"/>
    </row>
    <row r="239" spans="2:8">
      <c r="B239" s="43"/>
      <c r="C239" s="43"/>
      <c r="D239" s="43"/>
      <c r="E239" s="43"/>
      <c r="F239" s="43"/>
      <c r="G239" s="43"/>
      <c r="H239" s="43"/>
    </row>
    <row r="240" spans="2:8">
      <c r="B240" s="43"/>
      <c r="C240" s="43"/>
      <c r="D240" s="43"/>
      <c r="E240" s="43"/>
      <c r="F240" s="43"/>
      <c r="G240" s="43"/>
      <c r="H240" s="43"/>
    </row>
    <row r="241" spans="2:8">
      <c r="B241" s="43"/>
      <c r="C241" s="43"/>
      <c r="D241" s="43"/>
      <c r="E241" s="43"/>
      <c r="F241" s="43"/>
      <c r="G241" s="43"/>
      <c r="H241" s="43"/>
    </row>
    <row r="242" spans="2:8">
      <c r="B242" s="43"/>
      <c r="C242" s="43"/>
      <c r="D242" s="43"/>
      <c r="E242" s="43"/>
      <c r="F242" s="43"/>
      <c r="G242" s="43"/>
      <c r="H242" s="43"/>
    </row>
    <row r="243" spans="2:8">
      <c r="B243" s="43"/>
      <c r="C243" s="43"/>
      <c r="D243" s="43"/>
      <c r="E243" s="43"/>
      <c r="F243" s="43"/>
      <c r="G243" s="43"/>
      <c r="H243" s="43"/>
    </row>
    <row r="244" spans="2:8">
      <c r="B244" s="43"/>
      <c r="C244" s="43"/>
      <c r="D244" s="43"/>
      <c r="E244" s="43"/>
      <c r="F244" s="43"/>
      <c r="G244" s="43"/>
      <c r="H244" s="43"/>
    </row>
    <row r="245" spans="2:8">
      <c r="B245" s="43"/>
      <c r="C245" s="43"/>
      <c r="D245" s="43"/>
      <c r="E245" s="43"/>
      <c r="F245" s="43"/>
      <c r="G245" s="43"/>
      <c r="H245" s="43"/>
    </row>
    <row r="246" spans="2:8">
      <c r="B246" s="43"/>
      <c r="C246" s="43"/>
      <c r="D246" s="43"/>
      <c r="E246" s="43"/>
      <c r="F246" s="43"/>
      <c r="G246" s="43"/>
      <c r="H246" s="43"/>
    </row>
    <row r="247" spans="2:8">
      <c r="B247" s="43"/>
      <c r="C247" s="43"/>
      <c r="D247" s="43"/>
      <c r="E247" s="43"/>
      <c r="F247" s="43"/>
      <c r="G247" s="43"/>
      <c r="H247" s="43"/>
    </row>
    <row r="248" spans="2:8">
      <c r="B248" s="43"/>
      <c r="C248" s="43"/>
      <c r="D248" s="43"/>
      <c r="E248" s="43"/>
      <c r="F248" s="43"/>
      <c r="G248" s="43"/>
      <c r="H248" s="43"/>
    </row>
    <row r="249" spans="2:8">
      <c r="B249" s="43"/>
      <c r="C249" s="43"/>
      <c r="D249" s="43"/>
      <c r="E249" s="43"/>
      <c r="F249" s="43"/>
      <c r="G249" s="43"/>
      <c r="H249" s="43"/>
    </row>
    <row r="250" spans="2:8">
      <c r="B250" s="43"/>
      <c r="C250" s="43"/>
      <c r="D250" s="43"/>
      <c r="E250" s="43"/>
      <c r="F250" s="43"/>
      <c r="G250" s="43"/>
      <c r="H250" s="43"/>
    </row>
    <row r="251" spans="2:8">
      <c r="B251" s="43"/>
      <c r="C251" s="43"/>
      <c r="D251" s="43"/>
      <c r="E251" s="43"/>
      <c r="F251" s="43"/>
      <c r="G251" s="43"/>
      <c r="H251" s="43"/>
    </row>
    <row r="252" spans="2:8">
      <c r="B252" s="43"/>
      <c r="C252" s="43"/>
      <c r="D252" s="43"/>
      <c r="E252" s="43"/>
      <c r="F252" s="43"/>
      <c r="G252" s="43"/>
      <c r="H252" s="43"/>
    </row>
    <row r="253" spans="2:8">
      <c r="B253" s="43"/>
      <c r="C253" s="43"/>
      <c r="D253" s="43"/>
      <c r="E253" s="43"/>
      <c r="F253" s="43"/>
      <c r="G253" s="43"/>
      <c r="H253" s="43"/>
    </row>
    <row r="254" spans="2:8">
      <c r="B254" s="43"/>
      <c r="C254" s="43"/>
      <c r="D254" s="43"/>
      <c r="E254" s="43"/>
      <c r="F254" s="43"/>
      <c r="G254" s="43"/>
      <c r="H254" s="43"/>
    </row>
    <row r="255" spans="2:8">
      <c r="B255" s="43"/>
      <c r="C255" s="43"/>
      <c r="D255" s="43"/>
      <c r="E255" s="43"/>
      <c r="F255" s="43"/>
      <c r="G255" s="43"/>
      <c r="H255" s="43"/>
    </row>
    <row r="256" spans="2:8">
      <c r="B256" s="43"/>
      <c r="C256" s="43"/>
      <c r="D256" s="43"/>
      <c r="E256" s="43"/>
      <c r="F256" s="43"/>
      <c r="G256" s="43"/>
      <c r="H256" s="43"/>
    </row>
    <row r="257" spans="2:8">
      <c r="B257" s="43"/>
      <c r="C257" s="43"/>
      <c r="D257" s="43"/>
      <c r="E257" s="43"/>
      <c r="F257" s="43"/>
      <c r="G257" s="43"/>
      <c r="H257" s="43"/>
    </row>
    <row r="258" spans="2:8">
      <c r="B258" s="43"/>
      <c r="C258" s="43"/>
      <c r="D258" s="43"/>
      <c r="E258" s="43"/>
      <c r="F258" s="43"/>
      <c r="G258" s="43"/>
      <c r="H258" s="43"/>
    </row>
    <row r="259" spans="2:8">
      <c r="B259" s="43"/>
      <c r="C259" s="43"/>
      <c r="D259" s="43"/>
      <c r="E259" s="43"/>
      <c r="F259" s="43"/>
      <c r="G259" s="43"/>
      <c r="H259" s="43"/>
    </row>
    <row r="260" spans="2:8">
      <c r="B260" s="43"/>
      <c r="C260" s="43"/>
      <c r="D260" s="43"/>
      <c r="E260" s="43"/>
      <c r="F260" s="43"/>
      <c r="G260" s="43"/>
      <c r="H260" s="43"/>
    </row>
    <row r="261" spans="2:8">
      <c r="B261" s="43"/>
      <c r="C261" s="43"/>
      <c r="D261" s="43"/>
      <c r="E261" s="43"/>
      <c r="F261" s="43"/>
      <c r="G261" s="43"/>
      <c r="H261" s="43"/>
    </row>
    <row r="262" spans="2:8">
      <c r="B262" s="43"/>
      <c r="C262" s="43"/>
      <c r="D262" s="43"/>
      <c r="E262" s="43"/>
      <c r="F262" s="43"/>
      <c r="G262" s="43"/>
      <c r="H262" s="43"/>
    </row>
    <row r="263" spans="2:8">
      <c r="B263" s="43"/>
      <c r="C263" s="43"/>
      <c r="D263" s="43"/>
      <c r="E263" s="43"/>
      <c r="F263" s="43"/>
      <c r="G263" s="43"/>
      <c r="H263" s="43"/>
    </row>
    <row r="264" spans="2:8">
      <c r="B264" s="43"/>
      <c r="C264" s="43"/>
      <c r="D264" s="43"/>
      <c r="E264" s="43"/>
      <c r="F264" s="43"/>
      <c r="G264" s="43"/>
      <c r="H264" s="43"/>
    </row>
    <row r="265" spans="2:8">
      <c r="B265" s="43"/>
      <c r="C265" s="43"/>
      <c r="D265" s="43"/>
      <c r="E265" s="43"/>
      <c r="F265" s="43"/>
      <c r="G265" s="43"/>
      <c r="H265" s="43"/>
    </row>
    <row r="266" spans="2:8">
      <c r="B266" s="43"/>
      <c r="C266" s="43"/>
      <c r="D266" s="43"/>
      <c r="E266" s="43"/>
      <c r="F266" s="43"/>
      <c r="G266" s="43"/>
      <c r="H266" s="43"/>
    </row>
    <row r="267" spans="2:8">
      <c r="B267" s="43"/>
      <c r="C267" s="43"/>
      <c r="D267" s="43"/>
      <c r="E267" s="43"/>
      <c r="F267" s="43"/>
      <c r="G267" s="43"/>
      <c r="H267" s="43"/>
    </row>
    <row r="268" spans="2:8">
      <c r="B268" s="43"/>
      <c r="C268" s="43"/>
      <c r="D268" s="43"/>
      <c r="E268" s="43"/>
      <c r="F268" s="43"/>
      <c r="G268" s="43"/>
      <c r="H268" s="43"/>
    </row>
    <row r="269" spans="2:8">
      <c r="B269" s="43"/>
      <c r="C269" s="43"/>
      <c r="D269" s="43"/>
      <c r="E269" s="43"/>
      <c r="F269" s="43"/>
      <c r="G269" s="43"/>
      <c r="H269" s="43"/>
    </row>
    <row r="270" spans="2:8">
      <c r="B270" s="43"/>
      <c r="C270" s="43"/>
      <c r="D270" s="43"/>
      <c r="E270" s="43"/>
      <c r="F270" s="43"/>
      <c r="G270" s="43"/>
      <c r="H270" s="43"/>
    </row>
    <row r="271" spans="2:8">
      <c r="B271" s="43"/>
      <c r="C271" s="43"/>
      <c r="D271" s="43"/>
      <c r="E271" s="43"/>
      <c r="F271" s="43"/>
      <c r="G271" s="43"/>
      <c r="H271" s="43"/>
    </row>
    <row r="272" spans="2:8">
      <c r="B272" s="43"/>
      <c r="C272" s="43"/>
      <c r="D272" s="43"/>
      <c r="E272" s="43"/>
      <c r="F272" s="43"/>
      <c r="G272" s="43"/>
      <c r="H272" s="43"/>
    </row>
    <row r="273" spans="2:8">
      <c r="B273" s="43"/>
      <c r="C273" s="43"/>
      <c r="D273" s="43"/>
      <c r="E273" s="43"/>
      <c r="F273" s="43"/>
      <c r="G273" s="43"/>
      <c r="H273" s="43"/>
    </row>
    <row r="274" spans="2:8">
      <c r="B274" s="43"/>
      <c r="C274" s="43"/>
      <c r="D274" s="43"/>
      <c r="E274" s="43"/>
      <c r="F274" s="43"/>
      <c r="G274" s="43"/>
      <c r="H274" s="43"/>
    </row>
    <row r="275" spans="2:8">
      <c r="B275" s="43"/>
      <c r="C275" s="43"/>
      <c r="D275" s="43"/>
      <c r="E275" s="43"/>
      <c r="F275" s="43"/>
      <c r="G275" s="43"/>
      <c r="H275" s="43"/>
    </row>
    <row r="276" spans="2:8">
      <c r="B276" s="43"/>
      <c r="C276" s="43"/>
      <c r="D276" s="43"/>
      <c r="E276" s="43"/>
      <c r="F276" s="43"/>
      <c r="G276" s="43"/>
      <c r="H276" s="43"/>
    </row>
    <row r="277" spans="2:8">
      <c r="B277" s="43"/>
      <c r="C277" s="43"/>
      <c r="D277" s="43"/>
      <c r="E277" s="43"/>
      <c r="F277" s="43"/>
      <c r="G277" s="43"/>
      <c r="H277" s="43"/>
    </row>
    <row r="278" spans="2:8">
      <c r="B278" s="43"/>
      <c r="C278" s="43"/>
      <c r="D278" s="43"/>
      <c r="E278" s="43"/>
      <c r="F278" s="43"/>
      <c r="G278" s="43"/>
      <c r="H278" s="43"/>
    </row>
    <row r="279" spans="2:8">
      <c r="B279" s="43"/>
      <c r="C279" s="43"/>
      <c r="D279" s="43"/>
      <c r="E279" s="43"/>
      <c r="F279" s="43"/>
      <c r="G279" s="43"/>
      <c r="H279" s="43"/>
    </row>
    <row r="280" spans="2:8">
      <c r="B280" s="43"/>
      <c r="C280" s="43"/>
      <c r="D280" s="43"/>
      <c r="E280" s="43"/>
      <c r="F280" s="43"/>
      <c r="G280" s="43"/>
      <c r="H280" s="43"/>
    </row>
    <row r="281" spans="2:8">
      <c r="B281" s="43"/>
      <c r="C281" s="43"/>
      <c r="D281" s="43"/>
      <c r="E281" s="43"/>
      <c r="F281" s="43"/>
      <c r="G281" s="43"/>
      <c r="H281" s="43"/>
    </row>
    <row r="282" spans="2:8">
      <c r="B282" s="43"/>
      <c r="C282" s="43"/>
      <c r="D282" s="43"/>
      <c r="E282" s="43"/>
      <c r="F282" s="43"/>
      <c r="G282" s="43"/>
      <c r="H282" s="43"/>
    </row>
    <row r="283" spans="2:8">
      <c r="B283" s="43"/>
      <c r="C283" s="43"/>
      <c r="D283" s="43"/>
      <c r="E283" s="43"/>
      <c r="F283" s="43"/>
      <c r="G283" s="43"/>
      <c r="H283" s="43"/>
    </row>
    <row r="284" spans="2:8">
      <c r="B284" s="43"/>
      <c r="C284" s="43"/>
      <c r="D284" s="43"/>
      <c r="E284" s="43"/>
      <c r="F284" s="43"/>
      <c r="G284" s="43"/>
      <c r="H284" s="43"/>
    </row>
    <row r="285" spans="2:8">
      <c r="B285" s="43"/>
      <c r="C285" s="43"/>
      <c r="D285" s="43"/>
      <c r="E285" s="43"/>
      <c r="F285" s="43"/>
      <c r="G285" s="43"/>
      <c r="H285" s="43"/>
    </row>
    <row r="286" spans="2:8">
      <c r="B286" s="43"/>
      <c r="C286" s="43"/>
      <c r="D286" s="43"/>
      <c r="E286" s="43"/>
      <c r="F286" s="43"/>
      <c r="G286" s="43"/>
      <c r="H286" s="43"/>
    </row>
    <row r="287" spans="2:8">
      <c r="B287" s="43"/>
      <c r="C287" s="43"/>
      <c r="D287" s="43"/>
      <c r="E287" s="43"/>
      <c r="F287" s="43"/>
      <c r="G287" s="43"/>
      <c r="H287" s="43"/>
    </row>
    <row r="288" spans="2:8">
      <c r="B288" s="43"/>
      <c r="C288" s="43"/>
      <c r="D288" s="43"/>
      <c r="E288" s="43"/>
      <c r="F288" s="43"/>
      <c r="G288" s="43"/>
      <c r="H288" s="43"/>
    </row>
    <row r="289" spans="2:8">
      <c r="B289" s="43"/>
      <c r="C289" s="43"/>
      <c r="D289" s="43"/>
      <c r="E289" s="43"/>
      <c r="F289" s="43"/>
      <c r="G289" s="43"/>
      <c r="H289" s="43"/>
    </row>
    <row r="290" spans="2:8">
      <c r="B290" s="43"/>
      <c r="C290" s="43"/>
      <c r="D290" s="43"/>
      <c r="E290" s="43"/>
      <c r="F290" s="43"/>
      <c r="G290" s="43"/>
      <c r="H290" s="43"/>
    </row>
    <row r="291" spans="2:8">
      <c r="B291" s="43"/>
      <c r="C291" s="43"/>
      <c r="D291" s="43"/>
      <c r="E291" s="43"/>
      <c r="F291" s="43"/>
      <c r="G291" s="43"/>
      <c r="H291" s="43"/>
    </row>
    <row r="292" spans="2:8">
      <c r="B292" s="43"/>
      <c r="C292" s="43"/>
      <c r="D292" s="43"/>
      <c r="E292" s="43"/>
      <c r="F292" s="43"/>
      <c r="G292" s="43"/>
      <c r="H292" s="43"/>
    </row>
    <row r="293" spans="2:8">
      <c r="B293" s="43"/>
      <c r="C293" s="43"/>
      <c r="D293" s="43"/>
      <c r="E293" s="43"/>
      <c r="F293" s="43"/>
      <c r="G293" s="43"/>
      <c r="H293" s="43"/>
    </row>
    <row r="294" spans="2:8">
      <c r="B294" s="43"/>
      <c r="C294" s="43"/>
      <c r="D294" s="43"/>
      <c r="E294" s="43"/>
      <c r="F294" s="43"/>
      <c r="G294" s="43"/>
      <c r="H294" s="43"/>
    </row>
    <row r="295" spans="2:8">
      <c r="B295" s="43"/>
      <c r="C295" s="43"/>
      <c r="D295" s="43"/>
      <c r="E295" s="43"/>
      <c r="F295" s="43"/>
      <c r="G295" s="43"/>
      <c r="H295" s="43"/>
    </row>
    <row r="296" spans="2:8">
      <c r="B296" s="43"/>
      <c r="C296" s="43"/>
      <c r="D296" s="43"/>
      <c r="E296" s="43"/>
      <c r="F296" s="43"/>
      <c r="G296" s="43"/>
      <c r="H296" s="43"/>
    </row>
    <row r="297" spans="2:8">
      <c r="B297" s="43"/>
      <c r="C297" s="43"/>
      <c r="D297" s="43"/>
      <c r="E297" s="43"/>
      <c r="F297" s="43"/>
      <c r="G297" s="43"/>
      <c r="H297" s="43"/>
    </row>
    <row r="298" spans="2:8">
      <c r="B298" s="43"/>
      <c r="C298" s="43"/>
      <c r="D298" s="43"/>
      <c r="E298" s="43"/>
      <c r="F298" s="43"/>
      <c r="G298" s="43"/>
      <c r="H298" s="43"/>
    </row>
    <row r="299" spans="2:8">
      <c r="B299" s="43"/>
      <c r="C299" s="43"/>
      <c r="D299" s="43"/>
      <c r="E299" s="43"/>
      <c r="F299" s="43"/>
      <c r="G299" s="43"/>
      <c r="H299" s="43"/>
    </row>
    <row r="300" spans="2:8">
      <c r="B300" s="43"/>
      <c r="C300" s="43"/>
      <c r="D300" s="43"/>
      <c r="E300" s="43"/>
      <c r="F300" s="43"/>
      <c r="G300" s="43"/>
      <c r="H300" s="43"/>
    </row>
  </sheetData>
  <mergeCells count="3">
    <mergeCell ref="B1:H1"/>
    <mergeCell ref="B2:H2"/>
    <mergeCell ref="B3:H3"/>
  </mergeCells>
  <phoneticPr fontId="6" type="noConversion"/>
  <pageMargins left="0.75" right="0.75" top="1" bottom="1" header="0.511811023622047" footer="0.511811023622047"/>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wsList</vt:lpstr>
      <vt:lpstr>Encrypt</vt:lpstr>
      <vt:lpstr>info_Vulnerability</vt:lpstr>
      <vt:lpstr>Weakness_Vulnerability</vt:lpstr>
      <vt:lpstr>Reference_Lists</vt:lpstr>
      <vt:lpstr>Discussion</vt:lpstr>
      <vt:lpstr>v3.1_벡터생성기</vt:lpstr>
      <vt:lpstr>Ref. CVSS_v3.1_가중치</vt:lpstr>
      <vt:lpstr>v4.0_벡터생성기</vt:lpstr>
      <vt:lpstr>Ref. CVSS_v4_MacroVector표</vt:lpstr>
      <vt:lpstr>Config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apple</cp:lastModifiedBy>
  <cp:revision>0</cp:revision>
  <dcterms:created xsi:type="dcterms:W3CDTF">2026-09-05T03:22:48Z</dcterms:created>
  <dcterms:modified xsi:type="dcterms:W3CDTF">2026-09-10T06:05:24Z</dcterms:modified>
  <dc:language>en-US</dc:language>
</cp:coreProperties>
</file>