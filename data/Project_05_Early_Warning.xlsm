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xl/_rels/workbook.xml.rels" ContentType="application/vnd.openxmlformats-package.relationships+xml"/>
  <Override PartName="/xl/workbook.xml" ContentType="application/vnd.ms-excel.sheet.macroEnabled.main+xml"/>
  <Override PartName="/xl/vbaProject.bin" ContentType="application/vnd.ms-office.vbaProject"/>
  <Override PartName="/xl/theme/theme1.xml" ContentType="application/vnd.openxmlformats-officedocument.theme+xml"/>
  <Override PartName="/xl/styles.xml" ContentType="application/vnd.openxmlformats-officedocument.spreadsheetml.styles+xml"/>
  <Override PartName="/xl/worksheets/_rels/sheet2.xml.rels" ContentType="application/vnd.openxmlformats-package.relationships+xml"/>
  <Override PartName="/xl/worksheets/sheet11.xml" ContentType="application/vnd.openxmlformats-officedocument.spreadsheetml.worksheet+xml"/>
  <Override PartName="/xl/worksheets/sheet6.xml" ContentType="application/vnd.openxmlformats-officedocument.spreadsheetml.worksheet+xml"/>
  <Override PartName="/xl/worksheets/sheet10.xml" ContentType="application/vnd.openxmlformats-officedocument.spreadsheetml.worksheet+xml"/>
  <Override PartName="/xl/worksheets/sheet5.xml" ContentType="application/vnd.openxmlformats-officedocument.spreadsheetml.worksheet+xml"/>
  <Override PartName="/xl/worksheets/sheet18.xml" ContentType="application/vnd.openxmlformats-officedocument.spreadsheetml.worksheet+xml"/>
  <Override PartName="/xl/worksheets/sheet17.xml" ContentType="application/vnd.openxmlformats-officedocument.spreadsheetml.worksheet+xml"/>
  <Override PartName="/xl/worksheets/sheet16.xml" ContentType="application/vnd.openxmlformats-officedocument.spreadsheetml.worksheet+xml"/>
  <Override PartName="/xl/worksheets/sheet15.xml" ContentType="application/vnd.openxmlformats-officedocument.spreadsheetml.worksheet+xml"/>
  <Override PartName="/xl/worksheets/sheet4.xml" ContentType="application/vnd.openxmlformats-officedocument.spreadsheetml.worksheet+xml"/>
  <Override PartName="/xl/worksheets/sheet1.xml" ContentType="application/vnd.openxmlformats-officedocument.spreadsheetml.worksheet+xml"/>
  <Override PartName="/xl/worksheets/sheet7.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9.xml" ContentType="application/vnd.openxmlformats-officedocument.spreadsheetml.worksheet+xml"/>
  <Override PartName="/xl/worksheets/sheet14.xml" ContentType="application/vnd.openxmlformats-officedocument.spreadsheetml.worksheet+xml"/>
  <Override PartName="/xl/worksheets/sheet13.xml" ContentType="application/vnd.openxmlformats-officedocument.spreadsheetml.worksheet+xml"/>
  <Override PartName="/xl/worksheets/sheet8.xml" ContentType="application/vnd.openxmlformats-officedocument.spreadsheetml.worksheet+xml"/>
  <Override PartName="/xl/sharedStrings.xml" ContentType="application/vnd.openxmlformats-officedocument.spreadsheetml.sharedStrings+xml"/>
  <Override PartName="/xl/comments2.xml" ContentType="application/vnd.openxmlformats-officedocument.spreadsheetml.comments+xml"/>
  <Override PartName="/xl/drawings/vmlDrawing1.vml" ContentType="application/vnd.openxmlformats-officedocument.vmlDrawing"/>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12"/>
  </bookViews>
  <sheets>
    <sheet name="wsList" sheetId="1" state="visible" r:id="rId4"/>
    <sheet name="Encrypt" sheetId="2" state="visible" r:id="rId5"/>
    <sheet name="안내" sheetId="3" state="visible" r:id="rId6"/>
    <sheet name="경영보고_요약" sheetId="4" state="visible" r:id="rId7"/>
    <sheet name="CA_개요" sheetId="5" state="visible" r:id="rId8"/>
    <sheet name="WP_상세" sheetId="6" state="visible" r:id="rId9"/>
    <sheet name="마일스톤_요약" sheetId="7" state="visible" r:id="rId10"/>
    <sheet name="LOE_계정" sheetId="8" state="visible" r:id="rId11"/>
    <sheet name="가정" sheetId="9" state="visible" r:id="rId12"/>
    <sheet name="계획곡선_후보" sheetId="10" state="visible" r:id="rId13"/>
    <sheet name="계획곡선_보정" sheetId="11" state="visible" r:id="rId14"/>
    <sheet name="실적MM_입력" sheetId="12" state="visible" r:id="rId15"/>
    <sheet name="EVMS_대시보드" sheetId="13" state="visible" r:id="rId16"/>
    <sheet name="SWE34_계층별_채점보충" sheetId="14" state="visible" r:id="rId17"/>
    <sheet name="수기채점_가이드" sheetId="15" state="visible" r:id="rId18"/>
    <sheet name="재기준선_변경로그" sheetId="16" state="visible" r:id="rId19"/>
    <sheet name="배포게이트_체크리스트" sheetId="17" state="visible" r:id="rId20"/>
    <sheet name="프로젝트예산_현금성" sheetId="18" state="visible" r:id="rId21"/>
  </sheets>
  <calcPr iterateCount="100" refMode="A1" iterate="false" iterateDelta="0.0001"/>
  <extLst>
    <ext xmlns:loext="http://schemas.libreoffice.org/" uri="{7626C862-2A13-11E5-B345-FEFF819CDC9F}">
      <loext:extCalcPr stringRefSyntax="ExcelA1"/>
    </ext>
  </extLst>
</workbook>
</file>

<file path=xl/comments2.xml><?xml version="1.0" encoding="utf-8"?>
<comments xmlns="http://schemas.openxmlformats.org/spreadsheetml/2006/main" xmlns:xdr="http://schemas.openxmlformats.org/drawingml/2006/spreadsheetDrawing">
  <authors>
    <author>Unknown Author</author>
  </authors>
  <commentList>
    <comment ref="D4" authorId="0">
      <text>
        <r>
          <rPr>
            <sz val="10"/>
            <rFont val="Arial"/>
            <family val="2"/>
          </rPr>
          <t xml:space="preserve">apple:
</t>
        </r>
        <r>
          <rPr>
            <sz val="10"/>
            <rFont val="Noto Sans CJK SC"/>
            <family val="2"/>
          </rPr>
          <t xml:space="preserve">암호화 로직으로 항상 노랑색 유지</t>
        </r>
      </text>
    </comment>
  </commentList>
</comments>
</file>

<file path=xl/sharedStrings.xml><?xml version="1.0" encoding="utf-8"?>
<sst xmlns="http://schemas.openxmlformats.org/spreadsheetml/2006/main" count="2352" uniqueCount="831">
  <si>
    <t xml:space="preserve"> ※ 오픈된 엑셀 파일만 대상으로 선택 (선택 디폴트는 현재 파일)</t>
  </si>
  <si>
    <t xml:space="preserve">나눔고딕</t>
  </si>
  <si>
    <t xml:space="preserve"> ※ 암호 해제 조건에서 함수가 정상 동작합니다.</t>
  </si>
  <si>
    <t xml:space="preserve">Times New Roman</t>
  </si>
  <si>
    <t xml:space="preserve">fullPath</t>
  </si>
  <si>
    <t xml:space="preserve">C:\MyWork\evms\pilot_WBS-CA_draft_v2.xlsm</t>
  </si>
  <si>
    <r>
      <rPr>
        <sz val="10"/>
        <color theme="1"/>
        <rFont val="Times New Roman"/>
        <family val="1"/>
        <charset val="1"/>
      </rPr>
      <t xml:space="preserve">(</t>
    </r>
    <r>
      <rPr>
        <sz val="10"/>
        <color theme="1"/>
        <rFont val="Noto Sans CJK SC"/>
        <family val="2"/>
      </rPr>
      <t xml:space="preserve">미적용</t>
    </r>
    <r>
      <rPr>
        <sz val="10"/>
        <color theme="1"/>
        <rFont val="Times New Roman"/>
        <family val="1"/>
        <charset val="1"/>
      </rPr>
      <t xml:space="preserve">)</t>
    </r>
  </si>
  <si>
    <t xml:space="preserve">번호</t>
  </si>
  <si>
    <t xml:space="preserve">워크시트</t>
  </si>
  <si>
    <t xml:space="preserve">설명</t>
  </si>
  <si>
    <t xml:space="preserve">비고</t>
  </si>
  <si>
    <t xml:space="preserve">wsList</t>
  </si>
  <si>
    <t xml:space="preserve">내비게이션 시트</t>
  </si>
  <si>
    <t xml:space="preserve">Encrypt</t>
  </si>
  <si>
    <t xml:space="preserve">워크시트 암호 설정</t>
  </si>
  <si>
    <t xml:space="preserve">안내</t>
  </si>
  <si>
    <t xml:space="preserve">워크시트 기능에 대해서 요약, 설명해 주세요.</t>
  </si>
  <si>
    <r>
      <rPr>
        <sz val="10"/>
        <color theme="1"/>
        <rFont val="Times New Roman"/>
        <family val="1"/>
        <charset val="1"/>
      </rPr>
      <t xml:space="preserve">CA_</t>
    </r>
    <r>
      <rPr>
        <sz val="10"/>
        <color theme="1"/>
        <rFont val="Noto Sans CJK SC"/>
        <family val="2"/>
      </rPr>
      <t xml:space="preserve">개요</t>
    </r>
  </si>
  <si>
    <r>
      <rPr>
        <sz val="10"/>
        <color theme="1"/>
        <rFont val="Times New Roman"/>
        <family val="1"/>
        <charset val="1"/>
      </rPr>
      <t xml:space="preserve">WP_</t>
    </r>
    <r>
      <rPr>
        <sz val="10"/>
        <color theme="1"/>
        <rFont val="Noto Sans CJK SC"/>
        <family val="2"/>
      </rPr>
      <t xml:space="preserve">상세</t>
    </r>
  </si>
  <si>
    <t xml:space="preserve">마일스톤_요약</t>
  </si>
  <si>
    <r>
      <rPr>
        <sz val="10"/>
        <color theme="1"/>
        <rFont val="Times New Roman"/>
        <family val="1"/>
        <charset val="1"/>
      </rPr>
      <t xml:space="preserve">LOE_</t>
    </r>
    <r>
      <rPr>
        <sz val="10"/>
        <color theme="1"/>
        <rFont val="Noto Sans CJK SC"/>
        <family val="2"/>
      </rPr>
      <t xml:space="preserve">계정</t>
    </r>
  </si>
  <si>
    <t xml:space="preserve">가정</t>
  </si>
  <si>
    <t xml:space="preserve">계획곡선_후보</t>
  </si>
  <si>
    <t xml:space="preserve">계획곡선_보정</t>
  </si>
  <si>
    <t xml:space="preserve">실적MM_입력</t>
  </si>
  <si>
    <r>
      <rPr>
        <sz val="10"/>
        <color theme="1"/>
        <rFont val="Times New Roman"/>
        <family val="1"/>
        <charset val="1"/>
      </rPr>
      <t xml:space="preserve">EVMS_</t>
    </r>
    <r>
      <rPr>
        <sz val="10"/>
        <color theme="1"/>
        <rFont val="Noto Sans CJK SC"/>
        <family val="2"/>
      </rPr>
      <t xml:space="preserve">대시보드</t>
    </r>
  </si>
  <si>
    <r>
      <rPr>
        <sz val="10"/>
        <color theme="1"/>
        <rFont val="Times New Roman"/>
        <family val="1"/>
        <charset val="1"/>
      </rPr>
      <t xml:space="preserve">SWE34_</t>
    </r>
    <r>
      <rPr>
        <sz val="10"/>
        <color theme="1"/>
        <rFont val="Noto Sans CJK SC"/>
        <family val="2"/>
      </rPr>
      <t xml:space="preserve">계층별</t>
    </r>
    <r>
      <rPr>
        <sz val="10"/>
        <color theme="1"/>
        <rFont val="Times New Roman"/>
        <family val="1"/>
        <charset val="1"/>
      </rPr>
      <t xml:space="preserve">_</t>
    </r>
    <r>
      <rPr>
        <sz val="10"/>
        <color theme="1"/>
        <rFont val="Noto Sans CJK SC"/>
        <family val="2"/>
      </rPr>
      <t xml:space="preserve">채점보충</t>
    </r>
  </si>
  <si>
    <t xml:space="preserve">수기채점_가이드</t>
  </si>
  <si>
    <t xml:space="preserve">재기준선_변경로그</t>
  </si>
  <si>
    <t xml:space="preserve">배포게이트_체크리스트</t>
  </si>
  <si>
    <t xml:space="preserve">★ 워크시트 E:N열 암호조건을 설정하세요. (R:W열의 가이드 참조)</t>
  </si>
  <si>
    <r>
      <rPr>
        <sz val="9"/>
        <color rgb="FFFF0000"/>
        <rFont val="Times New Roman"/>
        <family val="1"/>
        <charset val="1"/>
      </rPr>
      <t xml:space="preserve">(</t>
    </r>
    <r>
      <rPr>
        <sz val="9"/>
        <color rgb="FFFF0000"/>
        <rFont val="Noto Sans CJK SC"/>
        <family val="2"/>
      </rPr>
      <t xml:space="preserve">수기 편집 불가 열</t>
    </r>
    <r>
      <rPr>
        <sz val="9"/>
        <color rgb="FFFF0000"/>
        <rFont val="Times New Roman"/>
        <family val="1"/>
        <charset val="1"/>
      </rPr>
      <t xml:space="preserve">)</t>
    </r>
  </si>
  <si>
    <t xml:space="preserve">Variant</t>
  </si>
  <si>
    <t xml:space="preserve">Boolean</t>
  </si>
  <si>
    <t xml:space="preserve">No</t>
  </si>
  <si>
    <t xml:space="preserve">Sheets</t>
  </si>
  <si>
    <t xml:space="preserve">InputColorRGB</t>
  </si>
  <si>
    <t xml:space="preserve">ForceFullLock_NoException</t>
  </si>
  <si>
    <t xml:space="preserve">UserInterfaceOnly</t>
  </si>
  <si>
    <t xml:space="preserve">AllowFormatting</t>
  </si>
  <si>
    <t xml:space="preserve">AllowInserting</t>
  </si>
  <si>
    <t xml:space="preserve">AllowDeleting</t>
  </si>
  <si>
    <t xml:space="preserve">AllowSorting</t>
  </si>
  <si>
    <t xml:space="preserve">AllowFiltering</t>
  </si>
  <si>
    <t xml:space="preserve">LockShapes</t>
  </si>
  <si>
    <t xml:space="preserve">LockOLEObjects</t>
  </si>
  <si>
    <t xml:space="preserve">파라미터명</t>
  </si>
  <si>
    <t xml:space="preserve">타입</t>
  </si>
  <si>
    <t xml:space="preserve">기본값</t>
  </si>
  <si>
    <t xml:space="preserve">필수여부</t>
  </si>
  <si>
    <t xml:space="preserve">기능 설명</t>
  </si>
  <si>
    <t xml:space="preserve">사용 예시</t>
  </si>
  <si>
    <t xml:space="preserve">ws</t>
  </si>
  <si>
    <t xml:space="preserve">Worksheet</t>
  </si>
  <si>
    <r>
      <rPr>
        <sz val="10"/>
        <rFont val="Times New Roman"/>
        <family val="1"/>
        <charset val="1"/>
      </rPr>
      <t xml:space="preserve">(</t>
    </r>
    <r>
      <rPr>
        <sz val="10"/>
        <rFont val="Noto Sans CJK SC"/>
        <family val="2"/>
      </rPr>
      <t xml:space="preserve">필수</t>
    </r>
    <r>
      <rPr>
        <sz val="10"/>
        <rFont val="Times New Roman"/>
        <family val="1"/>
        <charset val="1"/>
      </rPr>
      <t xml:space="preserve">)</t>
    </r>
  </si>
  <si>
    <t xml:space="preserve">잠금 처리 대상 워크시트 객체</t>
  </si>
  <si>
    <t xml:space="preserve">wsProtect_template(Worksheets("TARA_Report"))</t>
  </si>
  <si>
    <t xml:space="preserve">Password</t>
  </si>
  <si>
    <t xml:space="preserve">String</t>
  </si>
  <si>
    <t xml:space="preserve">Const</t>
  </si>
  <si>
    <t xml:space="preserve">시트 보호(Unprotect 포함) 시 사용할 암호</t>
  </si>
  <si>
    <t xml:space="preserve">Password:="MyPwd2026"</t>
  </si>
  <si>
    <t xml:space="preserve">Empty</t>
  </si>
  <si>
    <t xml:space="preserve">선택</t>
  </si>
  <si>
    <t xml:space="preserve">입력셀로 인식할 채우기색의 RGB Long값. Empty면 색상 스캔 생략(기존 Locked 상태 유지). 노란색(255,255,0)은 65535</t>
  </si>
  <si>
    <t xml:space="preserve">InputColorRGB:=65535</t>
  </si>
  <si>
    <t xml:space="preserve">False</t>
  </si>
  <si>
    <r>
      <rPr>
        <sz val="10"/>
        <rFont val="Times New Roman"/>
        <family val="1"/>
        <charset val="1"/>
      </rPr>
      <t xml:space="preserve">True </t>
    </r>
    <r>
      <rPr>
        <sz val="10"/>
        <rFont val="Noto Sans CJK SC"/>
        <family val="2"/>
      </rPr>
      <t xml:space="preserve">시 색상과 무관하게 시트 전체를 예외 없이 잠금</t>
    </r>
    <r>
      <rPr>
        <sz val="10"/>
        <rFont val="Times New Roman"/>
        <family val="1"/>
        <charset val="1"/>
      </rPr>
      <t xml:space="preserve">/False </t>
    </r>
    <r>
      <rPr>
        <sz val="10"/>
        <rFont val="Noto Sans CJK SC"/>
        <family val="2"/>
      </rPr>
      <t xml:space="preserve">시</t>
    </r>
    <r>
      <rPr>
        <sz val="10"/>
        <rFont val="Times New Roman"/>
        <family val="1"/>
        <charset val="1"/>
      </rPr>
      <t xml:space="preserve">, InputColorRGB </t>
    </r>
    <r>
      <rPr>
        <sz val="10"/>
        <rFont val="Noto Sans CJK SC"/>
        <family val="2"/>
      </rPr>
      <t xml:space="preserve">조건에 따름
</t>
    </r>
    <r>
      <rPr>
        <sz val="10"/>
        <rFont val="Times New Roman"/>
        <family val="1"/>
        <charset val="1"/>
      </rPr>
      <t xml:space="preserve">Ref.* </t>
    </r>
    <r>
      <rPr>
        <sz val="10"/>
        <rFont val="Noto Sans CJK SC"/>
        <family val="2"/>
      </rPr>
      <t xml:space="preserve">시트처럼 편집모드가 아니면 전부 잠가야 하는 경우 사용</t>
    </r>
  </si>
  <si>
    <t xml:space="preserve">ForceFullLock_NoException:=True</t>
  </si>
  <si>
    <r>
      <rPr>
        <sz val="10"/>
        <rFont val="Times New Roman"/>
        <family val="1"/>
        <charset val="1"/>
      </rPr>
      <t xml:space="preserve">True </t>
    </r>
    <r>
      <rPr>
        <sz val="10"/>
        <rFont val="Noto Sans CJK SC"/>
        <family val="2"/>
      </rPr>
      <t xml:space="preserve">시 사용자는 편집 불가하지만 </t>
    </r>
    <r>
      <rPr>
        <sz val="10"/>
        <rFont val="Times New Roman"/>
        <family val="1"/>
        <charset val="1"/>
      </rPr>
      <t xml:space="preserve">VBA </t>
    </r>
    <r>
      <rPr>
        <sz val="10"/>
        <rFont val="Noto Sans CJK SC"/>
        <family val="2"/>
      </rPr>
      <t xml:space="preserve">코드는 보호된 상태에서도 셀 값을 갱신 가능</t>
    </r>
    <r>
      <rPr>
        <sz val="10"/>
        <rFont val="Times New Roman"/>
        <family val="1"/>
        <charset val="1"/>
      </rPr>
      <t xml:space="preserve">. TARA </t>
    </r>
    <r>
      <rPr>
        <sz val="10"/>
        <rFont val="Noto Sans CJK SC"/>
        <family val="2"/>
      </rPr>
      <t xml:space="preserve">종료 후 결과를 자동 기록해야 하는 시트에 사용</t>
    </r>
  </si>
  <si>
    <t xml:space="preserve">UserInterfaceOnly:=True</t>
  </si>
  <si>
    <t xml:space="preserve">셀/열/행 서식 변경 허용 여부 (3개 옵션 통합). True 시 색상,글꼴,테두리 등 서식 변경 가능</t>
  </si>
  <si>
    <t xml:space="preserve">AllowFormatting:=True</t>
  </si>
  <si>
    <t xml:space="preserve">행/열 삽입 허용 여부 (2개 옵션 통합)</t>
  </si>
  <si>
    <t xml:space="preserve">AllowInserting:=False</t>
  </si>
  <si>
    <t xml:space="preserve">행/열 삭제 허용 여부 (2개 옵션 통합)</t>
  </si>
  <si>
    <t xml:space="preserve">AllowDeleting:=False</t>
  </si>
  <si>
    <t xml:space="preserve">정렬 기능 허용 여부</t>
  </si>
  <si>
    <t xml:space="preserve">AllowSorting:=True</t>
  </si>
  <si>
    <t xml:space="preserve">자동필터 사용 허용 여부</t>
  </si>
  <si>
    <t xml:space="preserve">AllowFiltering:=True</t>
  </si>
  <si>
    <t xml:space="preserve">True</t>
  </si>
  <si>
    <t xml:space="preserve">일반 도형(텍스트박스, 이미지, AutoShape) 잠금 여부. 폼컨트롤(매크로 버튼)은 이 값과 무관하게 항상 예외 처리(고정)되어 클릭 가능</t>
  </si>
  <si>
    <t xml:space="preserve">LockShapes:=False</t>
  </si>
  <si>
    <t xml:space="preserve">임베디드 OLE 개체(삽입된 파일 등) 잠금 여부</t>
  </si>
  <si>
    <t xml:space="preserve">LockOLEObjects:=True</t>
  </si>
  <si>
    <t xml:space="preserve">항목</t>
  </si>
  <si>
    <t xml:space="preserve">작성 근거</t>
  </si>
  <si>
    <t xml:space="preserve">첨부 자가평가 워크북의 ProcessBP_Product 시트(27개 ASPICE 프로세스, 165개 BP/산출물)와 프로젝트 프로파일 시트의 기본 마일스톤 매핑(M-Car/Proto/P1/P2/SoP, '표준수행' 기준)을 그대로 사용.</t>
  </si>
  <si>
    <r>
      <rPr>
        <b val="true"/>
        <sz val="10"/>
        <rFont val="Times New Roman"/>
        <family val="1"/>
        <charset val="1"/>
      </rPr>
      <t xml:space="preserve">CA </t>
    </r>
    <r>
      <rPr>
        <b val="true"/>
        <sz val="10"/>
        <rFont val="Noto Sans CJK SC"/>
        <family val="2"/>
      </rPr>
      <t xml:space="preserve">정의 방식</t>
    </r>
  </si>
  <si>
    <t xml:space="preserve">설계문서 3장 원칙에 따라 ASPICE 프로세스 1개 = CA(Control Account) 1개로 정의하되, SWE.3(상세설계/단위구현)·SWE.4(단위검증)는 ASW/BSW 계층별 담당(자체/외주)이 갈리므로 각각 2개 CA로 분리하여 총 29개 CA로 구성.</t>
  </si>
  <si>
    <r>
      <rPr>
        <b val="true"/>
        <sz val="10"/>
        <rFont val="Times New Roman"/>
        <family val="1"/>
        <charset val="1"/>
      </rPr>
      <t xml:space="preserve">WP </t>
    </r>
    <r>
      <rPr>
        <b val="true"/>
        <sz val="10"/>
        <rFont val="Noto Sans CJK SC"/>
        <family val="2"/>
      </rPr>
      <t xml:space="preserve">정의 방식</t>
    </r>
  </si>
  <si>
    <t xml:space="preserve">설계문서 4장 원칙에 따라 각 BP/산출물 1개 = Discrete WP 1개로 정의. SWE.3·SWE.4는 ASW/BSW 두 벌로 복제되어 총 175개 WP.</t>
  </si>
  <si>
    <r>
      <rPr>
        <b val="true"/>
        <sz val="10"/>
        <rFont val="Times New Roman"/>
        <family val="1"/>
        <charset val="1"/>
      </rPr>
      <t xml:space="preserve">Discrete/LOE </t>
    </r>
    <r>
      <rPr>
        <b val="true"/>
        <sz val="10"/>
        <rFont val="Noto Sans CJK SC"/>
        <family val="2"/>
      </rPr>
      <t xml:space="preserve">구분</t>
    </r>
  </si>
  <si>
    <t xml:space="preserve">설계문서 6장 원칙(PM/QA/CM은 혼합, 기술프로세스는 Discrete)에 따라 CA 유형을 우선 지정하고, '혼합' CA는 산출물명 키워드로 1차 제안함(수기 검토 필요 — WP_상세 시트 F열 참고).</t>
  </si>
  <si>
    <t xml:space="preserve">입력 셀 색상 구분(중요)</t>
  </si>
  <si>
    <t xml:space="preserve">파랑=계획단계 1회성 입력(PM/기획이 프로젝트 착수 시 확정: CAM 지정, 시나리오 선택, BAC 관련 가정, 최초작성비중 등) / 초록=진행중 담당자·CAM이 정기 입력(WP_상세 진도율·상태·근거자료, 실적MM_입력의 월별 실적MM, SWE34 채점) / 주황=진행중 PM·관리조직이 입력·검토(EVMS_대시보드 현재시점, 표본재검토 기록, 재기준선 로그, 배포게이트 상태). 노란색 셀은 남아있지 않음 — 모든 입력 셀이 이 3색 중 하나로 분류됨.</t>
  </si>
  <si>
    <t xml:space="preserve">아직 반영되지 않은 것</t>
  </si>
  <si>
    <t xml:space="preserve">① 실제 MM/원가 배분(BAC 금액) — 설계문서 5장 원칙대로 산출물 진도와 별도로 타임시트 등에서 수집 필요. ② LOE_계정 시트의 공통경비/출장비는 ASPICE 산출물 구조 밖에 있으므로 별도 관리.</t>
  </si>
  <si>
    <t xml:space="preserve">자가평가 워크북과의 연계</t>
  </si>
  <si>
    <r>
      <rPr>
        <sz val="11"/>
        <color theme="1"/>
        <rFont val="Times New Roman"/>
        <family val="1"/>
        <charset val="1"/>
      </rPr>
      <t xml:space="preserve">WP_</t>
    </r>
    <r>
      <rPr>
        <sz val="11"/>
        <color theme="1"/>
        <rFont val="Noto Sans CJK SC"/>
        <family val="2"/>
      </rPr>
      <t xml:space="preserve">상세 시트의 </t>
    </r>
    <r>
      <rPr>
        <sz val="11"/>
        <color theme="1"/>
        <rFont val="Times New Roman"/>
        <family val="1"/>
        <charset val="1"/>
      </rPr>
      <t xml:space="preserve">'BP#'</t>
    </r>
    <r>
      <rPr>
        <sz val="11"/>
        <color theme="1"/>
        <rFont val="Noto Sans CJK SC"/>
        <family val="2"/>
      </rPr>
      <t xml:space="preserve">는 원본 워크북의 </t>
    </r>
    <r>
      <rPr>
        <sz val="11"/>
        <color theme="1"/>
        <rFont val="Times New Roman"/>
        <family val="1"/>
        <charset val="1"/>
      </rPr>
      <t xml:space="preserve">M-Car~SoP </t>
    </r>
    <r>
      <rPr>
        <sz val="11"/>
        <color theme="1"/>
        <rFont val="Noto Sans CJK SC"/>
        <family val="2"/>
      </rPr>
      <t xml:space="preserve">마일스톤 시트의 </t>
    </r>
    <r>
      <rPr>
        <sz val="11"/>
        <color theme="1"/>
        <rFont val="Times New Roman"/>
        <family val="1"/>
        <charset val="1"/>
      </rPr>
      <t xml:space="preserve">BP </t>
    </r>
    <r>
      <rPr>
        <sz val="11"/>
        <color theme="1"/>
        <rFont val="Noto Sans CJK SC"/>
        <family val="2"/>
      </rPr>
      <t xml:space="preserve">번호와 동일하다</t>
    </r>
    <r>
      <rPr>
        <sz val="11"/>
        <color theme="1"/>
        <rFont val="Times New Roman"/>
        <family val="1"/>
        <charset val="1"/>
      </rPr>
      <t xml:space="preserve">. </t>
    </r>
    <r>
      <rPr>
        <sz val="11"/>
        <color theme="1"/>
        <rFont val="Noto Sans CJK SC"/>
        <family val="2"/>
      </rPr>
      <t xml:space="preserve">마일스톤 자가평가에서 산출된 </t>
    </r>
    <r>
      <rPr>
        <sz val="11"/>
        <color theme="1"/>
        <rFont val="Times New Roman"/>
        <family val="1"/>
        <charset val="1"/>
      </rPr>
      <t xml:space="preserve">100</t>
    </r>
    <r>
      <rPr>
        <sz val="11"/>
        <color theme="1"/>
        <rFont val="Noto Sans CJK SC"/>
        <family val="2"/>
      </rPr>
      <t xml:space="preserve">점 환산 점수를 그대로 해당 </t>
    </r>
    <r>
      <rPr>
        <sz val="11"/>
        <color theme="1"/>
        <rFont val="Times New Roman"/>
        <family val="1"/>
        <charset val="1"/>
      </rPr>
      <t xml:space="preserve">WP</t>
    </r>
    <r>
      <rPr>
        <sz val="11"/>
        <color theme="1"/>
        <rFont val="Noto Sans CJK SC"/>
        <family val="2"/>
      </rPr>
      <t xml:space="preserve">의 진도율</t>
    </r>
    <r>
      <rPr>
        <sz val="11"/>
        <color theme="1"/>
        <rFont val="Times New Roman"/>
        <family val="1"/>
        <charset val="1"/>
      </rPr>
      <t xml:space="preserve">(%)</t>
    </r>
    <r>
      <rPr>
        <sz val="11"/>
        <color theme="1"/>
        <rFont val="Noto Sans CJK SC"/>
        <family val="2"/>
      </rPr>
      <t xml:space="preserve">로 사용하면 설계문서 </t>
    </r>
    <r>
      <rPr>
        <sz val="11"/>
        <color theme="1"/>
        <rFont val="Times New Roman"/>
        <family val="1"/>
        <charset val="1"/>
      </rPr>
      <t xml:space="preserve">4</t>
    </r>
    <r>
      <rPr>
        <sz val="11"/>
        <color theme="1"/>
        <rFont val="Noto Sans CJK SC"/>
        <family val="2"/>
      </rPr>
      <t xml:space="preserve">장의 </t>
    </r>
    <r>
      <rPr>
        <sz val="11"/>
        <color theme="1"/>
        <rFont val="Times New Roman"/>
        <family val="1"/>
        <charset val="1"/>
      </rPr>
      <t xml:space="preserve">BCWP </t>
    </r>
    <r>
      <rPr>
        <sz val="11"/>
        <color theme="1"/>
        <rFont val="Noto Sans CJK SC"/>
        <family val="2"/>
      </rPr>
      <t xml:space="preserve">산정 방법과 일치한다</t>
    </r>
    <r>
      <rPr>
        <sz val="11"/>
        <color theme="1"/>
        <rFont val="Times New Roman"/>
        <family val="1"/>
        <charset val="1"/>
      </rPr>
      <t xml:space="preserve">.</t>
    </r>
  </si>
  <si>
    <t xml:space="preserve">프로젝트 프로파일 커스터마이징 필요</t>
  </si>
  <si>
    <t xml:space="preserve">원본 워크북의 '프로젝트 프로파일' 시트는 아직 비어 있어(신규/파생개발 유형 미지정) 기본값(표준수행)을 사용했다. 실제 파일럿 프로젝트가 파생개발이거나 일부 프로세스를 재사용/제외한다면, 그 시트를 먼저 채운 뒤 이 초안의 마일스톤 배정을 조정해야 한다.</t>
  </si>
  <si>
    <t xml:space="preserve">경영보고_요약 시트(신규)</t>
  </si>
  <si>
    <r>
      <rPr>
        <sz val="11"/>
        <color theme="1"/>
        <rFont val="Calibri"/>
        <family val="2"/>
        <charset val="1"/>
      </rPr>
      <t xml:space="preserve">SPI/CPI </t>
    </r>
    <r>
      <rPr>
        <sz val="11"/>
        <color theme="1"/>
        <rFont val="Noto Sans CJK SC"/>
        <family val="2"/>
      </rPr>
      <t xml:space="preserve">용어 없이 정상</t>
    </r>
    <r>
      <rPr>
        <sz val="11"/>
        <color theme="1"/>
        <rFont val="Calibri"/>
        <family val="2"/>
        <charset val="1"/>
      </rPr>
      <t xml:space="preserve">/</t>
    </r>
    <r>
      <rPr>
        <sz val="11"/>
        <color theme="1"/>
        <rFont val="Noto Sans CJK SC"/>
        <family val="2"/>
      </rPr>
      <t xml:space="preserve">주의</t>
    </r>
    <r>
      <rPr>
        <sz val="11"/>
        <color theme="1"/>
        <rFont val="Calibri"/>
        <family val="2"/>
        <charset val="1"/>
      </rPr>
      <t xml:space="preserve">/</t>
    </r>
    <r>
      <rPr>
        <sz val="11"/>
        <color theme="1"/>
        <rFont val="Noto Sans CJK SC"/>
        <family val="2"/>
      </rPr>
      <t xml:space="preserve">위험 신호등만으로 프로젝트 상태를 보여주는 임원</t>
    </r>
    <r>
      <rPr>
        <sz val="11"/>
        <color theme="1"/>
        <rFont val="Calibri"/>
        <family val="2"/>
        <charset val="1"/>
      </rPr>
      <t xml:space="preserve">/</t>
    </r>
    <r>
      <rPr>
        <sz val="11"/>
        <color theme="1"/>
        <rFont val="Noto Sans CJK SC"/>
        <family val="2"/>
      </rPr>
      <t xml:space="preserve">보고용 시트</t>
    </r>
    <r>
      <rPr>
        <sz val="11"/>
        <color theme="1"/>
        <rFont val="Calibri"/>
        <family val="2"/>
        <charset val="1"/>
      </rPr>
      <t xml:space="preserve">. </t>
    </r>
    <r>
      <rPr>
        <sz val="11"/>
        <color theme="1"/>
        <rFont val="Noto Sans CJK SC"/>
        <family val="2"/>
      </rPr>
      <t xml:space="preserve">전체 신호등이 </t>
    </r>
    <r>
      <rPr>
        <sz val="11"/>
        <color theme="1"/>
        <rFont val="Calibri"/>
        <family val="2"/>
        <charset val="1"/>
      </rPr>
      <t xml:space="preserve">'</t>
    </r>
    <r>
      <rPr>
        <sz val="11"/>
        <color theme="1"/>
        <rFont val="Noto Sans CJK SC"/>
        <family val="2"/>
      </rPr>
      <t xml:space="preserve">정상</t>
    </r>
    <r>
      <rPr>
        <sz val="11"/>
        <color theme="1"/>
        <rFont val="Calibri"/>
        <family val="2"/>
        <charset val="1"/>
      </rPr>
      <t xml:space="preserve">'</t>
    </r>
    <r>
      <rPr>
        <sz val="11"/>
        <color theme="1"/>
        <rFont val="Noto Sans CJK SC"/>
        <family val="2"/>
      </rPr>
      <t xml:space="preserve">이어도 하위 </t>
    </r>
    <r>
      <rPr>
        <sz val="11"/>
        <color theme="1"/>
        <rFont val="Calibri"/>
        <family val="2"/>
        <charset val="1"/>
      </rPr>
      <t xml:space="preserve">3</t>
    </r>
    <r>
      <rPr>
        <sz val="11"/>
        <color theme="1"/>
        <rFont val="Noto Sans CJK SC"/>
        <family val="2"/>
      </rPr>
      <t xml:space="preserve">개 </t>
    </r>
    <r>
      <rPr>
        <sz val="11"/>
        <color theme="1"/>
        <rFont val="Calibri"/>
        <family val="2"/>
        <charset val="1"/>
      </rPr>
      <t xml:space="preserve">CA</t>
    </r>
    <r>
      <rPr>
        <sz val="11"/>
        <color theme="1"/>
        <rFont val="Noto Sans CJK SC"/>
        <family val="2"/>
      </rPr>
      <t xml:space="preserve">는 항상 함께 표시해</t>
    </r>
    <r>
      <rPr>
        <sz val="11"/>
        <color theme="1"/>
        <rFont val="Calibri"/>
        <family val="2"/>
        <charset val="1"/>
      </rPr>
      <t xml:space="preserve">, </t>
    </r>
    <r>
      <rPr>
        <sz val="11"/>
        <color theme="1"/>
        <rFont val="Noto Sans CJK SC"/>
        <family val="2"/>
      </rPr>
      <t xml:space="preserve">기존 신호등 방식이 놓쳤던 부분 </t>
    </r>
    <r>
      <rPr>
        <sz val="11"/>
        <color theme="1"/>
        <rFont val="Calibri"/>
        <family val="2"/>
        <charset val="1"/>
      </rPr>
      <t xml:space="preserve">CA </t>
    </r>
    <r>
      <rPr>
        <sz val="11"/>
        <color theme="1"/>
        <rFont val="Noto Sans CJK SC"/>
        <family val="2"/>
      </rPr>
      <t xml:space="preserve">리스크를 보여준다</t>
    </r>
    <r>
      <rPr>
        <sz val="11"/>
        <color theme="1"/>
        <rFont val="Calibri"/>
        <family val="2"/>
        <charset val="1"/>
      </rPr>
      <t xml:space="preserve">. </t>
    </r>
    <r>
      <rPr>
        <sz val="11"/>
        <color theme="1"/>
        <rFont val="Noto Sans CJK SC"/>
        <family val="2"/>
      </rPr>
      <t xml:space="preserve">근거가 필요하면 </t>
    </r>
    <r>
      <rPr>
        <sz val="11"/>
        <color theme="1"/>
        <rFont val="Calibri"/>
        <family val="2"/>
        <charset val="1"/>
      </rPr>
      <t xml:space="preserve">EVMS_</t>
    </r>
    <r>
      <rPr>
        <sz val="11"/>
        <color theme="1"/>
        <rFont val="Noto Sans CJK SC"/>
        <family val="2"/>
      </rPr>
      <t xml:space="preserve">대시보드로 내려가서 확인 가능</t>
    </r>
    <r>
      <rPr>
        <sz val="11"/>
        <color theme="1"/>
        <rFont val="Calibri"/>
        <family val="2"/>
        <charset val="1"/>
      </rPr>
      <t xml:space="preserve">.</t>
    </r>
  </si>
  <si>
    <t xml:space="preserve">프로젝트예산_현금성 시트(신규)</t>
  </si>
  <si>
    <r>
      <rPr>
        <sz val="11"/>
        <color theme="1"/>
        <rFont val="Calibri"/>
        <family val="2"/>
        <charset val="1"/>
      </rPr>
      <t xml:space="preserve">CA_</t>
    </r>
    <r>
      <rPr>
        <sz val="11"/>
        <color theme="1"/>
        <rFont val="Noto Sans CJK SC"/>
        <family val="2"/>
      </rPr>
      <t xml:space="preserve">개요</t>
    </r>
    <r>
      <rPr>
        <sz val="11"/>
        <color theme="1"/>
        <rFont val="Calibri"/>
        <family val="2"/>
        <charset val="1"/>
      </rPr>
      <t xml:space="preserve">/</t>
    </r>
    <r>
      <rPr>
        <sz val="11"/>
        <color theme="1"/>
        <rFont val="Noto Sans CJK SC"/>
        <family val="2"/>
      </rPr>
      <t xml:space="preserve">실적</t>
    </r>
    <r>
      <rPr>
        <sz val="11"/>
        <color theme="1"/>
        <rFont val="Calibri"/>
        <family val="2"/>
        <charset val="1"/>
      </rPr>
      <t xml:space="preserve">MM_</t>
    </r>
    <r>
      <rPr>
        <sz val="11"/>
        <color theme="1"/>
        <rFont val="Noto Sans CJK SC"/>
        <family val="2"/>
      </rPr>
      <t xml:space="preserve">입력</t>
    </r>
    <r>
      <rPr>
        <sz val="11"/>
        <color theme="1"/>
        <rFont val="Calibri"/>
        <family val="2"/>
        <charset val="1"/>
      </rPr>
      <t xml:space="preserve">/EVMS_</t>
    </r>
    <r>
      <rPr>
        <sz val="11"/>
        <color theme="1"/>
        <rFont val="Noto Sans CJK SC"/>
        <family val="2"/>
      </rPr>
      <t xml:space="preserve">대시보드는 전부 </t>
    </r>
    <r>
      <rPr>
        <sz val="11"/>
        <color theme="1"/>
        <rFont val="Calibri"/>
        <family val="2"/>
        <charset val="1"/>
      </rPr>
      <t xml:space="preserve">MM(</t>
    </r>
    <r>
      <rPr>
        <sz val="11"/>
        <color theme="1"/>
        <rFont val="Noto Sans CJK SC"/>
        <family val="2"/>
      </rPr>
      <t xml:space="preserve">인월</t>
    </r>
    <r>
      <rPr>
        <sz val="11"/>
        <color theme="1"/>
        <rFont val="Calibri"/>
        <family val="2"/>
        <charset val="1"/>
      </rPr>
      <t xml:space="preserve">) </t>
    </r>
    <r>
      <rPr>
        <sz val="11"/>
        <color theme="1"/>
        <rFont val="Noto Sans CJK SC"/>
        <family val="2"/>
      </rPr>
      <t xml:space="preserve">단위라 외주용역비</t>
    </r>
    <r>
      <rPr>
        <sz val="11"/>
        <color theme="1"/>
        <rFont val="Calibri"/>
        <family val="2"/>
        <charset val="1"/>
      </rPr>
      <t xml:space="preserve">·</t>
    </r>
    <r>
      <rPr>
        <sz val="11"/>
        <color theme="1"/>
        <rFont val="Noto Sans CJK SC"/>
        <family val="2"/>
      </rPr>
      <t xml:space="preserve">시작품 제작비 같은 현금성 프로젝트 예산이 보이지 않았다</t>
    </r>
    <r>
      <rPr>
        <sz val="11"/>
        <color theme="1"/>
        <rFont val="Calibri"/>
        <family val="2"/>
        <charset val="1"/>
      </rPr>
      <t xml:space="preserve">. </t>
    </r>
    <r>
      <rPr>
        <sz val="11"/>
        <color theme="1"/>
        <rFont val="Noto Sans CJK SC"/>
        <family val="2"/>
      </rPr>
      <t xml:space="preserve">이 시트가 그 공백을 메운다 — </t>
    </r>
    <r>
      <rPr>
        <sz val="11"/>
        <color theme="1"/>
        <rFont val="Calibri"/>
        <family val="2"/>
        <charset val="1"/>
      </rPr>
      <t xml:space="preserve">BSW </t>
    </r>
    <r>
      <rPr>
        <sz val="11"/>
        <color theme="1"/>
        <rFont val="Noto Sans CJK SC"/>
        <family val="2"/>
      </rPr>
      <t xml:space="preserve">외주개발</t>
    </r>
    <r>
      <rPr>
        <sz val="11"/>
        <color theme="1"/>
        <rFont val="Calibri"/>
        <family val="2"/>
        <charset val="1"/>
      </rPr>
      <t xml:space="preserve">/</t>
    </r>
    <r>
      <rPr>
        <sz val="11"/>
        <color theme="1"/>
        <rFont val="Noto Sans CJK SC"/>
        <family val="2"/>
      </rPr>
      <t xml:space="preserve">검증 용역비</t>
    </r>
    <r>
      <rPr>
        <sz val="11"/>
        <color theme="1"/>
        <rFont val="Calibri"/>
        <family val="2"/>
        <charset val="1"/>
      </rPr>
      <t xml:space="preserve">, </t>
    </r>
    <r>
      <rPr>
        <sz val="11"/>
        <color theme="1"/>
        <rFont val="Noto Sans CJK SC"/>
        <family val="2"/>
      </rPr>
      <t xml:space="preserve">시작용 제어기 제작비</t>
    </r>
    <r>
      <rPr>
        <sz val="11"/>
        <color theme="1"/>
        <rFont val="Calibri"/>
        <family val="2"/>
        <charset val="1"/>
      </rPr>
      <t xml:space="preserve">(A/B</t>
    </r>
    <r>
      <rPr>
        <sz val="11"/>
        <color theme="1"/>
        <rFont val="Noto Sans CJK SC"/>
        <family val="2"/>
      </rPr>
      <t xml:space="preserve">샘플</t>
    </r>
    <r>
      <rPr>
        <sz val="11"/>
        <color theme="1"/>
        <rFont val="Calibri"/>
        <family val="2"/>
        <charset val="1"/>
      </rPr>
      <t xml:space="preserve">)</t>
    </r>
    <r>
      <rPr>
        <sz val="11"/>
        <color theme="1"/>
        <rFont val="Noto Sans CJK SC"/>
        <family val="2"/>
      </rPr>
      <t xml:space="preserve">를 계획금액</t>
    </r>
    <r>
      <rPr>
        <sz val="11"/>
        <color theme="1"/>
        <rFont val="Calibri"/>
        <family val="2"/>
        <charset val="1"/>
      </rPr>
      <t xml:space="preserve">(</t>
    </r>
    <r>
      <rPr>
        <sz val="11"/>
        <color theme="1"/>
        <rFont val="Noto Sans CJK SC"/>
        <family val="2"/>
      </rPr>
      <t xml:space="preserve">원</t>
    </r>
    <r>
      <rPr>
        <sz val="11"/>
        <color theme="1"/>
        <rFont val="Calibri"/>
        <family val="2"/>
        <charset val="1"/>
      </rPr>
      <t xml:space="preserve">) </t>
    </r>
    <r>
      <rPr>
        <sz val="11"/>
        <color theme="1"/>
        <rFont val="Noto Sans CJK SC"/>
        <family val="2"/>
      </rPr>
      <t xml:space="preserve">기준으로 별도 추적하며</t>
    </r>
    <r>
      <rPr>
        <sz val="11"/>
        <color theme="1"/>
        <rFont val="Calibri"/>
        <family val="2"/>
        <charset val="1"/>
      </rPr>
      <t xml:space="preserve">, </t>
    </r>
    <r>
      <rPr>
        <sz val="11"/>
        <color theme="1"/>
        <rFont val="Noto Sans CJK SC"/>
        <family val="2"/>
      </rPr>
      <t xml:space="preserve">진도율은 </t>
    </r>
    <r>
      <rPr>
        <sz val="11"/>
        <color theme="1"/>
        <rFont val="Calibri"/>
        <family val="2"/>
        <charset val="1"/>
      </rPr>
      <t xml:space="preserve">CA_</t>
    </r>
    <r>
      <rPr>
        <sz val="11"/>
        <color theme="1"/>
        <rFont val="Noto Sans CJK SC"/>
        <family val="2"/>
      </rPr>
      <t xml:space="preserve">개요의 </t>
    </r>
    <r>
      <rPr>
        <sz val="11"/>
        <color theme="1"/>
        <rFont val="Calibri"/>
        <family val="2"/>
        <charset val="1"/>
      </rPr>
      <t xml:space="preserve">CA</t>
    </r>
    <r>
      <rPr>
        <sz val="11"/>
        <color theme="1"/>
        <rFont val="Noto Sans CJK SC"/>
        <family val="2"/>
      </rPr>
      <t xml:space="preserve">평가점수를 그대로 재사용해 이중입력을 피한다</t>
    </r>
    <r>
      <rPr>
        <sz val="11"/>
        <color theme="1"/>
        <rFont val="Calibri"/>
        <family val="2"/>
        <charset val="1"/>
      </rPr>
      <t xml:space="preserve">. </t>
    </r>
    <r>
      <rPr>
        <sz val="11"/>
        <color theme="1"/>
        <rFont val="Noto Sans CJK SC"/>
        <family val="2"/>
      </rPr>
      <t xml:space="preserve">노무단가 환산은 아직 하지 않으므로 </t>
    </r>
    <r>
      <rPr>
        <sz val="11"/>
        <color theme="1"/>
        <rFont val="Calibri"/>
        <family val="2"/>
        <charset val="1"/>
      </rPr>
      <t xml:space="preserve">MM </t>
    </r>
    <r>
      <rPr>
        <sz val="11"/>
        <color theme="1"/>
        <rFont val="Noto Sans CJK SC"/>
        <family val="2"/>
      </rPr>
      <t xml:space="preserve">기반 </t>
    </r>
    <r>
      <rPr>
        <sz val="11"/>
        <color theme="1"/>
        <rFont val="Calibri"/>
        <family val="2"/>
        <charset val="1"/>
      </rPr>
      <t xml:space="preserve">EVMS</t>
    </r>
    <r>
      <rPr>
        <sz val="11"/>
        <color theme="1"/>
        <rFont val="Noto Sans CJK SC"/>
        <family val="2"/>
      </rPr>
      <t xml:space="preserve">와는 독립된 축으로 운영된다</t>
    </r>
    <r>
      <rPr>
        <sz val="11"/>
        <color theme="1"/>
        <rFont val="Calibri"/>
        <family val="2"/>
        <charset val="1"/>
      </rPr>
      <t xml:space="preserve">.</t>
    </r>
  </si>
  <si>
    <t xml:space="preserve">약어</t>
  </si>
  <si>
    <t xml:space="preserve">원어</t>
  </si>
  <si>
    <t xml:space="preserve">의미</t>
  </si>
  <si>
    <t xml:space="preserve">EVMS</t>
  </si>
  <si>
    <t xml:space="preserve">Earned Value Management System</t>
  </si>
  <si>
    <t xml:space="preserve">획득가치 관리체계. 일정과 원가(성과)를 하나의 지표 체계로 통합 관리하는 기법</t>
  </si>
  <si>
    <t xml:space="preserve">WBS</t>
  </si>
  <si>
    <t xml:space="preserve">Work Breakdown Structure</t>
  </si>
  <si>
    <t xml:space="preserve">작업분류체계. 프로젝트 범위를 계층적으로 분해한 구조</t>
  </si>
  <si>
    <t xml:space="preserve">CA</t>
  </si>
  <si>
    <t xml:space="preserve">Control Account</t>
  </si>
  <si>
    <t xml:space="preserve">통제계정. WBS와 조직(책임자)이 교차하는 지점으로 EVMS 성과측정의 기본 단위</t>
  </si>
  <si>
    <t xml:space="preserve">WP</t>
  </si>
  <si>
    <t xml:space="preserve">Work Package</t>
  </si>
  <si>
    <t xml:space="preserve">작업패키지. CA 하위의 더 세분화된 실행단위(성과측정의 최소 단위)</t>
  </si>
  <si>
    <t xml:space="preserve">CAM</t>
  </si>
  <si>
    <t xml:space="preserve">Control Account Manager</t>
  </si>
  <si>
    <t xml:space="preserve">통제계정 관리자. 특정 CA의 일정/원가/성과에 대한 책임자</t>
  </si>
  <si>
    <t xml:space="preserve">LOE</t>
  </si>
  <si>
    <t xml:space="preserve">Level of Effort</t>
  </si>
  <si>
    <t xml:space="preserve">노력수준 활동. 명확한 산출물 없이 시간에 비례해 진행되는 활동</t>
  </si>
  <si>
    <t xml:space="preserve">PV / BCWS</t>
  </si>
  <si>
    <t xml:space="preserve">Planned Value / Budgeted Cost of Work Scheduled</t>
  </si>
  <si>
    <t xml:space="preserve">계획가치. 특정 시점까지 계획된 작업량의 예산가치</t>
  </si>
  <si>
    <t xml:space="preserve">EV / BCWP</t>
  </si>
  <si>
    <t xml:space="preserve">Earned Value / Budgeted Cost of Work Performed</t>
  </si>
  <si>
    <t xml:space="preserve">획득가치. 실제 완료된 작업량을 예산가치로 환산한 값(성과)</t>
  </si>
  <si>
    <t xml:space="preserve">AC / ACWP</t>
  </si>
  <si>
    <t xml:space="preserve">Actual Cost / Actual Cost of Work Performed</t>
  </si>
  <si>
    <t xml:space="preserve">실적원가. 실제 투입된 원가</t>
  </si>
  <si>
    <t xml:space="preserve">SV</t>
  </si>
  <si>
    <t xml:space="preserve">Schedule Variance</t>
  </si>
  <si>
    <t xml:space="preserve">일정차이 = BCWP − BCWS</t>
  </si>
  <si>
    <t xml:space="preserve">CV</t>
  </si>
  <si>
    <t xml:space="preserve">Cost Variance</t>
  </si>
  <si>
    <t xml:space="preserve">원가차이 = BCWP − ACWP</t>
  </si>
  <si>
    <t xml:space="preserve">SPI</t>
  </si>
  <si>
    <t xml:space="preserve">Schedule Performance Index</t>
  </si>
  <si>
    <t xml:space="preserve">일정성과지수 = BCWP / BCWS</t>
  </si>
  <si>
    <t xml:space="preserve">CPI</t>
  </si>
  <si>
    <t xml:space="preserve">Cost Performance Index</t>
  </si>
  <si>
    <t xml:space="preserve">원가성과지수 = BCWP / ACWP</t>
  </si>
  <si>
    <t xml:space="preserve">BAC</t>
  </si>
  <si>
    <t xml:space="preserve">Budget at Completion</t>
  </si>
  <si>
    <t xml:space="preserve">완료시점 총예산(해당 CA/WP/프로젝트에 배분된 계획예산 총액)</t>
  </si>
  <si>
    <t xml:space="preserve">EAC</t>
  </si>
  <si>
    <t xml:space="preserve">Estimate at Completion</t>
  </si>
  <si>
    <t xml:space="preserve">완료시점 예측원가 = 실적 + 잔여작업 예측원가</t>
  </si>
  <si>
    <t xml:space="preserve">PMB</t>
  </si>
  <si>
    <t xml:space="preserve">Performance Measurement Baseline</t>
  </si>
  <si>
    <t xml:space="preserve">성과측정기준선(시간에 따라 배분된 PV의 누적곡선)</t>
  </si>
  <si>
    <t xml:space="preserve">MM</t>
  </si>
  <si>
    <t xml:space="preserve">Man-Month</t>
  </si>
  <si>
    <t xml:space="preserve">인월. 투입 인력 공수 단위</t>
  </si>
  <si>
    <t xml:space="preserve">ASPICE</t>
  </si>
  <si>
    <t xml:space="preserve">Automotive SPICE</t>
  </si>
  <si>
    <t xml:space="preserve">자동차 SW 개발 프로세스 성숙도 평가 모델</t>
  </si>
  <si>
    <t xml:space="preserve">BP</t>
  </si>
  <si>
    <t xml:space="preserve">Base Practice</t>
  </si>
  <si>
    <r>
      <rPr>
        <sz val="10"/>
        <color theme="1"/>
        <rFont val="Times New Roman"/>
        <family val="1"/>
        <charset val="1"/>
      </rPr>
      <t xml:space="preserve">ASPICE </t>
    </r>
    <r>
      <rPr>
        <sz val="10"/>
        <color theme="1"/>
        <rFont val="Noto Sans CJK SC"/>
        <family val="2"/>
      </rPr>
      <t xml:space="preserve">프로세스별 정의된 기본 실천사항</t>
    </r>
    <r>
      <rPr>
        <sz val="10"/>
        <color theme="1"/>
        <rFont val="Times New Roman"/>
        <family val="1"/>
        <charset val="1"/>
      </rPr>
      <t xml:space="preserve">(</t>
    </r>
    <r>
      <rPr>
        <sz val="10"/>
        <color theme="1"/>
        <rFont val="Noto Sans CJK SC"/>
        <family val="2"/>
      </rPr>
      <t xml:space="preserve">역량평가 최소 단위</t>
    </r>
    <r>
      <rPr>
        <sz val="10"/>
        <color theme="1"/>
        <rFont val="Times New Roman"/>
        <family val="1"/>
        <charset val="1"/>
      </rPr>
      <t xml:space="preserve">)</t>
    </r>
  </si>
  <si>
    <t xml:space="preserve">CM</t>
  </si>
  <si>
    <t xml:space="preserve">Configuration Management</t>
  </si>
  <si>
    <t xml:space="preserve">형상관리</t>
  </si>
  <si>
    <t xml:space="preserve">ANSI/EIA-748</t>
  </si>
  <si>
    <t xml:space="preserve">—</t>
  </si>
  <si>
    <t xml:space="preserve">미국 EVMS 표준(32개 가이드라인, 정통 EVMS의 근거 표준)</t>
  </si>
  <si>
    <t xml:space="preserve">지표</t>
  </si>
  <si>
    <t xml:space="preserve">값</t>
  </si>
  <si>
    <t xml:space="preserve">기준 시점</t>
  </si>
  <si>
    <t xml:space="preserve">전체 진행률</t>
  </si>
  <si>
    <t xml:space="preserve">예산 소진율</t>
  </si>
  <si>
    <t xml:space="preserve">전체 신호등</t>
  </si>
  <si>
    <t xml:space="preserve">현금성 예산 집행률</t>
  </si>
  <si>
    <t xml:space="preserve">현금성 예산 신호등</t>
  </si>
  <si>
    <t xml:space="preserve">통합 진행률 (MM원화+현금성 합산)</t>
  </si>
  <si>
    <t xml:space="preserve">통합 신호등 (MM원화+현금성 합산)</t>
  </si>
  <si>
    <t xml:space="preserve">가장 주의가 필요한 영역 (하위 3개 CA)</t>
  </si>
  <si>
    <t xml:space="preserve">순위</t>
  </si>
  <si>
    <t xml:space="preserve">참고코드</t>
  </si>
  <si>
    <r>
      <rPr>
        <b val="true"/>
        <sz val="10"/>
        <color rgb="FFFFFFFF"/>
        <rFont val="Times New Roman"/>
        <family val="1"/>
        <charset val="1"/>
      </rPr>
      <t xml:space="preserve">CA</t>
    </r>
    <r>
      <rPr>
        <b val="true"/>
        <sz val="10"/>
        <color rgb="FFFFFFFF"/>
        <rFont val="Noto Sans CJK SC"/>
        <family val="2"/>
      </rPr>
      <t xml:space="preserve">명</t>
    </r>
  </si>
  <si>
    <t xml:space="preserve">담당자</t>
  </si>
  <si>
    <t xml:space="preserve">신호등</t>
  </si>
  <si>
    <t xml:space="preserve">핵심메모</t>
  </si>
  <si>
    <t xml:space="preserve">전체 CA 신호등 목록</t>
  </si>
  <si>
    <t xml:space="preserve">카테고리</t>
  </si>
  <si>
    <t xml:space="preserve">기존 신호등 방식과 달라진 점</t>
  </si>
  <si>
    <t xml:space="preserve">•</t>
  </si>
  <si>
    <t xml:space="preserve">전체가 '정상'으로 보여도 위 Top3 표에서 실제로 어떤 영역이 취약한지 항상 함께 보여준다(설계문서 15장: 전체 지표만으로는 CA 단위 문제를 가릴 수 있음이 6개 파일럿 시나리오에서 실증됨).</t>
  </si>
  <si>
    <t xml:space="preserve">신호등 색은 담당자의 주관적 판단이 아니라 WP_상세의 진도율과 실적MM_입력의 실적 공수를 결합한 계산값(EVMS_대시보드)에서 자동 산출된다.</t>
  </si>
  <si>
    <t xml:space="preserve">보고받는 사람은 이 시트만 보면 되고, 근거가 필요하면 EVMS_대시보드·WP_상세로 내려가서 확인할 수 있다.</t>
  </si>
  <si>
    <t xml:space="preserve">CA No</t>
  </si>
  <si>
    <t xml:space="preserve">Process(ASPICE)</t>
  </si>
  <si>
    <r>
      <rPr>
        <b val="true"/>
        <sz val="10"/>
        <color rgb="FFFFFFFF"/>
        <rFont val="Times New Roman"/>
        <family val="1"/>
        <charset val="1"/>
      </rPr>
      <t xml:space="preserve">CA</t>
    </r>
    <r>
      <rPr>
        <b val="true"/>
        <sz val="10"/>
        <color rgb="FFFFFFFF"/>
        <rFont val="Noto Sans CJK SC"/>
        <family val="2"/>
      </rPr>
      <t xml:space="preserve">명</t>
    </r>
    <r>
      <rPr>
        <b val="true"/>
        <sz val="10"/>
        <color rgb="FFFFFFFF"/>
        <rFont val="Times New Roman"/>
        <family val="1"/>
        <charset val="1"/>
      </rPr>
      <t xml:space="preserve">(</t>
    </r>
    <r>
      <rPr>
        <b val="true"/>
        <sz val="10"/>
        <color rgb="FFFFFFFF"/>
        <rFont val="Noto Sans CJK SC"/>
        <family val="2"/>
      </rPr>
      <t xml:space="preserve">국문</t>
    </r>
    <r>
      <rPr>
        <b val="true"/>
        <sz val="10"/>
        <color rgb="FFFFFFFF"/>
        <rFont val="Times New Roman"/>
        <family val="1"/>
        <charset val="1"/>
      </rPr>
      <t xml:space="preserve">)</t>
    </r>
  </si>
  <si>
    <t xml:space="preserve">관리유형</t>
  </si>
  <si>
    <t xml:space="preserve">기본 마일스톤 배정</t>
  </si>
  <si>
    <r>
      <rPr>
        <b val="true"/>
        <sz val="10"/>
        <color rgb="FFFFFFFF"/>
        <rFont val="Times New Roman"/>
        <family val="1"/>
        <charset val="1"/>
      </rPr>
      <t xml:space="preserve">CAM(</t>
    </r>
    <r>
      <rPr>
        <b val="true"/>
        <sz val="10"/>
        <color rgb="FFFFFFFF"/>
        <rFont val="Noto Sans CJK SC"/>
        <family val="2"/>
      </rPr>
      <t xml:space="preserve">담당자</t>
    </r>
    <r>
      <rPr>
        <b val="true"/>
        <sz val="10"/>
        <color rgb="FFFFFFFF"/>
        <rFont val="Times New Roman"/>
        <family val="1"/>
        <charset val="1"/>
      </rPr>
      <t xml:space="preserve">)</t>
    </r>
  </si>
  <si>
    <r>
      <rPr>
        <b val="true"/>
        <sz val="10"/>
        <color rgb="FFFFFFFF"/>
        <rFont val="Times New Roman"/>
        <family val="1"/>
        <charset val="1"/>
      </rPr>
      <t xml:space="preserve">BAC </t>
    </r>
    <r>
      <rPr>
        <b val="true"/>
        <sz val="10"/>
        <color rgb="FFFFFFFF"/>
        <rFont val="Noto Sans CJK SC"/>
        <family val="2"/>
      </rPr>
      <t xml:space="preserve">배분비중</t>
    </r>
    <r>
      <rPr>
        <b val="true"/>
        <sz val="10"/>
        <color rgb="FFFFFFFF"/>
        <rFont val="Times New Roman"/>
        <family val="1"/>
        <charset val="1"/>
      </rPr>
      <t xml:space="preserve">(%)</t>
    </r>
  </si>
  <si>
    <t xml:space="preserve">소속 WP 개수</t>
  </si>
  <si>
    <r>
      <rPr>
        <b val="true"/>
        <sz val="10"/>
        <color rgb="FFFFFFFF"/>
        <rFont val="Times New Roman"/>
        <family val="1"/>
        <charset val="1"/>
      </rPr>
      <t xml:space="preserve">CA </t>
    </r>
    <r>
      <rPr>
        <b val="true"/>
        <sz val="10"/>
        <color rgb="FFFFFFFF"/>
        <rFont val="Noto Sans CJK SC"/>
        <family val="2"/>
      </rPr>
      <t xml:space="preserve">평가점수</t>
    </r>
    <r>
      <rPr>
        <b val="true"/>
        <sz val="10"/>
        <color rgb="FFFFFFFF"/>
        <rFont val="Times New Roman"/>
        <family val="1"/>
        <charset val="1"/>
      </rPr>
      <t xml:space="preserve">(100</t>
    </r>
    <r>
      <rPr>
        <b val="true"/>
        <sz val="10"/>
        <color rgb="FFFFFFFF"/>
        <rFont val="Noto Sans CJK SC"/>
        <family val="2"/>
      </rPr>
      <t xml:space="preserve">점</t>
    </r>
    <r>
      <rPr>
        <b val="true"/>
        <sz val="10"/>
        <color rgb="FFFFFFFF"/>
        <rFont val="Times New Roman"/>
        <family val="1"/>
        <charset val="1"/>
      </rPr>
      <t xml:space="preserve">,</t>
    </r>
    <r>
      <rPr>
        <b val="true"/>
        <sz val="10"/>
        <color rgb="FFFFFFFF"/>
        <rFont val="Noto Sans CJK SC"/>
        <family val="2"/>
      </rPr>
      <t xml:space="preserve">자동</t>
    </r>
    <r>
      <rPr>
        <b val="true"/>
        <sz val="10"/>
        <color rgb="FFFFFFFF"/>
        <rFont val="Times New Roman"/>
        <family val="1"/>
        <charset val="1"/>
      </rPr>
      <t xml:space="preserve">)</t>
    </r>
  </si>
  <si>
    <t xml:space="preserve">ACQ.4</t>
  </si>
  <si>
    <t xml:space="preserve">협약/공급자 모니터링</t>
  </si>
  <si>
    <t xml:space="preserve">혼합</t>
  </si>
  <si>
    <t xml:space="preserve">조달</t>
  </si>
  <si>
    <t xml:space="preserve">M-Car~P1</t>
  </si>
  <si>
    <t xml:space="preserve">외주용역(개발/검증시험) 계약이 있는 경우 사용. 외주 비중이 클수록 조달 CA 비중도 커짐(가정 시트 시나리오 참조)</t>
  </si>
  <si>
    <t xml:space="preserve">SPL.2</t>
  </si>
  <si>
    <t xml:space="preserve">제품 릴리스 관리</t>
  </si>
  <si>
    <t xml:space="preserve">Discrete</t>
  </si>
  <si>
    <t xml:space="preserve">릴리스</t>
  </si>
  <si>
    <t xml:space="preserve">릴리즈이력 별도관리</t>
  </si>
  <si>
    <t xml:space="preserve">설계문서 8장의 '고객 합의 SW 배포' 마일스톤과 직결되는 CA. 원본 워크북 릴리즈이력 시트로 별도 상세관리</t>
  </si>
  <si>
    <t xml:space="preserve">MAN.3</t>
  </si>
  <si>
    <t xml:space="preserve">프로젝트 관리</t>
  </si>
  <si>
    <t xml:space="preserve">혼합(LOE 위주)</t>
  </si>
  <si>
    <t xml:space="preserve">관리/LOE</t>
  </si>
  <si>
    <r>
      <rPr>
        <sz val="10"/>
        <rFont val="Times New Roman"/>
        <family val="1"/>
        <charset val="1"/>
      </rPr>
      <t xml:space="preserve">BP10(</t>
    </r>
    <r>
      <rPr>
        <sz val="10"/>
        <rFont val="Noto Sans CJK SC"/>
        <family val="2"/>
      </rPr>
      <t xml:space="preserve">진척현황보고서</t>
    </r>
    <r>
      <rPr>
        <sz val="10"/>
        <rFont val="Times New Roman"/>
        <family val="1"/>
        <charset val="1"/>
      </rPr>
      <t xml:space="preserve">)</t>
    </r>
    <r>
      <rPr>
        <sz val="10"/>
        <rFont val="Noto Sans CJK SC"/>
        <family val="2"/>
      </rPr>
      <t xml:space="preserve">만 </t>
    </r>
    <r>
      <rPr>
        <sz val="10"/>
        <rFont val="Times New Roman"/>
        <family val="1"/>
        <charset val="1"/>
      </rPr>
      <t xml:space="preserve">LOE </t>
    </r>
    <r>
      <rPr>
        <sz val="10"/>
        <rFont val="Noto Sans CJK SC"/>
        <family val="2"/>
      </rPr>
      <t xml:space="preserve">제안</t>
    </r>
    <r>
      <rPr>
        <sz val="10"/>
        <rFont val="Times New Roman"/>
        <family val="1"/>
        <charset val="1"/>
      </rPr>
      <t xml:space="preserve">, </t>
    </r>
    <r>
      <rPr>
        <sz val="10"/>
        <rFont val="Noto Sans CJK SC"/>
        <family val="2"/>
      </rPr>
      <t xml:space="preserve">나머지는 </t>
    </r>
    <r>
      <rPr>
        <sz val="10"/>
        <rFont val="Times New Roman"/>
        <family val="1"/>
        <charset val="1"/>
      </rPr>
      <t xml:space="preserve">1</t>
    </r>
    <r>
      <rPr>
        <sz val="10"/>
        <rFont val="Noto Sans CJK SC"/>
        <family val="2"/>
      </rPr>
      <t xml:space="preserve">회성 계획서로 </t>
    </r>
    <r>
      <rPr>
        <sz val="10"/>
        <rFont val="Times New Roman"/>
        <family val="1"/>
        <charset val="1"/>
      </rPr>
      <t xml:space="preserve">Discrete </t>
    </r>
    <r>
      <rPr>
        <sz val="10"/>
        <rFont val="Noto Sans CJK SC"/>
        <family val="2"/>
      </rPr>
      <t xml:space="preserve">제안</t>
    </r>
  </si>
  <si>
    <t xml:space="preserve">SUP.1</t>
  </si>
  <si>
    <t xml:space="preserve">품질보증(QA)</t>
  </si>
  <si>
    <t xml:space="preserve">정기 QA활동은 LOE, 감사보고서 발행 등 이벤트는 Discrete로 WP_상세에서 구분</t>
  </si>
  <si>
    <t xml:space="preserve">SUP.8</t>
  </si>
  <si>
    <t xml:space="preserve">형상관리(CM)</t>
  </si>
  <si>
    <t xml:space="preserve">일상 형상통제는 LOE, 베이스라인 수립 등 이벤트는 Discrete로 WP_상세에서 구분</t>
  </si>
  <si>
    <t xml:space="preserve">SUP.9</t>
  </si>
  <si>
    <t xml:space="preserve">문제해결관리</t>
  </si>
  <si>
    <r>
      <rPr>
        <sz val="10"/>
        <rFont val="Times New Roman"/>
        <family val="1"/>
        <charset val="1"/>
      </rPr>
      <t xml:space="preserve">LOE </t>
    </r>
    <r>
      <rPr>
        <sz val="10"/>
        <rFont val="Noto Sans CJK SC"/>
        <family val="2"/>
      </rPr>
      <t xml:space="preserve">위주</t>
    </r>
  </si>
  <si>
    <r>
      <rPr>
        <sz val="10"/>
        <rFont val="Times New Roman"/>
        <family val="1"/>
        <charset val="1"/>
      </rPr>
      <t xml:space="preserve">Proto~P1(</t>
    </r>
    <r>
      <rPr>
        <sz val="10"/>
        <rFont val="Noto Sans CJK SC"/>
        <family val="2"/>
      </rPr>
      <t xml:space="preserve">반복</t>
    </r>
    <r>
      <rPr>
        <sz val="10"/>
        <rFont val="Times New Roman"/>
        <family val="1"/>
        <charset val="1"/>
      </rPr>
      <t xml:space="preserve">:M-Car,Proto,P1)</t>
    </r>
  </si>
  <si>
    <t xml:space="preserve">이슈 특성상 대부분 LOE 제안. 반복평가(M-Car/Proto/P1) 마일스톤 스냅샷은 원본 워크북 참조</t>
  </si>
  <si>
    <t xml:space="preserve">SUP.10</t>
  </si>
  <si>
    <t xml:space="preserve">변경요청관리</t>
  </si>
  <si>
    <t xml:space="preserve">Proto~P1</t>
  </si>
  <si>
    <t xml:space="preserve">일상 변경요청 처리는 LOE, 추적성매트릭스 등은 Discrete로 WP_상세에서 구분</t>
  </si>
  <si>
    <t xml:space="preserve">SUP.11</t>
  </si>
  <si>
    <r>
      <rPr>
        <sz val="10"/>
        <rFont val="Times New Roman"/>
        <family val="1"/>
        <charset val="1"/>
      </rPr>
      <t xml:space="preserve">ML </t>
    </r>
    <r>
      <rPr>
        <sz val="10"/>
        <rFont val="Noto Sans CJK SC"/>
        <family val="2"/>
      </rPr>
      <t xml:space="preserve">데이터관리</t>
    </r>
    <r>
      <rPr>
        <sz val="10"/>
        <rFont val="Times New Roman"/>
        <family val="1"/>
        <charset val="1"/>
      </rPr>
      <t xml:space="preserve">(ASW</t>
    </r>
    <r>
      <rPr>
        <sz val="10"/>
        <rFont val="Noto Sans CJK SC"/>
        <family val="2"/>
      </rPr>
      <t xml:space="preserve">에 포함</t>
    </r>
    <r>
      <rPr>
        <sz val="10"/>
        <rFont val="Times New Roman"/>
        <family val="1"/>
        <charset val="1"/>
      </rPr>
      <t xml:space="preserve">)</t>
    </r>
  </si>
  <si>
    <t xml:space="preserve">ASW</t>
  </si>
  <si>
    <r>
      <rPr>
        <sz val="10"/>
        <rFont val="Times New Roman"/>
        <family val="1"/>
        <charset val="1"/>
      </rPr>
      <t xml:space="preserve">ML</t>
    </r>
    <r>
      <rPr>
        <sz val="10"/>
        <rFont val="Noto Sans CJK SC"/>
        <family val="2"/>
      </rPr>
      <t xml:space="preserve">을 별도 관리하지 않고 </t>
    </r>
    <r>
      <rPr>
        <sz val="10"/>
        <rFont val="Times New Roman"/>
        <family val="1"/>
        <charset val="1"/>
      </rPr>
      <t xml:space="preserve">ASW</t>
    </r>
    <r>
      <rPr>
        <sz val="10"/>
        <rFont val="Noto Sans CJK SC"/>
        <family val="2"/>
      </rPr>
      <t xml:space="preserve">의 일부로 취급</t>
    </r>
    <r>
      <rPr>
        <sz val="10"/>
        <rFont val="Times New Roman"/>
        <family val="1"/>
        <charset val="1"/>
      </rPr>
      <t xml:space="preserve">(</t>
    </r>
    <r>
      <rPr>
        <sz val="10"/>
        <rFont val="Noto Sans CJK SC"/>
        <family val="2"/>
      </rPr>
      <t xml:space="preserve">가정</t>
    </r>
    <r>
      <rPr>
        <sz val="10"/>
        <rFont val="Times New Roman"/>
        <family val="1"/>
        <charset val="1"/>
      </rPr>
      <t xml:space="preserve">)</t>
    </r>
    <r>
      <rPr>
        <sz val="10"/>
        <rFont val="Noto Sans CJK SC"/>
        <family val="2"/>
      </rPr>
      <t xml:space="preserve">하되</t>
    </r>
    <r>
      <rPr>
        <sz val="10"/>
        <rFont val="Times New Roman"/>
        <family val="1"/>
        <charset val="1"/>
      </rPr>
      <t xml:space="preserve">, </t>
    </r>
    <r>
      <rPr>
        <sz val="10"/>
        <rFont val="Noto Sans CJK SC"/>
        <family val="2"/>
      </rPr>
      <t xml:space="preserve">원본 워크북 </t>
    </r>
    <r>
      <rPr>
        <sz val="10"/>
        <rFont val="Times New Roman"/>
        <family val="1"/>
        <charset val="1"/>
      </rPr>
      <t xml:space="preserve">BP </t>
    </r>
    <r>
      <rPr>
        <sz val="10"/>
        <rFont val="Noto Sans CJK SC"/>
        <family val="2"/>
      </rPr>
      <t xml:space="preserve">구조를 유지하기 위해 </t>
    </r>
    <r>
      <rPr>
        <sz val="10"/>
        <rFont val="Times New Roman"/>
        <family val="1"/>
        <charset val="1"/>
      </rPr>
      <t xml:space="preserve">CA</t>
    </r>
    <r>
      <rPr>
        <sz val="10"/>
        <rFont val="Noto Sans CJK SC"/>
        <family val="2"/>
      </rPr>
      <t xml:space="preserve">는 별도로 남김</t>
    </r>
  </si>
  <si>
    <t xml:space="preserve">SYS.2</t>
  </si>
  <si>
    <t xml:space="preserve">시스템 요구사항분석</t>
  </si>
  <si>
    <t xml:space="preserve">시스템</t>
  </si>
  <si>
    <t xml:space="preserve">M-Car</t>
  </si>
  <si>
    <t xml:space="preserve">SYS.3</t>
  </si>
  <si>
    <t xml:space="preserve">시스템 아키텍처설계</t>
  </si>
  <si>
    <t xml:space="preserve">SYS.4</t>
  </si>
  <si>
    <t xml:space="preserve">시스템 통합/통합검증</t>
  </si>
  <si>
    <t xml:space="preserve">SYS.5</t>
  </si>
  <si>
    <t xml:space="preserve">시스템 검증</t>
  </si>
  <si>
    <t xml:space="preserve">P1~P2</t>
  </si>
  <si>
    <t xml:space="preserve">SWE.1</t>
  </si>
  <si>
    <r>
      <rPr>
        <sz val="10"/>
        <rFont val="Times New Roman"/>
        <family val="1"/>
        <charset val="1"/>
      </rPr>
      <t xml:space="preserve">SW </t>
    </r>
    <r>
      <rPr>
        <sz val="10"/>
        <rFont val="Noto Sans CJK SC"/>
        <family val="2"/>
      </rPr>
      <t xml:space="preserve">요구사항분석</t>
    </r>
  </si>
  <si>
    <t xml:space="preserve">공통(SW설계)</t>
  </si>
  <si>
    <t xml:space="preserve">SWE.2</t>
  </si>
  <si>
    <r>
      <rPr>
        <sz val="10"/>
        <rFont val="Times New Roman"/>
        <family val="1"/>
        <charset val="1"/>
      </rPr>
      <t xml:space="preserve">SW </t>
    </r>
    <r>
      <rPr>
        <sz val="10"/>
        <rFont val="Noto Sans CJK SC"/>
        <family val="2"/>
      </rPr>
      <t xml:space="preserve">아키텍처설계</t>
    </r>
  </si>
  <si>
    <t xml:space="preserve">SWE.3-ASW</t>
  </si>
  <si>
    <r>
      <rPr>
        <sz val="10"/>
        <rFont val="Times New Roman"/>
        <family val="1"/>
        <charset val="1"/>
      </rPr>
      <t xml:space="preserve">SW </t>
    </r>
    <r>
      <rPr>
        <sz val="10"/>
        <rFont val="Noto Sans CJK SC"/>
        <family val="2"/>
      </rPr>
      <t xml:space="preserve">상세설계</t>
    </r>
    <r>
      <rPr>
        <sz val="10"/>
        <rFont val="Times New Roman"/>
        <family val="1"/>
        <charset val="1"/>
      </rPr>
      <t xml:space="preserve">/</t>
    </r>
    <r>
      <rPr>
        <sz val="10"/>
        <rFont val="Noto Sans CJK SC"/>
        <family val="2"/>
      </rPr>
      <t xml:space="preserve">단위구현</t>
    </r>
    <r>
      <rPr>
        <sz val="10"/>
        <rFont val="Times New Roman"/>
        <family val="1"/>
        <charset val="1"/>
      </rPr>
      <t xml:space="preserve">(ASW)</t>
    </r>
  </si>
  <si>
    <t xml:space="preserve">Proto</t>
  </si>
  <si>
    <t xml:space="preserve">원본 워크북은 계층 구분이 없어 SWE.3 BP를 그대로 복제. 자가평가 시 ASW분과 BSW분을 각자 채점 필요</t>
  </si>
  <si>
    <t xml:space="preserve">SWE.3-BSW</t>
  </si>
  <si>
    <r>
      <rPr>
        <sz val="10"/>
        <rFont val="Times New Roman"/>
        <family val="1"/>
        <charset val="1"/>
      </rPr>
      <t xml:space="preserve">SW </t>
    </r>
    <r>
      <rPr>
        <sz val="10"/>
        <rFont val="Noto Sans CJK SC"/>
        <family val="2"/>
      </rPr>
      <t xml:space="preserve">상세설계</t>
    </r>
    <r>
      <rPr>
        <sz val="10"/>
        <rFont val="Times New Roman"/>
        <family val="1"/>
        <charset val="1"/>
      </rPr>
      <t xml:space="preserve">/</t>
    </r>
    <r>
      <rPr>
        <sz val="10"/>
        <rFont val="Noto Sans CJK SC"/>
        <family val="2"/>
      </rPr>
      <t xml:space="preserve">단위구현</t>
    </r>
    <r>
      <rPr>
        <sz val="10"/>
        <rFont val="Times New Roman"/>
        <family val="1"/>
        <charset val="1"/>
      </rPr>
      <t xml:space="preserve">(BSW)</t>
    </r>
  </si>
  <si>
    <t xml:space="preserve">BSW</t>
  </si>
  <si>
    <t xml:space="preserve">외주 또는 AUTOSAR 구매 시 이 CA가 조달(ACQ.4)과 함께 커짐. 원본 워크북은 계층 구분이 없어 SWE.3 BP를 그대로 복제</t>
  </si>
  <si>
    <t xml:space="preserve">SWE.4-ASW</t>
  </si>
  <si>
    <r>
      <rPr>
        <sz val="10"/>
        <rFont val="Times New Roman"/>
        <family val="1"/>
        <charset val="1"/>
      </rPr>
      <t xml:space="preserve">SW </t>
    </r>
    <r>
      <rPr>
        <sz val="10"/>
        <rFont val="Noto Sans CJK SC"/>
        <family val="2"/>
      </rPr>
      <t xml:space="preserve">단위검증</t>
    </r>
    <r>
      <rPr>
        <sz val="10"/>
        <rFont val="Times New Roman"/>
        <family val="1"/>
        <charset val="1"/>
      </rPr>
      <t xml:space="preserve">(ASW)</t>
    </r>
  </si>
  <si>
    <t xml:space="preserve">원본 워크북은 계층 구분이 없어 SWE.4 BP를 그대로 복제. 자가평가 시 ASW분과 BSW분을 각자 채점 필요</t>
  </si>
  <si>
    <t xml:space="preserve">SWE.4-BSW</t>
  </si>
  <si>
    <r>
      <rPr>
        <sz val="10"/>
        <rFont val="Times New Roman"/>
        <family val="1"/>
        <charset val="1"/>
      </rPr>
      <t xml:space="preserve">SW </t>
    </r>
    <r>
      <rPr>
        <sz val="10"/>
        <rFont val="Noto Sans CJK SC"/>
        <family val="2"/>
      </rPr>
      <t xml:space="preserve">단위검증</t>
    </r>
    <r>
      <rPr>
        <sz val="10"/>
        <rFont val="Times New Roman"/>
        <family val="1"/>
        <charset val="1"/>
      </rPr>
      <t xml:space="preserve">(BSW)</t>
    </r>
  </si>
  <si>
    <t xml:space="preserve">외주 또는 AUTOSAR 구매 시 이 CA가 조달(ACQ.4)과 함께 커짐. 원본 워크북은 계층 구분이 없어 SWE.4 BP를 그대로 복제</t>
  </si>
  <si>
    <t xml:space="preserve">SWE.5</t>
  </si>
  <si>
    <r>
      <rPr>
        <sz val="10"/>
        <rFont val="Times New Roman"/>
        <family val="1"/>
        <charset val="1"/>
      </rPr>
      <t xml:space="preserve">SW </t>
    </r>
    <r>
      <rPr>
        <sz val="10"/>
        <rFont val="Noto Sans CJK SC"/>
        <family val="2"/>
      </rPr>
      <t xml:space="preserve">통합</t>
    </r>
    <r>
      <rPr>
        <sz val="10"/>
        <rFont val="Times New Roman"/>
        <family val="1"/>
        <charset val="1"/>
      </rPr>
      <t xml:space="preserve">/</t>
    </r>
    <r>
      <rPr>
        <sz val="10"/>
        <rFont val="Noto Sans CJK SC"/>
        <family val="2"/>
      </rPr>
      <t xml:space="preserve">통합검증</t>
    </r>
  </si>
  <si>
    <t xml:space="preserve">통합</t>
  </si>
  <si>
    <t xml:space="preserve">SWE.6</t>
  </si>
  <si>
    <r>
      <rPr>
        <sz val="10"/>
        <rFont val="Times New Roman"/>
        <family val="1"/>
        <charset val="1"/>
      </rPr>
      <t xml:space="preserve">SW </t>
    </r>
    <r>
      <rPr>
        <sz val="10"/>
        <rFont val="Noto Sans CJK SC"/>
        <family val="2"/>
      </rPr>
      <t xml:space="preserve">검증</t>
    </r>
  </si>
  <si>
    <t xml:space="preserve">검증</t>
  </si>
  <si>
    <t xml:space="preserve">VAL.1</t>
  </si>
  <si>
    <t xml:space="preserve">제품확인(Validation)</t>
  </si>
  <si>
    <t xml:space="preserve">P2</t>
  </si>
  <si>
    <t xml:space="preserve">MLE.1</t>
  </si>
  <si>
    <r>
      <rPr>
        <sz val="10"/>
        <rFont val="Times New Roman"/>
        <family val="1"/>
        <charset val="1"/>
      </rPr>
      <t xml:space="preserve">ML </t>
    </r>
    <r>
      <rPr>
        <sz val="10"/>
        <rFont val="Noto Sans CJK SC"/>
        <family val="2"/>
      </rPr>
      <t xml:space="preserve">요구사항분석</t>
    </r>
    <r>
      <rPr>
        <sz val="10"/>
        <rFont val="Times New Roman"/>
        <family val="1"/>
        <charset val="1"/>
      </rPr>
      <t xml:space="preserve">(ASW</t>
    </r>
    <r>
      <rPr>
        <sz val="10"/>
        <rFont val="Noto Sans CJK SC"/>
        <family val="2"/>
      </rPr>
      <t xml:space="preserve">에 포함</t>
    </r>
    <r>
      <rPr>
        <sz val="10"/>
        <rFont val="Times New Roman"/>
        <family val="1"/>
        <charset val="1"/>
      </rPr>
      <t xml:space="preserve">)</t>
    </r>
  </si>
  <si>
    <r>
      <rPr>
        <sz val="10"/>
        <rFont val="Times New Roman"/>
        <family val="1"/>
        <charset val="1"/>
      </rPr>
      <t xml:space="preserve">ML</t>
    </r>
    <r>
      <rPr>
        <sz val="10"/>
        <rFont val="Noto Sans CJK SC"/>
        <family val="2"/>
      </rPr>
      <t xml:space="preserve">을 별도 관리하지 않고 </t>
    </r>
    <r>
      <rPr>
        <sz val="10"/>
        <rFont val="Times New Roman"/>
        <family val="1"/>
        <charset val="1"/>
      </rPr>
      <t xml:space="preserve">ASW</t>
    </r>
    <r>
      <rPr>
        <sz val="10"/>
        <rFont val="Noto Sans CJK SC"/>
        <family val="2"/>
      </rPr>
      <t xml:space="preserve">의 일부로 취급</t>
    </r>
    <r>
      <rPr>
        <sz val="10"/>
        <rFont val="Times New Roman"/>
        <family val="1"/>
        <charset val="1"/>
      </rPr>
      <t xml:space="preserve">(</t>
    </r>
    <r>
      <rPr>
        <sz val="10"/>
        <rFont val="Noto Sans CJK SC"/>
        <family val="2"/>
      </rPr>
      <t xml:space="preserve">가정</t>
    </r>
    <r>
      <rPr>
        <sz val="10"/>
        <rFont val="Times New Roman"/>
        <family val="1"/>
        <charset val="1"/>
      </rPr>
      <t xml:space="preserve">)</t>
    </r>
  </si>
  <si>
    <t xml:space="preserve">MLE.2</t>
  </si>
  <si>
    <r>
      <rPr>
        <sz val="10"/>
        <rFont val="Times New Roman"/>
        <family val="1"/>
        <charset val="1"/>
      </rPr>
      <t xml:space="preserve">ML </t>
    </r>
    <r>
      <rPr>
        <sz val="10"/>
        <rFont val="Noto Sans CJK SC"/>
        <family val="2"/>
      </rPr>
      <t xml:space="preserve">아키텍처설계</t>
    </r>
    <r>
      <rPr>
        <sz val="10"/>
        <rFont val="Times New Roman"/>
        <family val="1"/>
        <charset val="1"/>
      </rPr>
      <t xml:space="preserve">(ASW</t>
    </r>
    <r>
      <rPr>
        <sz val="10"/>
        <rFont val="Noto Sans CJK SC"/>
        <family val="2"/>
      </rPr>
      <t xml:space="preserve">에 포함</t>
    </r>
    <r>
      <rPr>
        <sz val="10"/>
        <rFont val="Times New Roman"/>
        <family val="1"/>
        <charset val="1"/>
      </rPr>
      <t xml:space="preserve">)</t>
    </r>
  </si>
  <si>
    <t xml:space="preserve">MLE.3</t>
  </si>
  <si>
    <r>
      <rPr>
        <sz val="10"/>
        <rFont val="Times New Roman"/>
        <family val="1"/>
        <charset val="1"/>
      </rPr>
      <t xml:space="preserve">ML </t>
    </r>
    <r>
      <rPr>
        <sz val="10"/>
        <rFont val="Noto Sans CJK SC"/>
        <family val="2"/>
      </rPr>
      <t xml:space="preserve">훈련</t>
    </r>
    <r>
      <rPr>
        <sz val="10"/>
        <rFont val="Times New Roman"/>
        <family val="1"/>
        <charset val="1"/>
      </rPr>
      <t xml:space="preserve">/</t>
    </r>
    <r>
      <rPr>
        <sz val="10"/>
        <rFont val="Noto Sans CJK SC"/>
        <family val="2"/>
      </rPr>
      <t xml:space="preserve">검증</t>
    </r>
    <r>
      <rPr>
        <sz val="10"/>
        <rFont val="Times New Roman"/>
        <family val="1"/>
        <charset val="1"/>
      </rPr>
      <t xml:space="preserve">(ASW</t>
    </r>
    <r>
      <rPr>
        <sz val="10"/>
        <rFont val="Noto Sans CJK SC"/>
        <family val="2"/>
      </rPr>
      <t xml:space="preserve">에 포함</t>
    </r>
    <r>
      <rPr>
        <sz val="10"/>
        <rFont val="Times New Roman"/>
        <family val="1"/>
        <charset val="1"/>
      </rPr>
      <t xml:space="preserve">)</t>
    </r>
  </si>
  <si>
    <t xml:space="preserve">MLE.4</t>
  </si>
  <si>
    <r>
      <rPr>
        <sz val="10"/>
        <rFont val="Times New Roman"/>
        <family val="1"/>
        <charset val="1"/>
      </rPr>
      <t xml:space="preserve">ML </t>
    </r>
    <r>
      <rPr>
        <sz val="10"/>
        <rFont val="Noto Sans CJK SC"/>
        <family val="2"/>
      </rPr>
      <t xml:space="preserve">테스트</t>
    </r>
    <r>
      <rPr>
        <sz val="10"/>
        <rFont val="Times New Roman"/>
        <family val="1"/>
        <charset val="1"/>
      </rPr>
      <t xml:space="preserve">(ASW</t>
    </r>
    <r>
      <rPr>
        <sz val="10"/>
        <rFont val="Noto Sans CJK SC"/>
        <family val="2"/>
      </rPr>
      <t xml:space="preserve">에 포함</t>
    </r>
    <r>
      <rPr>
        <sz val="10"/>
        <rFont val="Times New Roman"/>
        <family val="1"/>
        <charset val="1"/>
      </rPr>
      <t xml:space="preserve">)</t>
    </r>
  </si>
  <si>
    <t xml:space="preserve">HWE.1</t>
  </si>
  <si>
    <r>
      <rPr>
        <sz val="10"/>
        <rFont val="Times New Roman"/>
        <family val="1"/>
        <charset val="1"/>
      </rPr>
      <t xml:space="preserve">HW </t>
    </r>
    <r>
      <rPr>
        <sz val="10"/>
        <rFont val="Noto Sans CJK SC"/>
        <family val="2"/>
      </rPr>
      <t xml:space="preserve">요구사항분석</t>
    </r>
  </si>
  <si>
    <t xml:space="preserve">HW</t>
  </si>
  <si>
    <r>
      <rPr>
        <sz val="10"/>
        <rFont val="Times New Roman"/>
        <family val="1"/>
        <charset val="1"/>
      </rPr>
      <t xml:space="preserve">A/B </t>
    </r>
    <r>
      <rPr>
        <sz val="10"/>
        <rFont val="Noto Sans CJK SC"/>
        <family val="2"/>
      </rPr>
      <t xml:space="preserve">샘플 개발 등 </t>
    </r>
    <r>
      <rPr>
        <sz val="10"/>
        <rFont val="Times New Roman"/>
        <family val="1"/>
        <charset val="1"/>
      </rPr>
      <t xml:space="preserve">HW </t>
    </r>
    <r>
      <rPr>
        <sz val="10"/>
        <rFont val="Noto Sans CJK SC"/>
        <family val="2"/>
      </rPr>
      <t xml:space="preserve">병행개발 존재를 가정하여 실질 비중 배정</t>
    </r>
  </si>
  <si>
    <t xml:space="preserve">HWE.2</t>
  </si>
  <si>
    <r>
      <rPr>
        <sz val="10"/>
        <rFont val="Times New Roman"/>
        <family val="1"/>
        <charset val="1"/>
      </rPr>
      <t xml:space="preserve">HW </t>
    </r>
    <r>
      <rPr>
        <sz val="10"/>
        <rFont val="Noto Sans CJK SC"/>
        <family val="2"/>
      </rPr>
      <t xml:space="preserve">아키텍처</t>
    </r>
    <r>
      <rPr>
        <sz val="10"/>
        <rFont val="Times New Roman"/>
        <family val="1"/>
        <charset val="1"/>
      </rPr>
      <t xml:space="preserve">/</t>
    </r>
    <r>
      <rPr>
        <sz val="10"/>
        <rFont val="Noto Sans CJK SC"/>
        <family val="2"/>
      </rPr>
      <t xml:space="preserve">상세설계</t>
    </r>
  </si>
  <si>
    <t xml:space="preserve">HWE.3</t>
  </si>
  <si>
    <r>
      <rPr>
        <sz val="10"/>
        <rFont val="Times New Roman"/>
        <family val="1"/>
        <charset val="1"/>
      </rPr>
      <t xml:space="preserve">HW </t>
    </r>
    <r>
      <rPr>
        <sz val="10"/>
        <rFont val="Noto Sans CJK SC"/>
        <family val="2"/>
      </rPr>
      <t xml:space="preserve">설계검증</t>
    </r>
  </si>
  <si>
    <t xml:space="preserve">HWE.4</t>
  </si>
  <si>
    <r>
      <rPr>
        <sz val="10"/>
        <rFont val="Times New Roman"/>
        <family val="1"/>
        <charset val="1"/>
      </rPr>
      <t xml:space="preserve">HW </t>
    </r>
    <r>
      <rPr>
        <sz val="10"/>
        <rFont val="Noto Sans CJK SC"/>
        <family val="2"/>
      </rPr>
      <t xml:space="preserve">요구사항검증</t>
    </r>
  </si>
  <si>
    <t xml:space="preserve">합계(=100 확인)</t>
  </si>
  <si>
    <t xml:space="preserve">Process(CA)</t>
  </si>
  <si>
    <r>
      <rPr>
        <b val="true"/>
        <sz val="10"/>
        <color rgb="FFFFFFFF"/>
        <rFont val="Times New Roman"/>
        <family val="1"/>
        <charset val="1"/>
      </rPr>
      <t xml:space="preserve">SW</t>
    </r>
    <r>
      <rPr>
        <b val="true"/>
        <sz val="10"/>
        <color rgb="FFFFFFFF"/>
        <rFont val="Noto Sans CJK SC"/>
        <family val="2"/>
      </rPr>
      <t xml:space="preserve">계층</t>
    </r>
  </si>
  <si>
    <t xml:space="preserve">BP#</t>
  </si>
  <si>
    <r>
      <rPr>
        <b val="true"/>
        <sz val="10"/>
        <color rgb="FFFFFFFF"/>
        <rFont val="Times New Roman"/>
        <family val="1"/>
        <charset val="1"/>
      </rPr>
      <t xml:space="preserve">WP</t>
    </r>
    <r>
      <rPr>
        <b val="true"/>
        <sz val="10"/>
        <color rgb="FFFFFFFF"/>
        <rFont val="Noto Sans CJK SC"/>
        <family val="2"/>
      </rPr>
      <t xml:space="preserve">명</t>
    </r>
    <r>
      <rPr>
        <b val="true"/>
        <sz val="10"/>
        <color rgb="FFFFFFFF"/>
        <rFont val="Times New Roman"/>
        <family val="1"/>
        <charset val="1"/>
      </rPr>
      <t xml:space="preserve">(</t>
    </r>
    <r>
      <rPr>
        <b val="true"/>
        <sz val="10"/>
        <color rgb="FFFFFFFF"/>
        <rFont val="Noto Sans CJK SC"/>
        <family val="2"/>
      </rPr>
      <t xml:space="preserve">산출물</t>
    </r>
    <r>
      <rPr>
        <b val="true"/>
        <sz val="10"/>
        <color rgb="FFFFFFFF"/>
        <rFont val="Times New Roman"/>
        <family val="1"/>
        <charset val="1"/>
      </rPr>
      <t xml:space="preserve">)</t>
    </r>
  </si>
  <si>
    <t xml:space="preserve">목표 마일스톤</t>
  </si>
  <si>
    <t xml:space="preserve">관리방식(확정)</t>
  </si>
  <si>
    <t xml:space="preserve">유지보수반영</t>
  </si>
  <si>
    <t xml:space="preserve">최초작성비중(%)</t>
  </si>
  <si>
    <t xml:space="preserve">채점기준 연계</t>
  </si>
  <si>
    <t xml:space="preserve">진도율(%)</t>
  </si>
  <si>
    <t xml:space="preserve">상태</t>
  </si>
  <si>
    <t xml:space="preserve">수기검토 비고</t>
  </si>
  <si>
    <t xml:space="preserve">근거자료</t>
  </si>
  <si>
    <r>
      <rPr>
        <sz val="9"/>
        <rFont val="Times New Roman"/>
        <family val="1"/>
        <charset val="1"/>
      </rPr>
      <t xml:space="preserve">Commitment/Agreement / </t>
    </r>
    <r>
      <rPr>
        <sz val="9"/>
        <rFont val="Noto Sans CJK SC"/>
        <family val="2"/>
      </rPr>
      <t xml:space="preserve">공급자 관리 합의서</t>
    </r>
    <r>
      <rPr>
        <sz val="9"/>
        <rFont val="Times New Roman"/>
        <family val="1"/>
        <charset val="1"/>
      </rPr>
      <t xml:space="preserve">/</t>
    </r>
    <r>
      <rPr>
        <sz val="9"/>
        <rFont val="Noto Sans CJK SC"/>
        <family val="2"/>
      </rPr>
      <t xml:space="preserve">협약서</t>
    </r>
  </si>
  <si>
    <t xml:space="preserve">N</t>
  </si>
  <si>
    <t xml:space="preserve">자가평가워크북 [M-Car] 시트 BP#1 동일</t>
  </si>
  <si>
    <t xml:space="preserve">완료</t>
  </si>
  <si>
    <r>
      <rPr>
        <sz val="9"/>
        <rFont val="Times New Roman"/>
        <family val="1"/>
        <charset val="1"/>
      </rPr>
      <t xml:space="preserve">Communication Evidence / </t>
    </r>
    <r>
      <rPr>
        <sz val="9"/>
        <rFont val="Noto Sans CJK SC"/>
        <family val="2"/>
      </rPr>
      <t xml:space="preserve">공급자 교신</t>
    </r>
    <r>
      <rPr>
        <sz val="9"/>
        <rFont val="Times New Roman"/>
        <family val="1"/>
        <charset val="1"/>
      </rPr>
      <t xml:space="preserve">/</t>
    </r>
    <r>
      <rPr>
        <sz val="9"/>
        <rFont val="Noto Sans CJK SC"/>
        <family val="2"/>
      </rPr>
      <t xml:space="preserve">커뮤니케이션 증적</t>
    </r>
  </si>
  <si>
    <t xml:space="preserve">자가평가워크북 [Proto] 시트 BP#2 동일</t>
  </si>
  <si>
    <r>
      <rPr>
        <sz val="9"/>
        <rFont val="Times New Roman"/>
        <family val="1"/>
        <charset val="1"/>
      </rPr>
      <t xml:space="preserve">Review Evidence / </t>
    </r>
    <r>
      <rPr>
        <sz val="9"/>
        <rFont val="Noto Sans CJK SC"/>
        <family val="2"/>
      </rPr>
      <t xml:space="preserve">개발 작업산출물 공동검토 기록</t>
    </r>
  </si>
  <si>
    <t xml:space="preserve">자가평가워크북 [Proto] 시트 BP#3 동일</t>
  </si>
  <si>
    <t xml:space="preserve">자동제안 Discrete → 수기검토 LOE</t>
  </si>
  <si>
    <r>
      <rPr>
        <sz val="9"/>
        <rFont val="Times New Roman"/>
        <family val="1"/>
        <charset val="1"/>
      </rPr>
      <t xml:space="preserve">Progress Status / </t>
    </r>
    <r>
      <rPr>
        <sz val="9"/>
        <rFont val="Noto Sans CJK SC"/>
        <family val="2"/>
      </rPr>
      <t xml:space="preserve">공급자 진척현황 보고서</t>
    </r>
  </si>
  <si>
    <t xml:space="preserve">자가평가워크북 [Proto] 시트 BP#4 동일</t>
  </si>
  <si>
    <r>
      <rPr>
        <sz val="9"/>
        <rFont val="Times New Roman"/>
        <family val="1"/>
        <charset val="1"/>
      </rPr>
      <t xml:space="preserve">Corrective Action / </t>
    </r>
    <r>
      <rPr>
        <sz val="9"/>
        <rFont val="Noto Sans CJK SC"/>
        <family val="2"/>
      </rPr>
      <t xml:space="preserve">시정조치 기록서</t>
    </r>
  </si>
  <si>
    <t xml:space="preserve">P1</t>
  </si>
  <si>
    <t xml:space="preserve">자가평가워크북 [P1] 시트 BP#5 동일</t>
  </si>
  <si>
    <t xml:space="preserve">검토중</t>
  </si>
  <si>
    <r>
      <rPr>
        <sz val="9"/>
        <rFont val="Times New Roman"/>
        <family val="1"/>
        <charset val="1"/>
      </rPr>
      <t xml:space="preserve">Product Release Criteria / </t>
    </r>
    <r>
      <rPr>
        <sz val="9"/>
        <rFont val="Noto Sans CJK SC"/>
        <family val="2"/>
      </rPr>
      <t xml:space="preserve">릴리스 기능내용</t>
    </r>
    <r>
      <rPr>
        <sz val="9"/>
        <rFont val="Times New Roman"/>
        <family val="1"/>
        <charset val="1"/>
      </rPr>
      <t xml:space="preserve">/</t>
    </r>
    <r>
      <rPr>
        <sz val="9"/>
        <rFont val="Noto Sans CJK SC"/>
        <family val="2"/>
      </rPr>
      <t xml:space="preserve">기준 정의서</t>
    </r>
  </si>
  <si>
    <t xml:space="preserve">릴리즈이력 참조</t>
  </si>
  <si>
    <t xml:space="preserve">자가평가워크북 [릴리즈이력 참조] 시트 BP#1 동일</t>
  </si>
  <si>
    <r>
      <rPr>
        <sz val="9"/>
        <rFont val="Times New Roman"/>
        <family val="1"/>
        <charset val="1"/>
      </rPr>
      <t xml:space="preserve">Product Release Criteria / </t>
    </r>
    <r>
      <rPr>
        <sz val="9"/>
        <rFont val="Noto Sans CJK SC"/>
        <family val="2"/>
      </rPr>
      <t xml:space="preserve">릴리스 패키지 정의서</t>
    </r>
  </si>
  <si>
    <t xml:space="preserve">자가평가워크북 [릴리즈이력 참조] 시트 BP#2 동일</t>
  </si>
  <si>
    <r>
      <rPr>
        <sz val="9"/>
        <rFont val="Times New Roman"/>
        <family val="1"/>
        <charset val="1"/>
      </rPr>
      <t xml:space="preserve">Release Note / </t>
    </r>
    <r>
      <rPr>
        <sz val="9"/>
        <rFont val="Noto Sans CJK SC"/>
        <family val="2"/>
      </rPr>
      <t xml:space="preserve">릴리스 고유식별</t>
    </r>
    <r>
      <rPr>
        <sz val="9"/>
        <rFont val="Times New Roman"/>
        <family val="1"/>
        <charset val="1"/>
      </rPr>
      <t xml:space="preserve">/</t>
    </r>
    <r>
      <rPr>
        <sz val="9"/>
        <rFont val="Noto Sans CJK SC"/>
        <family val="2"/>
      </rPr>
      <t xml:space="preserve">번호체계 문서</t>
    </r>
    <r>
      <rPr>
        <sz val="9"/>
        <rFont val="Times New Roman"/>
        <family val="1"/>
        <charset val="1"/>
      </rPr>
      <t xml:space="preserve">(</t>
    </r>
    <r>
      <rPr>
        <sz val="9"/>
        <rFont val="Noto Sans CJK SC"/>
        <family val="2"/>
      </rPr>
      <t xml:space="preserve">릴리스 노트 내 포함</t>
    </r>
    <r>
      <rPr>
        <sz val="9"/>
        <rFont val="Times New Roman"/>
        <family val="1"/>
        <charset val="1"/>
      </rPr>
      <t xml:space="preserve">)</t>
    </r>
  </si>
  <si>
    <t xml:space="preserve">자가평가워크북 [릴리즈이력 참조] 시트 BP#3 동일</t>
  </si>
  <si>
    <r>
      <rPr>
        <sz val="9"/>
        <rFont val="Times New Roman"/>
        <family val="1"/>
        <charset val="1"/>
      </rPr>
      <t xml:space="preserve">Product Release Package / </t>
    </r>
    <r>
      <rPr>
        <sz val="9"/>
        <rFont val="Noto Sans CJK SC"/>
        <family val="2"/>
      </rPr>
      <t xml:space="preserve">릴리스 패키지</t>
    </r>
    <r>
      <rPr>
        <sz val="9"/>
        <rFont val="Times New Roman"/>
        <family val="1"/>
        <charset val="1"/>
      </rPr>
      <t xml:space="preserve">(</t>
    </r>
    <r>
      <rPr>
        <sz val="9"/>
        <rFont val="Noto Sans CJK SC"/>
        <family val="2"/>
      </rPr>
      <t xml:space="preserve">형상통제 항목 기반 빌드</t>
    </r>
    <r>
      <rPr>
        <sz val="9"/>
        <rFont val="Times New Roman"/>
        <family val="1"/>
        <charset val="1"/>
      </rPr>
      <t xml:space="preserve">)</t>
    </r>
  </si>
  <si>
    <t xml:space="preserve">자가평가워크북 [릴리즈이력 참조] 시트 BP#4 동일</t>
  </si>
  <si>
    <r>
      <rPr>
        <sz val="9"/>
        <rFont val="Times New Roman"/>
        <family val="1"/>
        <charset val="1"/>
      </rPr>
      <t xml:space="preserve">Product Release Approval / </t>
    </r>
    <r>
      <rPr>
        <sz val="9"/>
        <rFont val="Noto Sans CJK SC"/>
        <family val="2"/>
      </rPr>
      <t xml:space="preserve">릴리스 승인서</t>
    </r>
  </si>
  <si>
    <t xml:space="preserve">자가평가워크북 [릴리즈이력 참조] 시트 BP#5 동일</t>
  </si>
  <si>
    <t xml:space="preserve">진행중</t>
  </si>
  <si>
    <r>
      <rPr>
        <sz val="9"/>
        <rFont val="Times New Roman"/>
        <family val="1"/>
        <charset val="1"/>
      </rPr>
      <t xml:space="preserve">Release Note / </t>
    </r>
    <r>
      <rPr>
        <sz val="9"/>
        <rFont val="Noto Sans CJK SC"/>
        <family val="2"/>
      </rPr>
      <t xml:space="preserve">릴리스 노트</t>
    </r>
  </si>
  <si>
    <t xml:space="preserve">자가평가워크북 [릴리즈이력 참조] 시트 BP#6 동일</t>
  </si>
  <si>
    <r>
      <rPr>
        <sz val="9"/>
        <rFont val="Times New Roman"/>
        <family val="1"/>
        <charset val="1"/>
      </rPr>
      <t xml:space="preserve">Release Note / </t>
    </r>
    <r>
      <rPr>
        <sz val="9"/>
        <rFont val="Noto Sans CJK SC"/>
        <family val="2"/>
      </rPr>
      <t xml:space="preserve">릴리스 지원유형</t>
    </r>
    <r>
      <rPr>
        <sz val="9"/>
        <rFont val="Times New Roman"/>
        <family val="1"/>
        <charset val="1"/>
      </rPr>
      <t xml:space="preserve">/</t>
    </r>
    <r>
      <rPr>
        <sz val="9"/>
        <rFont val="Noto Sans CJK SC"/>
        <family val="2"/>
      </rPr>
      <t xml:space="preserve">수준</t>
    </r>
    <r>
      <rPr>
        <sz val="9"/>
        <rFont val="Times New Roman"/>
        <family val="1"/>
        <charset val="1"/>
      </rPr>
      <t xml:space="preserve">/</t>
    </r>
    <r>
      <rPr>
        <sz val="9"/>
        <rFont val="Noto Sans CJK SC"/>
        <family val="2"/>
      </rPr>
      <t xml:space="preserve">기간 안내서</t>
    </r>
    <r>
      <rPr>
        <sz val="9"/>
        <rFont val="Times New Roman"/>
        <family val="1"/>
        <charset val="1"/>
      </rPr>
      <t xml:space="preserve">(</t>
    </r>
    <r>
      <rPr>
        <sz val="9"/>
        <rFont val="Noto Sans CJK SC"/>
        <family val="2"/>
      </rPr>
      <t xml:space="preserve">릴리스 노트 내 포함</t>
    </r>
    <r>
      <rPr>
        <sz val="9"/>
        <rFont val="Times New Roman"/>
        <family val="1"/>
        <charset val="1"/>
      </rPr>
      <t xml:space="preserve">)</t>
    </r>
  </si>
  <si>
    <t xml:space="preserve">자가평가워크북 [릴리즈이력 참조] 시트 BP#7 동일</t>
  </si>
  <si>
    <r>
      <rPr>
        <sz val="9"/>
        <rFont val="Times New Roman"/>
        <family val="1"/>
        <charset val="1"/>
      </rPr>
      <t xml:space="preserve">Delivery Evidence / </t>
    </r>
    <r>
      <rPr>
        <sz val="9"/>
        <rFont val="Noto Sans CJK SC"/>
        <family val="2"/>
      </rPr>
      <t xml:space="preserve">릴리스 패키지 인도</t>
    </r>
    <r>
      <rPr>
        <sz val="9"/>
        <rFont val="Times New Roman"/>
        <family val="1"/>
        <charset val="1"/>
      </rPr>
      <t xml:space="preserve">/</t>
    </r>
    <r>
      <rPr>
        <sz val="9"/>
        <rFont val="Noto Sans CJK SC"/>
        <family val="2"/>
      </rPr>
      <t xml:space="preserve">납품 증적</t>
    </r>
  </si>
  <si>
    <t xml:space="preserve">자가평가워크북 [릴리즈이력 참조] 시트 BP#8 동일</t>
  </si>
  <si>
    <r>
      <rPr>
        <sz val="9"/>
        <rFont val="Times New Roman"/>
        <family val="1"/>
        <charset val="1"/>
      </rPr>
      <t xml:space="preserve">Project Plan / </t>
    </r>
    <r>
      <rPr>
        <sz val="9"/>
        <rFont val="Noto Sans CJK SC"/>
        <family val="2"/>
      </rPr>
      <t xml:space="preserve">프로젝트 작업범위 정의서</t>
    </r>
    <r>
      <rPr>
        <sz val="9"/>
        <rFont val="Times New Roman"/>
        <family val="1"/>
        <charset val="1"/>
      </rPr>
      <t xml:space="preserve">(</t>
    </r>
    <r>
      <rPr>
        <sz val="9"/>
        <rFont val="Noto Sans CJK SC"/>
        <family val="2"/>
      </rPr>
      <t xml:space="preserve">프로젝트 계획서 내 포함</t>
    </r>
    <r>
      <rPr>
        <sz val="9"/>
        <rFont val="Times New Roman"/>
        <family val="1"/>
        <charset val="1"/>
      </rPr>
      <t xml:space="preserve">)</t>
    </r>
  </si>
  <si>
    <t xml:space="preserve">Y</t>
  </si>
  <si>
    <r>
      <rPr>
        <sz val="9"/>
        <rFont val="Times New Roman"/>
        <family val="1"/>
        <charset val="1"/>
      </rPr>
      <t xml:space="preserve">Project Plan / </t>
    </r>
    <r>
      <rPr>
        <sz val="9"/>
        <rFont val="Noto Sans CJK SC"/>
        <family val="2"/>
      </rPr>
      <t xml:space="preserve">프로젝트 생명주기 정의서</t>
    </r>
    <r>
      <rPr>
        <sz val="9"/>
        <rFont val="Times New Roman"/>
        <family val="1"/>
        <charset val="1"/>
      </rPr>
      <t xml:space="preserve">(</t>
    </r>
    <r>
      <rPr>
        <sz val="9"/>
        <rFont val="Noto Sans CJK SC"/>
        <family val="2"/>
      </rPr>
      <t xml:space="preserve">프로젝트 계획서 내 포함</t>
    </r>
    <r>
      <rPr>
        <sz val="9"/>
        <rFont val="Times New Roman"/>
        <family val="1"/>
        <charset val="1"/>
      </rPr>
      <t xml:space="preserve">)</t>
    </r>
  </si>
  <si>
    <t xml:space="preserve">자가평가워크북 [M-Car] 시트 BP#2 동일</t>
  </si>
  <si>
    <r>
      <rPr>
        <sz val="9"/>
        <rFont val="Times New Roman"/>
        <family val="1"/>
        <charset val="1"/>
      </rPr>
      <t xml:space="preserve">Analysis Results / </t>
    </r>
    <r>
      <rPr>
        <sz val="9"/>
        <rFont val="Noto Sans CJK SC"/>
        <family val="2"/>
      </rPr>
      <t xml:space="preserve">프로젝트 실현가능성 분석서</t>
    </r>
  </si>
  <si>
    <t xml:space="preserve">자가평가워크북 [M-Car] 시트 BP#3 동일</t>
  </si>
  <si>
    <r>
      <rPr>
        <sz val="9"/>
        <rFont val="Times New Roman"/>
        <family val="1"/>
        <charset val="1"/>
      </rPr>
      <t xml:space="preserve">Project Plan / </t>
    </r>
    <r>
      <rPr>
        <sz val="9"/>
        <rFont val="Noto Sans CJK SC"/>
        <family val="2"/>
      </rPr>
      <t xml:space="preserve">작업패키지</t>
    </r>
    <r>
      <rPr>
        <sz val="9"/>
        <rFont val="Times New Roman"/>
        <family val="1"/>
        <charset val="1"/>
      </rPr>
      <t xml:space="preserve">/WBS </t>
    </r>
    <r>
      <rPr>
        <sz val="9"/>
        <rFont val="Noto Sans CJK SC"/>
        <family val="2"/>
      </rPr>
      <t xml:space="preserve">정의서</t>
    </r>
    <r>
      <rPr>
        <sz val="9"/>
        <rFont val="Times New Roman"/>
        <family val="1"/>
        <charset val="1"/>
      </rPr>
      <t xml:space="preserve">(</t>
    </r>
    <r>
      <rPr>
        <sz val="9"/>
        <rFont val="Noto Sans CJK SC"/>
        <family val="2"/>
      </rPr>
      <t xml:space="preserve">프로젝트 계획서 내 포함</t>
    </r>
    <r>
      <rPr>
        <sz val="9"/>
        <rFont val="Times New Roman"/>
        <family val="1"/>
        <charset val="1"/>
      </rPr>
      <t xml:space="preserve">)</t>
    </r>
  </si>
  <si>
    <t xml:space="preserve">자가평가워크북 [M-Car] 시트 BP#4 동일</t>
  </si>
  <si>
    <r>
      <rPr>
        <sz val="9"/>
        <rFont val="Times New Roman"/>
        <family val="1"/>
        <charset val="1"/>
      </rPr>
      <t xml:space="preserve">Project Plan / </t>
    </r>
    <r>
      <rPr>
        <sz val="9"/>
        <rFont val="Noto Sans CJK SC"/>
        <family val="2"/>
      </rPr>
      <t xml:space="preserve">프로젝트 산정치 및 자원계획서</t>
    </r>
    <r>
      <rPr>
        <sz val="9"/>
        <rFont val="Times New Roman"/>
        <family val="1"/>
        <charset val="1"/>
      </rPr>
      <t xml:space="preserve">(</t>
    </r>
    <r>
      <rPr>
        <sz val="9"/>
        <rFont val="Noto Sans CJK SC"/>
        <family val="2"/>
      </rPr>
      <t xml:space="preserve">프로젝트 계획서 내 포함</t>
    </r>
    <r>
      <rPr>
        <sz val="9"/>
        <rFont val="Times New Roman"/>
        <family val="1"/>
        <charset val="1"/>
      </rPr>
      <t xml:space="preserve">)</t>
    </r>
  </si>
  <si>
    <t xml:space="preserve">자가평가워크북 [M-Car] 시트 BP#5 동일</t>
  </si>
  <si>
    <r>
      <rPr>
        <sz val="9"/>
        <rFont val="Times New Roman"/>
        <family val="1"/>
        <charset val="1"/>
      </rPr>
      <t xml:space="preserve">Project Plan / </t>
    </r>
    <r>
      <rPr>
        <sz val="9"/>
        <rFont val="Noto Sans CJK SC"/>
        <family val="2"/>
      </rPr>
      <t xml:space="preserve">필요 기술</t>
    </r>
    <r>
      <rPr>
        <sz val="9"/>
        <rFont val="Times New Roman"/>
        <family val="1"/>
        <charset val="1"/>
      </rPr>
      <t xml:space="preserve">/</t>
    </r>
    <r>
      <rPr>
        <sz val="9"/>
        <rFont val="Noto Sans CJK SC"/>
        <family val="2"/>
      </rPr>
      <t xml:space="preserve">지식</t>
    </r>
    <r>
      <rPr>
        <sz val="9"/>
        <rFont val="Times New Roman"/>
        <family val="1"/>
        <charset val="1"/>
      </rPr>
      <t xml:space="preserve">/</t>
    </r>
    <r>
      <rPr>
        <sz val="9"/>
        <rFont val="Noto Sans CJK SC"/>
        <family val="2"/>
      </rPr>
      <t xml:space="preserve">경험</t>
    </r>
    <r>
      <rPr>
        <sz val="9"/>
        <rFont val="Times New Roman"/>
        <family val="1"/>
        <charset val="1"/>
      </rPr>
      <t xml:space="preserve">(</t>
    </r>
    <r>
      <rPr>
        <sz val="9"/>
        <rFont val="Noto Sans CJK SC"/>
        <family val="2"/>
      </rPr>
      <t xml:space="preserve">역량</t>
    </r>
    <r>
      <rPr>
        <sz val="9"/>
        <rFont val="Times New Roman"/>
        <family val="1"/>
        <charset val="1"/>
      </rPr>
      <t xml:space="preserve">) </t>
    </r>
    <r>
      <rPr>
        <sz val="9"/>
        <rFont val="Noto Sans CJK SC"/>
        <family val="2"/>
      </rPr>
      <t xml:space="preserve">계획서</t>
    </r>
    <r>
      <rPr>
        <sz val="9"/>
        <rFont val="Times New Roman"/>
        <family val="1"/>
        <charset val="1"/>
      </rPr>
      <t xml:space="preserve">(</t>
    </r>
    <r>
      <rPr>
        <sz val="9"/>
        <rFont val="Noto Sans CJK SC"/>
        <family val="2"/>
      </rPr>
      <t xml:space="preserve">프로젝트 계획서 내 포함</t>
    </r>
    <r>
      <rPr>
        <sz val="9"/>
        <rFont val="Times New Roman"/>
        <family val="1"/>
        <charset val="1"/>
      </rPr>
      <t xml:space="preserve">)</t>
    </r>
  </si>
  <si>
    <t xml:space="preserve">자가평가워크북 [M-Car] 시트 BP#6 동일</t>
  </si>
  <si>
    <r>
      <rPr>
        <sz val="9"/>
        <rFont val="Times New Roman"/>
        <family val="1"/>
        <charset val="1"/>
      </rPr>
      <t xml:space="preserve">Project Plan / </t>
    </r>
    <r>
      <rPr>
        <sz val="9"/>
        <rFont val="Noto Sans CJK SC"/>
        <family val="2"/>
      </rPr>
      <t xml:space="preserve">프로젝트 인터페이스 및 합의된 약속사항 정의서</t>
    </r>
    <r>
      <rPr>
        <sz val="9"/>
        <rFont val="Times New Roman"/>
        <family val="1"/>
        <charset val="1"/>
      </rPr>
      <t xml:space="preserve">(</t>
    </r>
    <r>
      <rPr>
        <sz val="9"/>
        <rFont val="Noto Sans CJK SC"/>
        <family val="2"/>
      </rPr>
      <t xml:space="preserve">프로젝트 계획서 내 포함</t>
    </r>
    <r>
      <rPr>
        <sz val="9"/>
        <rFont val="Times New Roman"/>
        <family val="1"/>
        <charset val="1"/>
      </rPr>
      <t xml:space="preserve">)</t>
    </r>
  </si>
  <si>
    <t xml:space="preserve">자가평가워크북 [M-Car] 시트 BP#7 동일</t>
  </si>
  <si>
    <r>
      <rPr>
        <sz val="9"/>
        <rFont val="Times New Roman"/>
        <family val="1"/>
        <charset val="1"/>
      </rPr>
      <t xml:space="preserve">Project Plan / </t>
    </r>
    <r>
      <rPr>
        <sz val="9"/>
        <rFont val="Noto Sans CJK SC"/>
        <family val="2"/>
      </rPr>
      <t xml:space="preserve">프로젝트 일정표</t>
    </r>
    <r>
      <rPr>
        <sz val="9"/>
        <rFont val="Times New Roman"/>
        <family val="1"/>
        <charset val="1"/>
      </rPr>
      <t xml:space="preserve">(</t>
    </r>
    <r>
      <rPr>
        <sz val="9"/>
        <rFont val="Noto Sans CJK SC"/>
        <family val="2"/>
      </rPr>
      <t xml:space="preserve">프로젝트 계획서 내 포함</t>
    </r>
    <r>
      <rPr>
        <sz val="9"/>
        <rFont val="Times New Roman"/>
        <family val="1"/>
        <charset val="1"/>
      </rPr>
      <t xml:space="preserve">)</t>
    </r>
  </si>
  <si>
    <t xml:space="preserve">자가평가워크북 [M-Car] 시트 BP#8 동일</t>
  </si>
  <si>
    <r>
      <rPr>
        <sz val="9"/>
        <rFont val="Times New Roman"/>
        <family val="1"/>
        <charset val="1"/>
      </rPr>
      <t xml:space="preserve">Consistency Evidence / </t>
    </r>
    <r>
      <rPr>
        <sz val="9"/>
        <rFont val="Noto Sans CJK SC"/>
        <family val="2"/>
      </rPr>
      <t xml:space="preserve">프로젝트 계획 일관성 검증 근거</t>
    </r>
  </si>
  <si>
    <t xml:space="preserve">자가평가워크북 [P1] 시트 BP#9 동일</t>
  </si>
  <si>
    <r>
      <rPr>
        <sz val="9"/>
        <rFont val="Times New Roman"/>
        <family val="1"/>
        <charset val="1"/>
      </rPr>
      <t xml:space="preserve">Progress Status / </t>
    </r>
    <r>
      <rPr>
        <sz val="9"/>
        <rFont val="Noto Sans CJK SC"/>
        <family val="2"/>
      </rPr>
      <t xml:space="preserve">프로젝트 진척현황 보고서</t>
    </r>
  </si>
  <si>
    <t xml:space="preserve">자가평가워크북 [P1] 시트 BP#10 동일</t>
  </si>
  <si>
    <r>
      <rPr>
        <sz val="9"/>
        <rFont val="Times New Roman"/>
        <family val="1"/>
        <charset val="1"/>
      </rPr>
      <t xml:space="preserve">Quality Assurance Plan / </t>
    </r>
    <r>
      <rPr>
        <sz val="9"/>
        <rFont val="Noto Sans CJK SC"/>
        <family val="2"/>
      </rPr>
      <t xml:space="preserve">품질보증 독립성 명시 문서</t>
    </r>
    <r>
      <rPr>
        <sz val="9"/>
        <rFont val="Times New Roman"/>
        <family val="1"/>
        <charset val="1"/>
      </rPr>
      <t xml:space="preserve">(</t>
    </r>
    <r>
      <rPr>
        <sz val="9"/>
        <rFont val="Noto Sans CJK SC"/>
        <family val="2"/>
      </rPr>
      <t xml:space="preserve">품질보증계획서 내 포함</t>
    </r>
    <r>
      <rPr>
        <sz val="9"/>
        <rFont val="Times New Roman"/>
        <family val="1"/>
        <charset val="1"/>
      </rPr>
      <t xml:space="preserve">)</t>
    </r>
  </si>
  <si>
    <r>
      <rPr>
        <sz val="9"/>
        <rFont val="Times New Roman"/>
        <family val="1"/>
        <charset val="1"/>
      </rPr>
      <t xml:space="preserve">Quality Assurance Plan / </t>
    </r>
    <r>
      <rPr>
        <sz val="9"/>
        <rFont val="Noto Sans CJK SC"/>
        <family val="2"/>
      </rPr>
      <t xml:space="preserve">품질보증 기준</t>
    </r>
    <r>
      <rPr>
        <sz val="9"/>
        <rFont val="Times New Roman"/>
        <family val="1"/>
        <charset val="1"/>
      </rPr>
      <t xml:space="preserve">/</t>
    </r>
    <r>
      <rPr>
        <sz val="9"/>
        <rFont val="Noto Sans CJK SC"/>
        <family val="2"/>
      </rPr>
      <t xml:space="preserve">체크리스트</t>
    </r>
    <r>
      <rPr>
        <sz val="9"/>
        <rFont val="Times New Roman"/>
        <family val="1"/>
        <charset val="1"/>
      </rPr>
      <t xml:space="preserve">(</t>
    </r>
    <r>
      <rPr>
        <sz val="9"/>
        <rFont val="Noto Sans CJK SC"/>
        <family val="2"/>
      </rPr>
      <t xml:space="preserve">품질보증계획서 내 포함</t>
    </r>
    <r>
      <rPr>
        <sz val="9"/>
        <rFont val="Times New Roman"/>
        <family val="1"/>
        <charset val="1"/>
      </rPr>
      <t xml:space="preserve">)</t>
    </r>
  </si>
  <si>
    <r>
      <rPr>
        <sz val="9"/>
        <rFont val="Times New Roman"/>
        <family val="1"/>
        <charset val="1"/>
      </rPr>
      <t xml:space="preserve">Review Evidence / </t>
    </r>
    <r>
      <rPr>
        <sz val="9"/>
        <rFont val="Noto Sans CJK SC"/>
        <family val="2"/>
      </rPr>
      <t xml:space="preserve">작업산출물 품질검토 기록</t>
    </r>
  </si>
  <si>
    <r>
      <rPr>
        <sz val="9"/>
        <rFont val="Times New Roman"/>
        <family val="1"/>
        <charset val="1"/>
      </rPr>
      <t xml:space="preserve">Audit Report / </t>
    </r>
    <r>
      <rPr>
        <sz val="9"/>
        <rFont val="Noto Sans CJK SC"/>
        <family val="2"/>
      </rPr>
      <t xml:space="preserve">프로세스 활동 품질감사 보고서</t>
    </r>
  </si>
  <si>
    <r>
      <rPr>
        <sz val="9"/>
        <rFont val="Times New Roman"/>
        <family val="1"/>
        <charset val="1"/>
      </rPr>
      <t xml:space="preserve">Communication Evidence / </t>
    </r>
    <r>
      <rPr>
        <sz val="9"/>
        <rFont val="Noto Sans CJK SC"/>
        <family val="2"/>
      </rPr>
      <t xml:space="preserve">품질보증 활동</t>
    </r>
    <r>
      <rPr>
        <sz val="9"/>
        <rFont val="Times New Roman"/>
        <family val="1"/>
        <charset val="1"/>
      </rPr>
      <t xml:space="preserve">/</t>
    </r>
    <r>
      <rPr>
        <sz val="9"/>
        <rFont val="Noto Sans CJK SC"/>
        <family val="2"/>
      </rPr>
      <t xml:space="preserve">결과 요약보고서</t>
    </r>
  </si>
  <si>
    <r>
      <rPr>
        <sz val="9"/>
        <rFont val="Times New Roman"/>
        <family val="1"/>
        <charset val="1"/>
      </rPr>
      <t xml:space="preserve">Corrective Action / </t>
    </r>
    <r>
      <rPr>
        <sz val="9"/>
        <rFont val="Noto Sans CJK SC"/>
        <family val="2"/>
      </rPr>
      <t xml:space="preserve">부적합사항 시정조치 기록</t>
    </r>
  </si>
  <si>
    <t xml:space="preserve">자가평가워크북 [P1] 시트 BP#6 동일</t>
  </si>
  <si>
    <r>
      <rPr>
        <sz val="9"/>
        <rFont val="Times New Roman"/>
        <family val="1"/>
        <charset val="1"/>
      </rPr>
      <t xml:space="preserve">Corrective Action / </t>
    </r>
    <r>
      <rPr>
        <sz val="9"/>
        <rFont val="Noto Sans CJK SC"/>
        <family val="2"/>
      </rPr>
      <t xml:space="preserve">부적합사항 에스컬레이션</t>
    </r>
    <r>
      <rPr>
        <sz val="9"/>
        <rFont val="Times New Roman"/>
        <family val="1"/>
        <charset val="1"/>
      </rPr>
      <t xml:space="preserve">(</t>
    </r>
    <r>
      <rPr>
        <sz val="9"/>
        <rFont val="Noto Sans CJK SC"/>
        <family val="2"/>
      </rPr>
      <t xml:space="preserve">상위보고</t>
    </r>
    <r>
      <rPr>
        <sz val="9"/>
        <rFont val="Times New Roman"/>
        <family val="1"/>
        <charset val="1"/>
      </rPr>
      <t xml:space="preserve">) </t>
    </r>
    <r>
      <rPr>
        <sz val="9"/>
        <rFont val="Noto Sans CJK SC"/>
        <family val="2"/>
      </rPr>
      <t xml:space="preserve">기록</t>
    </r>
  </si>
  <si>
    <t xml:space="preserve">자가평가워크북 [P1] 시트 BP#7 동일</t>
  </si>
  <si>
    <r>
      <rPr>
        <sz val="9"/>
        <rFont val="Times New Roman"/>
        <family val="1"/>
        <charset val="1"/>
      </rPr>
      <t xml:space="preserve">Configuration Item List / </t>
    </r>
    <r>
      <rPr>
        <sz val="9"/>
        <rFont val="Noto Sans CJK SC"/>
        <family val="2"/>
      </rPr>
      <t xml:space="preserve">형상항목 식별목록</t>
    </r>
  </si>
  <si>
    <r>
      <rPr>
        <sz val="9"/>
        <rFont val="Times New Roman"/>
        <family val="1"/>
        <charset val="1"/>
      </rPr>
      <t xml:space="preserve">Configuration Item List / </t>
    </r>
    <r>
      <rPr>
        <sz val="9"/>
        <rFont val="Noto Sans CJK SC"/>
        <family val="2"/>
      </rPr>
      <t xml:space="preserve">형상항목 속성정의서</t>
    </r>
  </si>
  <si>
    <r>
      <rPr>
        <sz val="9"/>
        <rFont val="Times New Roman"/>
        <family val="1"/>
        <charset val="1"/>
      </rPr>
      <t xml:space="preserve">Configuration Management Plan / </t>
    </r>
    <r>
      <rPr>
        <sz val="9"/>
        <rFont val="Noto Sans CJK SC"/>
        <family val="2"/>
      </rPr>
      <t xml:space="preserve">형상관리계획서</t>
    </r>
  </si>
  <si>
    <r>
      <rPr>
        <sz val="9"/>
        <rFont val="Times New Roman"/>
        <family val="1"/>
        <charset val="1"/>
      </rPr>
      <t xml:space="preserve">Change Request / </t>
    </r>
    <r>
      <rPr>
        <sz val="9"/>
        <rFont val="Noto Sans CJK SC"/>
        <family val="2"/>
      </rPr>
      <t xml:space="preserve">형상항목 변경통제 기록</t>
    </r>
  </si>
  <si>
    <r>
      <rPr>
        <sz val="9"/>
        <rFont val="Times New Roman"/>
        <family val="1"/>
        <charset val="1"/>
      </rPr>
      <t xml:space="preserve">Baseline / </t>
    </r>
    <r>
      <rPr>
        <sz val="9"/>
        <rFont val="Noto Sans CJK SC"/>
        <family val="2"/>
      </rPr>
      <t xml:space="preserve">베이스라인 기록서</t>
    </r>
  </si>
  <si>
    <t xml:space="preserve">자가평가워크북 [Proto] 시트 BP#5 동일</t>
  </si>
  <si>
    <r>
      <rPr>
        <sz val="9"/>
        <rFont val="Times New Roman"/>
        <family val="1"/>
        <charset val="1"/>
      </rPr>
      <t xml:space="preserve">Communication Evidence / </t>
    </r>
    <r>
      <rPr>
        <sz val="9"/>
        <rFont val="Noto Sans CJK SC"/>
        <family val="2"/>
      </rPr>
      <t xml:space="preserve">형상현황 요약</t>
    </r>
    <r>
      <rPr>
        <sz val="9"/>
        <rFont val="Times New Roman"/>
        <family val="1"/>
        <charset val="1"/>
      </rPr>
      <t xml:space="preserve">/</t>
    </r>
    <r>
      <rPr>
        <sz val="9"/>
        <rFont val="Noto Sans CJK SC"/>
        <family val="2"/>
      </rPr>
      <t xml:space="preserve">공유 보고서</t>
    </r>
  </si>
  <si>
    <r>
      <rPr>
        <sz val="9"/>
        <rFont val="Times New Roman"/>
        <family val="1"/>
        <charset val="1"/>
      </rPr>
      <t xml:space="preserve">Consistency Evidence / </t>
    </r>
    <r>
      <rPr>
        <sz val="9"/>
        <rFont val="Noto Sans CJK SC"/>
        <family val="2"/>
      </rPr>
      <t xml:space="preserve">형상항목 완전성</t>
    </r>
    <r>
      <rPr>
        <sz val="9"/>
        <rFont val="Times New Roman"/>
        <family val="1"/>
        <charset val="1"/>
      </rPr>
      <t xml:space="preserve">/</t>
    </r>
    <r>
      <rPr>
        <sz val="9"/>
        <rFont val="Noto Sans CJK SC"/>
        <family val="2"/>
      </rPr>
      <t xml:space="preserve">일관성 검증 기록</t>
    </r>
  </si>
  <si>
    <r>
      <rPr>
        <sz val="9"/>
        <rFont val="Times New Roman"/>
        <family val="1"/>
        <charset val="1"/>
      </rPr>
      <t xml:space="preserve">Verification Results / </t>
    </r>
    <r>
      <rPr>
        <sz val="9"/>
        <rFont val="Noto Sans CJK SC"/>
        <family val="2"/>
      </rPr>
      <t xml:space="preserve">백업 및 복구 메커니즘 가용성 검증 기록</t>
    </r>
  </si>
  <si>
    <t xml:space="preserve">자가평가워크북 [P1] 시트 BP#8 동일</t>
  </si>
  <si>
    <r>
      <rPr>
        <sz val="9"/>
        <rFont val="Times New Roman"/>
        <family val="1"/>
        <charset val="1"/>
      </rPr>
      <t xml:space="preserve">Problem Record / </t>
    </r>
    <r>
      <rPr>
        <sz val="9"/>
        <rFont val="Noto Sans CJK SC"/>
        <family val="2"/>
      </rPr>
      <t xml:space="preserve">문제 식별</t>
    </r>
    <r>
      <rPr>
        <sz val="9"/>
        <rFont val="Times New Roman"/>
        <family val="1"/>
        <charset val="1"/>
      </rPr>
      <t xml:space="preserve">/</t>
    </r>
    <r>
      <rPr>
        <sz val="9"/>
        <rFont val="Noto Sans CJK SC"/>
        <family val="2"/>
      </rPr>
      <t xml:space="preserve">기록서</t>
    </r>
  </si>
  <si>
    <t xml:space="preserve">자가평가워크북 [Proto] 시트 BP#1 동일</t>
  </si>
  <si>
    <r>
      <rPr>
        <sz val="9"/>
        <rFont val="Times New Roman"/>
        <family val="1"/>
        <charset val="1"/>
      </rPr>
      <t xml:space="preserve">Analysis Results / </t>
    </r>
    <r>
      <rPr>
        <sz val="9"/>
        <rFont val="Noto Sans CJK SC"/>
        <family val="2"/>
      </rPr>
      <t xml:space="preserve">문제 원인 및 영향 분석서</t>
    </r>
  </si>
  <si>
    <r>
      <rPr>
        <sz val="9"/>
        <rFont val="Times New Roman"/>
        <family val="1"/>
        <charset val="1"/>
      </rPr>
      <t xml:space="preserve">Corrective Action / </t>
    </r>
    <r>
      <rPr>
        <sz val="9"/>
        <rFont val="Noto Sans CJK SC"/>
        <family val="2"/>
      </rPr>
      <t xml:space="preserve">긴급 해결조치 승인기록</t>
    </r>
  </si>
  <si>
    <r>
      <rPr>
        <sz val="9"/>
        <rFont val="Times New Roman"/>
        <family val="1"/>
        <charset val="1"/>
      </rPr>
      <t xml:space="preserve">Communication Evidence / </t>
    </r>
    <r>
      <rPr>
        <sz val="9"/>
        <rFont val="Noto Sans CJK SC"/>
        <family val="2"/>
      </rPr>
      <t xml:space="preserve">경고 알림 통지서</t>
    </r>
  </si>
  <si>
    <r>
      <rPr>
        <sz val="9"/>
        <rFont val="Times New Roman"/>
        <family val="1"/>
        <charset val="1"/>
      </rPr>
      <t xml:space="preserve">Corrective Action / </t>
    </r>
    <r>
      <rPr>
        <sz val="9"/>
        <rFont val="Noto Sans CJK SC"/>
        <family val="2"/>
      </rPr>
      <t xml:space="preserve">문제해결 개시 기록</t>
    </r>
  </si>
  <si>
    <r>
      <rPr>
        <sz val="9"/>
        <rFont val="Times New Roman"/>
        <family val="1"/>
        <charset val="1"/>
      </rPr>
      <t xml:space="preserve">Problem Record / </t>
    </r>
    <r>
      <rPr>
        <sz val="9"/>
        <rFont val="Noto Sans CJK SC"/>
        <family val="2"/>
      </rPr>
      <t xml:space="preserve">문제 종결추적 기록서</t>
    </r>
  </si>
  <si>
    <r>
      <rPr>
        <sz val="9"/>
        <rFont val="Times New Roman"/>
        <family val="1"/>
        <charset val="1"/>
      </rPr>
      <t xml:space="preserve">Communication Evidence / </t>
    </r>
    <r>
      <rPr>
        <sz val="9"/>
        <rFont val="Noto Sans CJK SC"/>
        <family val="2"/>
      </rPr>
      <t xml:space="preserve">문제해결 활동 상태보고서</t>
    </r>
  </si>
  <si>
    <r>
      <rPr>
        <sz val="9"/>
        <rFont val="Times New Roman"/>
        <family val="1"/>
        <charset val="1"/>
      </rPr>
      <t xml:space="preserve">Change Request / </t>
    </r>
    <r>
      <rPr>
        <sz val="9"/>
        <rFont val="Noto Sans CJK SC"/>
        <family val="2"/>
      </rPr>
      <t xml:space="preserve">변경요청 식별</t>
    </r>
    <r>
      <rPr>
        <sz val="9"/>
        <rFont val="Times New Roman"/>
        <family val="1"/>
        <charset val="1"/>
      </rPr>
      <t xml:space="preserve">/</t>
    </r>
    <r>
      <rPr>
        <sz val="9"/>
        <rFont val="Noto Sans CJK SC"/>
        <family val="2"/>
      </rPr>
      <t xml:space="preserve">기록서</t>
    </r>
  </si>
  <si>
    <r>
      <rPr>
        <sz val="9"/>
        <rFont val="Times New Roman"/>
        <family val="1"/>
        <charset val="1"/>
      </rPr>
      <t xml:space="preserve">Analysis Results / </t>
    </r>
    <r>
      <rPr>
        <sz val="9"/>
        <rFont val="Noto Sans CJK SC"/>
        <family val="2"/>
      </rPr>
      <t xml:space="preserve">변경요청 분석</t>
    </r>
    <r>
      <rPr>
        <sz val="9"/>
        <rFont val="Times New Roman"/>
        <family val="1"/>
        <charset val="1"/>
      </rPr>
      <t xml:space="preserve">/</t>
    </r>
    <r>
      <rPr>
        <sz val="9"/>
        <rFont val="Noto Sans CJK SC"/>
        <family val="2"/>
      </rPr>
      <t xml:space="preserve">평가서</t>
    </r>
  </si>
  <si>
    <r>
      <rPr>
        <sz val="9"/>
        <rFont val="Times New Roman"/>
        <family val="1"/>
        <charset val="1"/>
      </rPr>
      <t xml:space="preserve">Change Request / </t>
    </r>
    <r>
      <rPr>
        <sz val="9"/>
        <rFont val="Noto Sans CJK SC"/>
        <family val="2"/>
      </rPr>
      <t xml:space="preserve">변경요청 구현 전 승인기록</t>
    </r>
  </si>
  <si>
    <r>
      <rPr>
        <sz val="9"/>
        <rFont val="Times New Roman"/>
        <family val="1"/>
        <charset val="1"/>
      </rPr>
      <t xml:space="preserve">Consistency Evidence / </t>
    </r>
    <r>
      <rPr>
        <sz val="9"/>
        <rFont val="Noto Sans CJK SC"/>
        <family val="2"/>
      </rPr>
      <t xml:space="preserve">변경요청 양방향 추적성 매트릭스</t>
    </r>
  </si>
  <si>
    <t xml:space="preserve">자가평가워크북 [P1] 시트 BP#4 동일</t>
  </si>
  <si>
    <r>
      <rPr>
        <sz val="9"/>
        <rFont val="Times New Roman"/>
        <family val="1"/>
        <charset val="1"/>
      </rPr>
      <t xml:space="preserve">Verification Results / </t>
    </r>
    <r>
      <rPr>
        <sz val="9"/>
        <rFont val="Noto Sans CJK SC"/>
        <family val="2"/>
      </rPr>
      <t xml:space="preserve">변경요청 구현 확인기록</t>
    </r>
  </si>
  <si>
    <r>
      <rPr>
        <sz val="9"/>
        <rFont val="Times New Roman"/>
        <family val="1"/>
        <charset val="1"/>
      </rPr>
      <t xml:space="preserve">Change Request / </t>
    </r>
    <r>
      <rPr>
        <sz val="9"/>
        <rFont val="Noto Sans CJK SC"/>
        <family val="2"/>
      </rPr>
      <t xml:space="preserve">변경요청 종결추적</t>
    </r>
    <r>
      <rPr>
        <sz val="9"/>
        <rFont val="Times New Roman"/>
        <family val="1"/>
        <charset val="1"/>
      </rPr>
      <t xml:space="preserve">/</t>
    </r>
    <r>
      <rPr>
        <sz val="9"/>
        <rFont val="Noto Sans CJK SC"/>
        <family val="2"/>
      </rPr>
      <t xml:space="preserve">현황 보고서</t>
    </r>
  </si>
  <si>
    <r>
      <rPr>
        <sz val="9"/>
        <rFont val="Times New Roman"/>
        <family val="1"/>
        <charset val="1"/>
      </rPr>
      <t xml:space="preserve">ML </t>
    </r>
    <r>
      <rPr>
        <sz val="9"/>
        <rFont val="Noto Sans CJK SC"/>
        <family val="2"/>
      </rPr>
      <t xml:space="preserve">데이터관리</t>
    </r>
    <r>
      <rPr>
        <sz val="9"/>
        <rFont val="Times New Roman"/>
        <family val="1"/>
        <charset val="1"/>
      </rPr>
      <t xml:space="preserve">(ASW</t>
    </r>
    <r>
      <rPr>
        <sz val="9"/>
        <rFont val="Noto Sans CJK SC"/>
        <family val="2"/>
      </rPr>
      <t xml:space="preserve">에 포함</t>
    </r>
    <r>
      <rPr>
        <sz val="9"/>
        <rFont val="Times New Roman"/>
        <family val="1"/>
        <charset val="1"/>
      </rPr>
      <t xml:space="preserve">)</t>
    </r>
  </si>
  <si>
    <r>
      <rPr>
        <sz val="9"/>
        <rFont val="Times New Roman"/>
        <family val="1"/>
        <charset val="1"/>
      </rPr>
      <t xml:space="preserve">ML Data Management Plan / ML </t>
    </r>
    <r>
      <rPr>
        <sz val="9"/>
        <rFont val="Noto Sans CJK SC"/>
        <family val="2"/>
      </rPr>
      <t xml:space="preserve">데이터 관리체계 정의서</t>
    </r>
  </si>
  <si>
    <r>
      <rPr>
        <sz val="9"/>
        <rFont val="Times New Roman"/>
        <family val="1"/>
        <charset val="1"/>
      </rPr>
      <t xml:space="preserve">ML Data Quality Plan / ML </t>
    </r>
    <r>
      <rPr>
        <sz val="9"/>
        <rFont val="Noto Sans CJK SC"/>
        <family val="2"/>
      </rPr>
      <t xml:space="preserve">데이터 품질 접근방식</t>
    </r>
    <r>
      <rPr>
        <sz val="9"/>
        <rFont val="Times New Roman"/>
        <family val="1"/>
        <charset val="1"/>
      </rPr>
      <t xml:space="preserve">/</t>
    </r>
    <r>
      <rPr>
        <sz val="9"/>
        <rFont val="Noto Sans CJK SC"/>
        <family val="2"/>
      </rPr>
      <t xml:space="preserve">기준서</t>
    </r>
  </si>
  <si>
    <r>
      <rPr>
        <sz val="9"/>
        <rFont val="Times New Roman"/>
        <family val="1"/>
        <charset val="1"/>
      </rPr>
      <t xml:space="preserve">ML Data Set / ML </t>
    </r>
    <r>
      <rPr>
        <sz val="9"/>
        <rFont val="Noto Sans CJK SC"/>
        <family val="2"/>
      </rPr>
      <t xml:space="preserve">원시 데이터 수집셋</t>
    </r>
  </si>
  <si>
    <r>
      <rPr>
        <sz val="9"/>
        <rFont val="Times New Roman"/>
        <family val="1"/>
        <charset val="1"/>
      </rPr>
      <t xml:space="preserve">ML Data Set / ML </t>
    </r>
    <r>
      <rPr>
        <sz val="9"/>
        <rFont val="Noto Sans CJK SC"/>
        <family val="2"/>
      </rPr>
      <t xml:space="preserve">가공</t>
    </r>
    <r>
      <rPr>
        <sz val="9"/>
        <rFont val="Times New Roman"/>
        <family val="1"/>
        <charset val="1"/>
      </rPr>
      <t xml:space="preserve">(</t>
    </r>
    <r>
      <rPr>
        <sz val="9"/>
        <rFont val="Noto Sans CJK SC"/>
        <family val="2"/>
      </rPr>
      <t xml:space="preserve">처리</t>
    </r>
    <r>
      <rPr>
        <sz val="9"/>
        <rFont val="Times New Roman"/>
        <family val="1"/>
        <charset val="1"/>
      </rPr>
      <t xml:space="preserve">) </t>
    </r>
    <r>
      <rPr>
        <sz val="9"/>
        <rFont val="Noto Sans CJK SC"/>
        <family val="2"/>
      </rPr>
      <t xml:space="preserve">데이터셋</t>
    </r>
  </si>
  <si>
    <r>
      <rPr>
        <sz val="9"/>
        <rFont val="Times New Roman"/>
        <family val="1"/>
        <charset val="1"/>
      </rPr>
      <t xml:space="preserve">Verification Results / ML </t>
    </r>
    <r>
      <rPr>
        <sz val="9"/>
        <rFont val="Noto Sans CJK SC"/>
        <family val="2"/>
      </rPr>
      <t xml:space="preserve">데이터 품질보증 기록</t>
    </r>
  </si>
  <si>
    <r>
      <rPr>
        <sz val="9"/>
        <rFont val="Times New Roman"/>
        <family val="1"/>
        <charset val="1"/>
      </rPr>
      <t xml:space="preserve">Communication Evidence / </t>
    </r>
    <r>
      <rPr>
        <sz val="9"/>
        <rFont val="Noto Sans CJK SC"/>
        <family val="2"/>
      </rPr>
      <t xml:space="preserve">합의된 처리완료 </t>
    </r>
    <r>
      <rPr>
        <sz val="9"/>
        <rFont val="Times New Roman"/>
        <family val="1"/>
        <charset val="1"/>
      </rPr>
      <t xml:space="preserve">ML </t>
    </r>
    <r>
      <rPr>
        <sz val="9"/>
        <rFont val="Noto Sans CJK SC"/>
        <family val="2"/>
      </rPr>
      <t xml:space="preserve">데이터 공유기록</t>
    </r>
  </si>
  <si>
    <r>
      <rPr>
        <sz val="9"/>
        <rFont val="Times New Roman"/>
        <family val="1"/>
        <charset val="1"/>
      </rPr>
      <t xml:space="preserve">Requirement / </t>
    </r>
    <r>
      <rPr>
        <sz val="9"/>
        <rFont val="Noto Sans CJK SC"/>
        <family val="2"/>
      </rPr>
      <t xml:space="preserve">시스템 요구사항 명세서</t>
    </r>
  </si>
  <si>
    <r>
      <rPr>
        <sz val="9"/>
        <rFont val="Times New Roman"/>
        <family val="1"/>
        <charset val="1"/>
      </rPr>
      <t xml:space="preserve">Requirement Attribute / </t>
    </r>
    <r>
      <rPr>
        <sz val="9"/>
        <rFont val="Noto Sans CJK SC"/>
        <family val="2"/>
      </rPr>
      <t xml:space="preserve">시스템 요구사항 구조화</t>
    </r>
    <r>
      <rPr>
        <sz val="9"/>
        <rFont val="Times New Roman"/>
        <family val="1"/>
        <charset val="1"/>
      </rPr>
      <t xml:space="preserve">/</t>
    </r>
    <r>
      <rPr>
        <sz val="9"/>
        <rFont val="Noto Sans CJK SC"/>
        <family val="2"/>
      </rPr>
      <t xml:space="preserve">우선순위 문서</t>
    </r>
  </si>
  <si>
    <r>
      <rPr>
        <sz val="9"/>
        <rFont val="Times New Roman"/>
        <family val="1"/>
        <charset val="1"/>
      </rPr>
      <t xml:space="preserve">Analysis Results / </t>
    </r>
    <r>
      <rPr>
        <sz val="9"/>
        <rFont val="Noto Sans CJK SC"/>
        <family val="2"/>
      </rPr>
      <t xml:space="preserve">시스템 요구사항 분석서</t>
    </r>
  </si>
  <si>
    <r>
      <rPr>
        <sz val="9"/>
        <rFont val="Times New Roman"/>
        <family val="1"/>
        <charset val="1"/>
      </rPr>
      <t xml:space="preserve">Analysis Results / </t>
    </r>
    <r>
      <rPr>
        <sz val="9"/>
        <rFont val="Noto Sans CJK SC"/>
        <family val="2"/>
      </rPr>
      <t xml:space="preserve">시스템 컨텍스트 영향분석서</t>
    </r>
  </si>
  <si>
    <r>
      <rPr>
        <sz val="9"/>
        <rFont val="Times New Roman"/>
        <family val="1"/>
        <charset val="1"/>
      </rPr>
      <t xml:space="preserve">Consistency Evidence / </t>
    </r>
    <r>
      <rPr>
        <sz val="9"/>
        <rFont val="Noto Sans CJK SC"/>
        <family val="2"/>
      </rPr>
      <t xml:space="preserve">시스템요구사항</t>
    </r>
    <r>
      <rPr>
        <sz val="9"/>
        <rFont val="Times New Roman"/>
        <family val="1"/>
        <charset val="1"/>
      </rPr>
      <t xml:space="preserve">-</t>
    </r>
    <r>
      <rPr>
        <sz val="9"/>
        <rFont val="Noto Sans CJK SC"/>
        <family val="2"/>
      </rPr>
      <t xml:space="preserve">이해관계자요구사항 추적성 매트릭스</t>
    </r>
  </si>
  <si>
    <r>
      <rPr>
        <sz val="9"/>
        <rFont val="Times New Roman"/>
        <family val="1"/>
        <charset val="1"/>
      </rPr>
      <t xml:space="preserve">Communication Evidence / </t>
    </r>
    <r>
      <rPr>
        <sz val="9"/>
        <rFont val="Noto Sans CJK SC"/>
        <family val="2"/>
      </rPr>
      <t xml:space="preserve">합의된 시스템 요구사항 공유기록</t>
    </r>
  </si>
  <si>
    <r>
      <rPr>
        <sz val="9"/>
        <rFont val="Times New Roman"/>
        <family val="1"/>
        <charset val="1"/>
      </rPr>
      <t xml:space="preserve">System Architecture / </t>
    </r>
    <r>
      <rPr>
        <sz val="9"/>
        <rFont val="Noto Sans CJK SC"/>
        <family val="2"/>
      </rPr>
      <t xml:space="preserve">시스템 아키텍처 정적측면 설계서</t>
    </r>
  </si>
  <si>
    <r>
      <rPr>
        <sz val="9"/>
        <rFont val="Times New Roman"/>
        <family val="1"/>
        <charset val="1"/>
      </rPr>
      <t xml:space="preserve">System Architecture / </t>
    </r>
    <r>
      <rPr>
        <sz val="9"/>
        <rFont val="Noto Sans CJK SC"/>
        <family val="2"/>
      </rPr>
      <t xml:space="preserve">시스템 아키텍처 동적측면 설계서</t>
    </r>
  </si>
  <si>
    <r>
      <rPr>
        <sz val="9"/>
        <rFont val="Times New Roman"/>
        <family val="1"/>
        <charset val="1"/>
      </rPr>
      <t xml:space="preserve">Analysis Results / </t>
    </r>
    <r>
      <rPr>
        <sz val="9"/>
        <rFont val="Noto Sans CJK SC"/>
        <family val="2"/>
      </rPr>
      <t xml:space="preserve">시스템 아키텍처 분석서</t>
    </r>
    <r>
      <rPr>
        <sz val="9"/>
        <rFont val="Times New Roman"/>
        <family val="1"/>
        <charset val="1"/>
      </rPr>
      <t xml:space="preserve">(</t>
    </r>
    <r>
      <rPr>
        <sz val="9"/>
        <rFont val="Noto Sans CJK SC"/>
        <family val="2"/>
      </rPr>
      <t xml:space="preserve">특별특성 포함</t>
    </r>
    <r>
      <rPr>
        <sz val="9"/>
        <rFont val="Times New Roman"/>
        <family val="1"/>
        <charset val="1"/>
      </rPr>
      <t xml:space="preserve">)</t>
    </r>
  </si>
  <si>
    <r>
      <rPr>
        <sz val="9"/>
        <rFont val="Times New Roman"/>
        <family val="1"/>
        <charset val="1"/>
      </rPr>
      <t xml:space="preserve">Consistency Evidence / </t>
    </r>
    <r>
      <rPr>
        <sz val="9"/>
        <rFont val="Noto Sans CJK SC"/>
        <family val="2"/>
      </rPr>
      <t xml:space="preserve">시스템아키텍처</t>
    </r>
    <r>
      <rPr>
        <sz val="9"/>
        <rFont val="Times New Roman"/>
        <family val="1"/>
        <charset val="1"/>
      </rPr>
      <t xml:space="preserve">-</t>
    </r>
    <r>
      <rPr>
        <sz val="9"/>
        <rFont val="Noto Sans CJK SC"/>
        <family val="2"/>
      </rPr>
      <t xml:space="preserve">시스템요구사항 추적성 매트릭스</t>
    </r>
  </si>
  <si>
    <r>
      <rPr>
        <sz val="9"/>
        <rFont val="Times New Roman"/>
        <family val="1"/>
        <charset val="1"/>
      </rPr>
      <t xml:space="preserve">Communication Evidence / </t>
    </r>
    <r>
      <rPr>
        <sz val="9"/>
        <rFont val="Noto Sans CJK SC"/>
        <family val="2"/>
      </rPr>
      <t xml:space="preserve">합의된 시스템 아키텍처 공유기록</t>
    </r>
  </si>
  <si>
    <r>
      <rPr>
        <sz val="9"/>
        <rFont val="Times New Roman"/>
        <family val="1"/>
        <charset val="1"/>
      </rPr>
      <t xml:space="preserve">Verification Measure / </t>
    </r>
    <r>
      <rPr>
        <sz val="9"/>
        <rFont val="Noto Sans CJK SC"/>
        <family val="2"/>
      </rPr>
      <t xml:space="preserve">시스템 통합검증 방안서</t>
    </r>
  </si>
  <si>
    <r>
      <rPr>
        <sz val="9"/>
        <rFont val="Times New Roman"/>
        <family val="1"/>
        <charset val="1"/>
      </rPr>
      <t xml:space="preserve">Verification Measure Selection Set / </t>
    </r>
    <r>
      <rPr>
        <sz val="9"/>
        <rFont val="Noto Sans CJK SC"/>
        <family val="2"/>
      </rPr>
      <t xml:space="preserve">통합검증 방안 선정목록</t>
    </r>
  </si>
  <si>
    <r>
      <rPr>
        <sz val="9"/>
        <rFont val="Times New Roman"/>
        <family val="1"/>
        <charset val="1"/>
      </rPr>
      <t xml:space="preserve">Verification Results / </t>
    </r>
    <r>
      <rPr>
        <sz val="9"/>
        <rFont val="Noto Sans CJK SC"/>
        <family val="2"/>
      </rPr>
      <t xml:space="preserve">시스템 통합</t>
    </r>
    <r>
      <rPr>
        <sz val="9"/>
        <rFont val="Times New Roman"/>
        <family val="1"/>
        <charset val="1"/>
      </rPr>
      <t xml:space="preserve">/</t>
    </r>
    <r>
      <rPr>
        <sz val="9"/>
        <rFont val="Noto Sans CJK SC"/>
        <family val="2"/>
      </rPr>
      <t xml:space="preserve">통합검증 결과서</t>
    </r>
  </si>
  <si>
    <t xml:space="preserve">자가평가워크북 [P1] 시트 BP#3 동일</t>
  </si>
  <si>
    <r>
      <rPr>
        <sz val="9"/>
        <rFont val="Times New Roman"/>
        <family val="1"/>
        <charset val="1"/>
      </rPr>
      <t xml:space="preserve">Consistency Evidence / </t>
    </r>
    <r>
      <rPr>
        <sz val="9"/>
        <rFont val="Noto Sans CJK SC"/>
        <family val="2"/>
      </rPr>
      <t xml:space="preserve">검증방안</t>
    </r>
    <r>
      <rPr>
        <sz val="9"/>
        <rFont val="Times New Roman"/>
        <family val="1"/>
        <charset val="1"/>
      </rPr>
      <t xml:space="preserve">-</t>
    </r>
    <r>
      <rPr>
        <sz val="9"/>
        <rFont val="Noto Sans CJK SC"/>
        <family val="2"/>
      </rPr>
      <t xml:space="preserve">시스템아키텍처</t>
    </r>
    <r>
      <rPr>
        <sz val="9"/>
        <rFont val="Times New Roman"/>
        <family val="1"/>
        <charset val="1"/>
      </rPr>
      <t xml:space="preserve">/</t>
    </r>
    <r>
      <rPr>
        <sz val="9"/>
        <rFont val="Noto Sans CJK SC"/>
        <family val="2"/>
      </rPr>
      <t xml:space="preserve">검증결과 추적성 매트릭스</t>
    </r>
  </si>
  <si>
    <r>
      <rPr>
        <sz val="9"/>
        <rFont val="Times New Roman"/>
        <family val="1"/>
        <charset val="1"/>
      </rPr>
      <t xml:space="preserve">Communication Evidence / </t>
    </r>
    <r>
      <rPr>
        <sz val="9"/>
        <rFont val="Noto Sans CJK SC"/>
        <family val="2"/>
      </rPr>
      <t xml:space="preserve">시스템 통합검증 결과 요약보고서</t>
    </r>
  </si>
  <si>
    <r>
      <rPr>
        <sz val="9"/>
        <rFont val="Times New Roman"/>
        <family val="1"/>
        <charset val="1"/>
      </rPr>
      <t xml:space="preserve">Verification Measure / </t>
    </r>
    <r>
      <rPr>
        <sz val="9"/>
        <rFont val="Noto Sans CJK SC"/>
        <family val="2"/>
      </rPr>
      <t xml:space="preserve">시스템 검증방안서</t>
    </r>
  </si>
  <si>
    <t xml:space="preserve">자가평가워크북 [P1] 시트 BP#1 동일</t>
  </si>
  <si>
    <r>
      <rPr>
        <sz val="9"/>
        <rFont val="Times New Roman"/>
        <family val="1"/>
        <charset val="1"/>
      </rPr>
      <t xml:space="preserve">Verification Measure Selection Set / </t>
    </r>
    <r>
      <rPr>
        <sz val="9"/>
        <rFont val="Noto Sans CJK SC"/>
        <family val="2"/>
      </rPr>
      <t xml:space="preserve">시스템검증 방안 선정목록</t>
    </r>
  </si>
  <si>
    <t xml:space="preserve">자가평가워크북 [P1] 시트 BP#2 동일</t>
  </si>
  <si>
    <r>
      <rPr>
        <sz val="9"/>
        <rFont val="Times New Roman"/>
        <family val="1"/>
        <charset val="1"/>
      </rPr>
      <t xml:space="preserve">Verification Results / </t>
    </r>
    <r>
      <rPr>
        <sz val="9"/>
        <rFont val="Noto Sans CJK SC"/>
        <family val="2"/>
      </rPr>
      <t xml:space="preserve">시스템 검증결과서</t>
    </r>
  </si>
  <si>
    <t xml:space="preserve">자가평가워크북 [P2] 시트 BP#3 동일</t>
  </si>
  <si>
    <t xml:space="preserve">미착수</t>
  </si>
  <si>
    <r>
      <rPr>
        <sz val="9"/>
        <rFont val="Times New Roman"/>
        <family val="1"/>
        <charset val="1"/>
      </rPr>
      <t xml:space="preserve">Consistency Evidence / </t>
    </r>
    <r>
      <rPr>
        <sz val="9"/>
        <rFont val="Noto Sans CJK SC"/>
        <family val="2"/>
      </rPr>
      <t xml:space="preserve">검증방안</t>
    </r>
    <r>
      <rPr>
        <sz val="9"/>
        <rFont val="Times New Roman"/>
        <family val="1"/>
        <charset val="1"/>
      </rPr>
      <t xml:space="preserve">-</t>
    </r>
    <r>
      <rPr>
        <sz val="9"/>
        <rFont val="Noto Sans CJK SC"/>
        <family val="2"/>
      </rPr>
      <t xml:space="preserve">시스템요구사항</t>
    </r>
    <r>
      <rPr>
        <sz val="9"/>
        <rFont val="Times New Roman"/>
        <family val="1"/>
        <charset val="1"/>
      </rPr>
      <t xml:space="preserve">/</t>
    </r>
    <r>
      <rPr>
        <sz val="9"/>
        <rFont val="Noto Sans CJK SC"/>
        <family val="2"/>
      </rPr>
      <t xml:space="preserve">검증결과 추적성 매트릭스</t>
    </r>
  </si>
  <si>
    <t xml:space="preserve">자가평가워크북 [P2] 시트 BP#4 동일</t>
  </si>
  <si>
    <r>
      <rPr>
        <sz val="9"/>
        <rFont val="Times New Roman"/>
        <family val="1"/>
        <charset val="1"/>
      </rPr>
      <t xml:space="preserve">Communication Evidence / </t>
    </r>
    <r>
      <rPr>
        <sz val="9"/>
        <rFont val="Noto Sans CJK SC"/>
        <family val="2"/>
      </rPr>
      <t xml:space="preserve">시스템 검증결과 요약보고서</t>
    </r>
  </si>
  <si>
    <t xml:space="preserve">자가평가워크북 [P2] 시트 BP#5 동일</t>
  </si>
  <si>
    <r>
      <rPr>
        <sz val="9"/>
        <rFont val="Times New Roman"/>
        <family val="1"/>
        <charset val="1"/>
      </rPr>
      <t xml:space="preserve">SW </t>
    </r>
    <r>
      <rPr>
        <sz val="9"/>
        <rFont val="Noto Sans CJK SC"/>
        <family val="2"/>
      </rPr>
      <t xml:space="preserve">요구사항분석</t>
    </r>
  </si>
  <si>
    <r>
      <rPr>
        <sz val="9"/>
        <rFont val="Times New Roman"/>
        <family val="1"/>
        <charset val="1"/>
      </rPr>
      <t xml:space="preserve">Requirement / </t>
    </r>
    <r>
      <rPr>
        <sz val="9"/>
        <rFont val="Noto Sans CJK SC"/>
        <family val="2"/>
      </rPr>
      <t xml:space="preserve">소프트웨어 요구사항 명세서</t>
    </r>
  </si>
  <si>
    <r>
      <rPr>
        <sz val="9"/>
        <rFont val="Times New Roman"/>
        <family val="1"/>
        <charset val="1"/>
      </rPr>
      <t xml:space="preserve">Requirement Attribute / </t>
    </r>
    <r>
      <rPr>
        <sz val="9"/>
        <rFont val="Noto Sans CJK SC"/>
        <family val="2"/>
      </rPr>
      <t xml:space="preserve">소프트웨어 요구사항 구조화</t>
    </r>
    <r>
      <rPr>
        <sz val="9"/>
        <rFont val="Times New Roman"/>
        <family val="1"/>
        <charset val="1"/>
      </rPr>
      <t xml:space="preserve">/</t>
    </r>
    <r>
      <rPr>
        <sz val="9"/>
        <rFont val="Noto Sans CJK SC"/>
        <family val="2"/>
      </rPr>
      <t xml:space="preserve">우선순위 문서</t>
    </r>
  </si>
  <si>
    <r>
      <rPr>
        <sz val="9"/>
        <rFont val="Times New Roman"/>
        <family val="1"/>
        <charset val="1"/>
      </rPr>
      <t xml:space="preserve">Analysis Results / </t>
    </r>
    <r>
      <rPr>
        <sz val="9"/>
        <rFont val="Noto Sans CJK SC"/>
        <family val="2"/>
      </rPr>
      <t xml:space="preserve">소프트웨어 요구사항 분석서</t>
    </r>
  </si>
  <si>
    <r>
      <rPr>
        <sz val="9"/>
        <rFont val="Times New Roman"/>
        <family val="1"/>
        <charset val="1"/>
      </rPr>
      <t xml:space="preserve">Analysis Results / </t>
    </r>
    <r>
      <rPr>
        <sz val="9"/>
        <rFont val="Noto Sans CJK SC"/>
        <family val="2"/>
      </rPr>
      <t xml:space="preserve">운영환경 영향분석서</t>
    </r>
  </si>
  <si>
    <r>
      <rPr>
        <sz val="9"/>
        <rFont val="Times New Roman"/>
        <family val="1"/>
        <charset val="1"/>
      </rPr>
      <t xml:space="preserve">Consistency Evidence / SW</t>
    </r>
    <r>
      <rPr>
        <sz val="9"/>
        <rFont val="Noto Sans CJK SC"/>
        <family val="2"/>
      </rPr>
      <t xml:space="preserve">요구사항</t>
    </r>
    <r>
      <rPr>
        <sz val="9"/>
        <rFont val="Times New Roman"/>
        <family val="1"/>
        <charset val="1"/>
      </rPr>
      <t xml:space="preserve">-</t>
    </r>
    <r>
      <rPr>
        <sz val="9"/>
        <rFont val="Noto Sans CJK SC"/>
        <family val="2"/>
      </rPr>
      <t xml:space="preserve">시스템요구사항</t>
    </r>
    <r>
      <rPr>
        <sz val="9"/>
        <rFont val="Times New Roman"/>
        <family val="1"/>
        <charset val="1"/>
      </rPr>
      <t xml:space="preserve">/</t>
    </r>
    <r>
      <rPr>
        <sz val="9"/>
        <rFont val="Noto Sans CJK SC"/>
        <family val="2"/>
      </rPr>
      <t xml:space="preserve">아키텍처 추적성 매트릭스</t>
    </r>
  </si>
  <si>
    <r>
      <rPr>
        <sz val="9"/>
        <rFont val="Times New Roman"/>
        <family val="1"/>
        <charset val="1"/>
      </rPr>
      <t xml:space="preserve">Communication Evidence / </t>
    </r>
    <r>
      <rPr>
        <sz val="9"/>
        <rFont val="Noto Sans CJK SC"/>
        <family val="2"/>
      </rPr>
      <t xml:space="preserve">합의된 소프트웨어 요구사항 공유기록</t>
    </r>
  </si>
  <si>
    <r>
      <rPr>
        <sz val="9"/>
        <rFont val="Times New Roman"/>
        <family val="1"/>
        <charset val="1"/>
      </rPr>
      <t xml:space="preserve">SW </t>
    </r>
    <r>
      <rPr>
        <sz val="9"/>
        <rFont val="Noto Sans CJK SC"/>
        <family val="2"/>
      </rPr>
      <t xml:space="preserve">아키텍처설계</t>
    </r>
  </si>
  <si>
    <r>
      <rPr>
        <sz val="9"/>
        <rFont val="Times New Roman"/>
        <family val="1"/>
        <charset val="1"/>
      </rPr>
      <t xml:space="preserve">Software Architecture / </t>
    </r>
    <r>
      <rPr>
        <sz val="9"/>
        <rFont val="Noto Sans CJK SC"/>
        <family val="2"/>
      </rPr>
      <t xml:space="preserve">소프트웨어 아키텍처 정적측면 설계서</t>
    </r>
  </si>
  <si>
    <r>
      <rPr>
        <sz val="9"/>
        <rFont val="Times New Roman"/>
        <family val="1"/>
        <charset val="1"/>
      </rPr>
      <t xml:space="preserve">Software Architecture / </t>
    </r>
    <r>
      <rPr>
        <sz val="9"/>
        <rFont val="Noto Sans CJK SC"/>
        <family val="2"/>
      </rPr>
      <t xml:space="preserve">소프트웨어 아키텍처 동적측면 설계서</t>
    </r>
  </si>
  <si>
    <r>
      <rPr>
        <sz val="9"/>
        <rFont val="Times New Roman"/>
        <family val="1"/>
        <charset val="1"/>
      </rPr>
      <t xml:space="preserve">Analysis Results / </t>
    </r>
    <r>
      <rPr>
        <sz val="9"/>
        <rFont val="Noto Sans CJK SC"/>
        <family val="2"/>
      </rPr>
      <t xml:space="preserve">소프트웨어 아키텍처 분석서</t>
    </r>
  </si>
  <si>
    <r>
      <rPr>
        <sz val="9"/>
        <rFont val="Times New Roman"/>
        <family val="1"/>
        <charset val="1"/>
      </rPr>
      <t xml:space="preserve">Consistency Evidence / SW</t>
    </r>
    <r>
      <rPr>
        <sz val="9"/>
        <rFont val="Noto Sans CJK SC"/>
        <family val="2"/>
      </rPr>
      <t xml:space="preserve">아키텍처</t>
    </r>
    <r>
      <rPr>
        <sz val="9"/>
        <rFont val="Times New Roman"/>
        <family val="1"/>
        <charset val="1"/>
      </rPr>
      <t xml:space="preserve">-SW</t>
    </r>
    <r>
      <rPr>
        <sz val="9"/>
        <rFont val="Noto Sans CJK SC"/>
        <family val="2"/>
      </rPr>
      <t xml:space="preserve">요구사항 추적성 매트릭스</t>
    </r>
  </si>
  <si>
    <r>
      <rPr>
        <sz val="9"/>
        <rFont val="Times New Roman"/>
        <family val="1"/>
        <charset val="1"/>
      </rPr>
      <t xml:space="preserve">Communication Evidence / </t>
    </r>
    <r>
      <rPr>
        <sz val="9"/>
        <rFont val="Noto Sans CJK SC"/>
        <family val="2"/>
      </rPr>
      <t xml:space="preserve">합의된 소프트웨어 아키텍처 공유기록</t>
    </r>
  </si>
  <si>
    <r>
      <rPr>
        <sz val="9"/>
        <rFont val="Times New Roman"/>
        <family val="1"/>
        <charset val="1"/>
      </rPr>
      <t xml:space="preserve">SW </t>
    </r>
    <r>
      <rPr>
        <sz val="9"/>
        <rFont val="Noto Sans CJK SC"/>
        <family val="2"/>
      </rPr>
      <t xml:space="preserve">상세설계</t>
    </r>
    <r>
      <rPr>
        <sz val="9"/>
        <rFont val="Times New Roman"/>
        <family val="1"/>
        <charset val="1"/>
      </rPr>
      <t xml:space="preserve">/</t>
    </r>
    <r>
      <rPr>
        <sz val="9"/>
        <rFont val="Noto Sans CJK SC"/>
        <family val="2"/>
      </rPr>
      <t xml:space="preserve">단위구현</t>
    </r>
    <r>
      <rPr>
        <sz val="9"/>
        <rFont val="Times New Roman"/>
        <family val="1"/>
        <charset val="1"/>
      </rPr>
      <t xml:space="preserve">(ASW)</t>
    </r>
  </si>
  <si>
    <r>
      <rPr>
        <sz val="9"/>
        <rFont val="Times New Roman"/>
        <family val="1"/>
        <charset val="1"/>
      </rPr>
      <t xml:space="preserve">Software Detailed Design / </t>
    </r>
    <r>
      <rPr>
        <sz val="9"/>
        <rFont val="Noto Sans CJK SC"/>
        <family val="2"/>
      </rPr>
      <t xml:space="preserve">소프트웨어 상세설계서</t>
    </r>
    <r>
      <rPr>
        <sz val="9"/>
        <rFont val="Times New Roman"/>
        <family val="1"/>
        <charset val="1"/>
      </rPr>
      <t xml:space="preserve">(</t>
    </r>
    <r>
      <rPr>
        <sz val="9"/>
        <rFont val="Noto Sans CJK SC"/>
        <family val="2"/>
      </rPr>
      <t xml:space="preserve">정적측면</t>
    </r>
    <r>
      <rPr>
        <sz val="9"/>
        <rFont val="Times New Roman"/>
        <family val="1"/>
        <charset val="1"/>
      </rPr>
      <t xml:space="preserve">)</t>
    </r>
  </si>
  <si>
    <r>
      <rPr>
        <sz val="9"/>
        <rFont val="Times New Roman"/>
        <family val="1"/>
        <charset val="1"/>
      </rPr>
      <t xml:space="preserve">SW </t>
    </r>
    <r>
      <rPr>
        <sz val="9"/>
        <rFont val="Noto Sans CJK SC"/>
        <family val="2"/>
      </rPr>
      <t xml:space="preserve">상세설계</t>
    </r>
    <r>
      <rPr>
        <sz val="9"/>
        <rFont val="Times New Roman"/>
        <family val="1"/>
        <charset val="1"/>
      </rPr>
      <t xml:space="preserve">/</t>
    </r>
    <r>
      <rPr>
        <sz val="9"/>
        <rFont val="Noto Sans CJK SC"/>
        <family val="2"/>
      </rPr>
      <t xml:space="preserve">단위구현</t>
    </r>
    <r>
      <rPr>
        <sz val="9"/>
        <rFont val="Times New Roman"/>
        <family val="1"/>
        <charset val="1"/>
      </rPr>
      <t xml:space="preserve">(BSW)</t>
    </r>
  </si>
  <si>
    <r>
      <rPr>
        <sz val="9"/>
        <rFont val="Times New Roman"/>
        <family val="1"/>
        <charset val="1"/>
      </rPr>
      <t xml:space="preserve">Software Detailed Design / </t>
    </r>
    <r>
      <rPr>
        <sz val="9"/>
        <rFont val="Noto Sans CJK SC"/>
        <family val="2"/>
      </rPr>
      <t xml:space="preserve">소프트웨어 상세설계서</t>
    </r>
    <r>
      <rPr>
        <sz val="9"/>
        <rFont val="Times New Roman"/>
        <family val="1"/>
        <charset val="1"/>
      </rPr>
      <t xml:space="preserve">(</t>
    </r>
    <r>
      <rPr>
        <sz val="9"/>
        <rFont val="Noto Sans CJK SC"/>
        <family val="2"/>
      </rPr>
      <t xml:space="preserve">동적측면</t>
    </r>
    <r>
      <rPr>
        <sz val="9"/>
        <rFont val="Times New Roman"/>
        <family val="1"/>
        <charset val="1"/>
      </rPr>
      <t xml:space="preserve">)</t>
    </r>
  </si>
  <si>
    <r>
      <rPr>
        <sz val="9"/>
        <rFont val="Times New Roman"/>
        <family val="1"/>
        <charset val="1"/>
      </rPr>
      <t xml:space="preserve">Software Unit / </t>
    </r>
    <r>
      <rPr>
        <sz val="9"/>
        <rFont val="Noto Sans CJK SC"/>
        <family val="2"/>
      </rPr>
      <t xml:space="preserve">소프트웨어 단위</t>
    </r>
    <r>
      <rPr>
        <sz val="9"/>
        <rFont val="Times New Roman"/>
        <family val="1"/>
        <charset val="1"/>
      </rPr>
      <t xml:space="preserve">(</t>
    </r>
    <r>
      <rPr>
        <sz val="9"/>
        <rFont val="Noto Sans CJK SC"/>
        <family val="2"/>
      </rPr>
      <t xml:space="preserve">소스코드</t>
    </r>
    <r>
      <rPr>
        <sz val="9"/>
        <rFont val="Times New Roman"/>
        <family val="1"/>
        <charset val="1"/>
      </rPr>
      <t xml:space="preserve">)</t>
    </r>
  </si>
  <si>
    <r>
      <rPr>
        <sz val="9"/>
        <rFont val="Times New Roman"/>
        <family val="1"/>
        <charset val="1"/>
      </rPr>
      <t xml:space="preserve">Consistency Evidence / </t>
    </r>
    <r>
      <rPr>
        <sz val="9"/>
        <rFont val="Noto Sans CJK SC"/>
        <family val="2"/>
      </rPr>
      <t xml:space="preserve">상세설계</t>
    </r>
    <r>
      <rPr>
        <sz val="9"/>
        <rFont val="Times New Roman"/>
        <family val="1"/>
        <charset val="1"/>
      </rPr>
      <t xml:space="preserve">-</t>
    </r>
    <r>
      <rPr>
        <sz val="9"/>
        <rFont val="Noto Sans CJK SC"/>
        <family val="2"/>
      </rPr>
      <t xml:space="preserve">아키텍처</t>
    </r>
    <r>
      <rPr>
        <sz val="9"/>
        <rFont val="Times New Roman"/>
        <family val="1"/>
        <charset val="1"/>
      </rPr>
      <t xml:space="preserve">/</t>
    </r>
    <r>
      <rPr>
        <sz val="9"/>
        <rFont val="Noto Sans CJK SC"/>
        <family val="2"/>
      </rPr>
      <t xml:space="preserve">소스코드</t>
    </r>
    <r>
      <rPr>
        <sz val="9"/>
        <rFont val="Times New Roman"/>
        <family val="1"/>
        <charset val="1"/>
      </rPr>
      <t xml:space="preserve">/</t>
    </r>
    <r>
      <rPr>
        <sz val="9"/>
        <rFont val="Noto Sans CJK SC"/>
        <family val="2"/>
      </rPr>
      <t xml:space="preserve">요구사항 추적성 매트릭스</t>
    </r>
  </si>
  <si>
    <r>
      <rPr>
        <sz val="9"/>
        <rFont val="Times New Roman"/>
        <family val="1"/>
        <charset val="1"/>
      </rPr>
      <t xml:space="preserve">Communication Evidence / </t>
    </r>
    <r>
      <rPr>
        <sz val="9"/>
        <rFont val="Noto Sans CJK SC"/>
        <family val="2"/>
      </rPr>
      <t xml:space="preserve">합의된 상세설계 및 </t>
    </r>
    <r>
      <rPr>
        <sz val="9"/>
        <rFont val="Times New Roman"/>
        <family val="1"/>
        <charset val="1"/>
      </rPr>
      <t xml:space="preserve">SW</t>
    </r>
    <r>
      <rPr>
        <sz val="9"/>
        <rFont val="Noto Sans CJK SC"/>
        <family val="2"/>
      </rPr>
      <t xml:space="preserve">단위 공유기록</t>
    </r>
  </si>
  <si>
    <r>
      <rPr>
        <sz val="9"/>
        <rFont val="Times New Roman"/>
        <family val="1"/>
        <charset val="1"/>
      </rPr>
      <t xml:space="preserve">SW </t>
    </r>
    <r>
      <rPr>
        <sz val="9"/>
        <rFont val="Noto Sans CJK SC"/>
        <family val="2"/>
      </rPr>
      <t xml:space="preserve">단위검증</t>
    </r>
    <r>
      <rPr>
        <sz val="9"/>
        <rFont val="Times New Roman"/>
        <family val="1"/>
        <charset val="1"/>
      </rPr>
      <t xml:space="preserve">(ASW)</t>
    </r>
  </si>
  <si>
    <r>
      <rPr>
        <sz val="9"/>
        <rFont val="Times New Roman"/>
        <family val="1"/>
        <charset val="1"/>
      </rPr>
      <t xml:space="preserve">Verification Measure / </t>
    </r>
    <r>
      <rPr>
        <sz val="9"/>
        <rFont val="Noto Sans CJK SC"/>
        <family val="2"/>
      </rPr>
      <t xml:space="preserve">소프트웨어 단위검증 방안서</t>
    </r>
  </si>
  <si>
    <r>
      <rPr>
        <sz val="9"/>
        <rFont val="Times New Roman"/>
        <family val="1"/>
        <charset val="1"/>
      </rPr>
      <t xml:space="preserve">SW </t>
    </r>
    <r>
      <rPr>
        <sz val="9"/>
        <rFont val="Noto Sans CJK SC"/>
        <family val="2"/>
      </rPr>
      <t xml:space="preserve">단위검증</t>
    </r>
    <r>
      <rPr>
        <sz val="9"/>
        <rFont val="Times New Roman"/>
        <family val="1"/>
        <charset val="1"/>
      </rPr>
      <t xml:space="preserve">(BSW)</t>
    </r>
  </si>
  <si>
    <r>
      <rPr>
        <sz val="9"/>
        <rFont val="Times New Roman"/>
        <family val="1"/>
        <charset val="1"/>
      </rPr>
      <t xml:space="preserve">Verification Measure Selection Set / </t>
    </r>
    <r>
      <rPr>
        <sz val="9"/>
        <rFont val="Noto Sans CJK SC"/>
        <family val="2"/>
      </rPr>
      <t xml:space="preserve">단위검증 방안 선정목록</t>
    </r>
  </si>
  <si>
    <r>
      <rPr>
        <sz val="9"/>
        <rFont val="Times New Roman"/>
        <family val="1"/>
        <charset val="1"/>
      </rPr>
      <t xml:space="preserve">Verification Results / </t>
    </r>
    <r>
      <rPr>
        <sz val="9"/>
        <rFont val="Noto Sans CJK SC"/>
        <family val="2"/>
      </rPr>
      <t xml:space="preserve">소프트웨어 단위검증 결과서</t>
    </r>
  </si>
  <si>
    <r>
      <rPr>
        <sz val="9"/>
        <rFont val="Times New Roman"/>
        <family val="1"/>
        <charset val="1"/>
      </rPr>
      <t xml:space="preserve">Consistency Evidence / </t>
    </r>
    <r>
      <rPr>
        <sz val="9"/>
        <rFont val="Noto Sans CJK SC"/>
        <family val="2"/>
      </rPr>
      <t xml:space="preserve">검증방안</t>
    </r>
    <r>
      <rPr>
        <sz val="9"/>
        <rFont val="Times New Roman"/>
        <family val="1"/>
        <charset val="1"/>
      </rPr>
      <t xml:space="preserve">-SW</t>
    </r>
    <r>
      <rPr>
        <sz val="9"/>
        <rFont val="Noto Sans CJK SC"/>
        <family val="2"/>
      </rPr>
      <t xml:space="preserve">단위</t>
    </r>
    <r>
      <rPr>
        <sz val="9"/>
        <rFont val="Times New Roman"/>
        <family val="1"/>
        <charset val="1"/>
      </rPr>
      <t xml:space="preserve">/</t>
    </r>
    <r>
      <rPr>
        <sz val="9"/>
        <rFont val="Noto Sans CJK SC"/>
        <family val="2"/>
      </rPr>
      <t xml:space="preserve">검증결과 추적성 매트릭스</t>
    </r>
  </si>
  <si>
    <r>
      <rPr>
        <sz val="9"/>
        <rFont val="Times New Roman"/>
        <family val="1"/>
        <charset val="1"/>
      </rPr>
      <t xml:space="preserve">Communication Evidence / SW</t>
    </r>
    <r>
      <rPr>
        <sz val="9"/>
        <rFont val="Noto Sans CJK SC"/>
        <family val="2"/>
      </rPr>
      <t xml:space="preserve">단위검증 결과 요약보고서</t>
    </r>
  </si>
  <si>
    <r>
      <rPr>
        <sz val="9"/>
        <rFont val="Times New Roman"/>
        <family val="1"/>
        <charset val="1"/>
      </rPr>
      <t xml:space="preserve">SW </t>
    </r>
    <r>
      <rPr>
        <sz val="9"/>
        <rFont val="Noto Sans CJK SC"/>
        <family val="2"/>
      </rPr>
      <t xml:space="preserve">통합</t>
    </r>
    <r>
      <rPr>
        <sz val="9"/>
        <rFont val="Times New Roman"/>
        <family val="1"/>
        <charset val="1"/>
      </rPr>
      <t xml:space="preserve">/</t>
    </r>
    <r>
      <rPr>
        <sz val="9"/>
        <rFont val="Noto Sans CJK SC"/>
        <family val="2"/>
      </rPr>
      <t xml:space="preserve">통합검증</t>
    </r>
  </si>
  <si>
    <r>
      <rPr>
        <sz val="9"/>
        <rFont val="Times New Roman"/>
        <family val="1"/>
        <charset val="1"/>
      </rPr>
      <t xml:space="preserve">Verification Measure / </t>
    </r>
    <r>
      <rPr>
        <sz val="9"/>
        <rFont val="Noto Sans CJK SC"/>
        <family val="2"/>
      </rPr>
      <t xml:space="preserve">소프트웨어 통합검증 방안서</t>
    </r>
  </si>
  <si>
    <r>
      <rPr>
        <sz val="9"/>
        <rFont val="Times New Roman"/>
        <family val="1"/>
        <charset val="1"/>
      </rPr>
      <t xml:space="preserve">Verification Measure / </t>
    </r>
    <r>
      <rPr>
        <sz val="9"/>
        <rFont val="Noto Sans CJK SC"/>
        <family val="2"/>
      </rPr>
      <t xml:space="preserve">소프트웨어 컴포넌트 검증방안서</t>
    </r>
  </si>
  <si>
    <r>
      <rPr>
        <sz val="9"/>
        <rFont val="Times New Roman"/>
        <family val="1"/>
        <charset val="1"/>
      </rPr>
      <t xml:space="preserve">Verification Measure Selection Set / </t>
    </r>
    <r>
      <rPr>
        <sz val="9"/>
        <rFont val="Noto Sans CJK SC"/>
        <family val="2"/>
      </rPr>
      <t xml:space="preserve">검증방안 선정목록</t>
    </r>
  </si>
  <si>
    <r>
      <rPr>
        <sz val="9"/>
        <rFont val="Times New Roman"/>
        <family val="1"/>
        <charset val="1"/>
      </rPr>
      <t xml:space="preserve">Verification Results / </t>
    </r>
    <r>
      <rPr>
        <sz val="9"/>
        <rFont val="Noto Sans CJK SC"/>
        <family val="2"/>
      </rPr>
      <t xml:space="preserve">소프트웨어 통합</t>
    </r>
    <r>
      <rPr>
        <sz val="9"/>
        <rFont val="Times New Roman"/>
        <family val="1"/>
        <charset val="1"/>
      </rPr>
      <t xml:space="preserve">/</t>
    </r>
    <r>
      <rPr>
        <sz val="9"/>
        <rFont val="Noto Sans CJK SC"/>
        <family val="2"/>
      </rPr>
      <t xml:space="preserve">통합검증 결과서</t>
    </r>
  </si>
  <si>
    <r>
      <rPr>
        <sz val="9"/>
        <rFont val="Times New Roman"/>
        <family val="1"/>
        <charset val="1"/>
      </rPr>
      <t xml:space="preserve">Verification Results / </t>
    </r>
    <r>
      <rPr>
        <sz val="9"/>
        <rFont val="Noto Sans CJK SC"/>
        <family val="2"/>
      </rPr>
      <t xml:space="preserve">소프트웨어 컴포넌트 검증결과서</t>
    </r>
  </si>
  <si>
    <r>
      <rPr>
        <sz val="9"/>
        <rFont val="Times New Roman"/>
        <family val="1"/>
        <charset val="1"/>
      </rPr>
      <t xml:space="preserve">Consistency Evidence / </t>
    </r>
    <r>
      <rPr>
        <sz val="9"/>
        <rFont val="Noto Sans CJK SC"/>
        <family val="2"/>
      </rPr>
      <t xml:space="preserve">검증방안</t>
    </r>
    <r>
      <rPr>
        <sz val="9"/>
        <rFont val="Times New Roman"/>
        <family val="1"/>
        <charset val="1"/>
      </rPr>
      <t xml:space="preserve">-</t>
    </r>
    <r>
      <rPr>
        <sz val="9"/>
        <rFont val="Noto Sans CJK SC"/>
        <family val="2"/>
      </rPr>
      <t xml:space="preserve">아키텍처</t>
    </r>
    <r>
      <rPr>
        <sz val="9"/>
        <rFont val="Times New Roman"/>
        <family val="1"/>
        <charset val="1"/>
      </rPr>
      <t xml:space="preserve">/</t>
    </r>
    <r>
      <rPr>
        <sz val="9"/>
        <rFont val="Noto Sans CJK SC"/>
        <family val="2"/>
      </rPr>
      <t xml:space="preserve">상세설계</t>
    </r>
    <r>
      <rPr>
        <sz val="9"/>
        <rFont val="Times New Roman"/>
        <family val="1"/>
        <charset val="1"/>
      </rPr>
      <t xml:space="preserve">/</t>
    </r>
    <r>
      <rPr>
        <sz val="9"/>
        <rFont val="Noto Sans CJK SC"/>
        <family val="2"/>
      </rPr>
      <t xml:space="preserve">검증결과 추적성 매트릭스</t>
    </r>
  </si>
  <si>
    <r>
      <rPr>
        <sz val="9"/>
        <rFont val="Times New Roman"/>
        <family val="1"/>
        <charset val="1"/>
      </rPr>
      <t xml:space="preserve">Communication Evidence / </t>
    </r>
    <r>
      <rPr>
        <sz val="9"/>
        <rFont val="Noto Sans CJK SC"/>
        <family val="2"/>
      </rPr>
      <t xml:space="preserve">컴포넌트</t>
    </r>
    <r>
      <rPr>
        <sz val="9"/>
        <rFont val="Times New Roman"/>
        <family val="1"/>
        <charset val="1"/>
      </rPr>
      <t xml:space="preserve">/</t>
    </r>
    <r>
      <rPr>
        <sz val="9"/>
        <rFont val="Noto Sans CJK SC"/>
        <family val="2"/>
      </rPr>
      <t xml:space="preserve">통합검증 결과 요약보고서</t>
    </r>
  </si>
  <si>
    <r>
      <rPr>
        <sz val="9"/>
        <rFont val="Times New Roman"/>
        <family val="1"/>
        <charset val="1"/>
      </rPr>
      <t xml:space="preserve">SW </t>
    </r>
    <r>
      <rPr>
        <sz val="9"/>
        <rFont val="Noto Sans CJK SC"/>
        <family val="2"/>
      </rPr>
      <t xml:space="preserve">검증</t>
    </r>
  </si>
  <si>
    <r>
      <rPr>
        <sz val="9"/>
        <rFont val="Times New Roman"/>
        <family val="1"/>
        <charset val="1"/>
      </rPr>
      <t xml:space="preserve">Verification Measure / </t>
    </r>
    <r>
      <rPr>
        <sz val="9"/>
        <rFont val="Noto Sans CJK SC"/>
        <family val="2"/>
      </rPr>
      <t xml:space="preserve">소프트웨어 검증방안서</t>
    </r>
  </si>
  <si>
    <r>
      <rPr>
        <sz val="9"/>
        <rFont val="Times New Roman"/>
        <family val="1"/>
        <charset val="1"/>
      </rPr>
      <t xml:space="preserve">Verification Measure Selection Set / SW</t>
    </r>
    <r>
      <rPr>
        <sz val="9"/>
        <rFont val="Noto Sans CJK SC"/>
        <family val="2"/>
      </rPr>
      <t xml:space="preserve">검증 방안 선정목록</t>
    </r>
  </si>
  <si>
    <r>
      <rPr>
        <sz val="9"/>
        <rFont val="Times New Roman"/>
        <family val="1"/>
        <charset val="1"/>
      </rPr>
      <t xml:space="preserve">Verification Results / </t>
    </r>
    <r>
      <rPr>
        <sz val="9"/>
        <rFont val="Noto Sans CJK SC"/>
        <family val="2"/>
      </rPr>
      <t xml:space="preserve">통합 소프트웨어 검증결과서</t>
    </r>
  </si>
  <si>
    <r>
      <rPr>
        <sz val="9"/>
        <rFont val="Times New Roman"/>
        <family val="1"/>
        <charset val="1"/>
      </rPr>
      <t xml:space="preserve">Consistency Evidence / </t>
    </r>
    <r>
      <rPr>
        <sz val="9"/>
        <rFont val="Noto Sans CJK SC"/>
        <family val="2"/>
      </rPr>
      <t xml:space="preserve">검증방안</t>
    </r>
    <r>
      <rPr>
        <sz val="9"/>
        <rFont val="Times New Roman"/>
        <family val="1"/>
        <charset val="1"/>
      </rPr>
      <t xml:space="preserve">-SW</t>
    </r>
    <r>
      <rPr>
        <sz val="9"/>
        <rFont val="Noto Sans CJK SC"/>
        <family val="2"/>
      </rPr>
      <t xml:space="preserve">요구사항</t>
    </r>
    <r>
      <rPr>
        <sz val="9"/>
        <rFont val="Times New Roman"/>
        <family val="1"/>
        <charset val="1"/>
      </rPr>
      <t xml:space="preserve">/</t>
    </r>
    <r>
      <rPr>
        <sz val="9"/>
        <rFont val="Noto Sans CJK SC"/>
        <family val="2"/>
      </rPr>
      <t xml:space="preserve">검증결과 추적성 매트릭스</t>
    </r>
  </si>
  <si>
    <r>
      <rPr>
        <sz val="9"/>
        <rFont val="Times New Roman"/>
        <family val="1"/>
        <charset val="1"/>
      </rPr>
      <t xml:space="preserve">Communication Evidence / SW</t>
    </r>
    <r>
      <rPr>
        <sz val="9"/>
        <rFont val="Noto Sans CJK SC"/>
        <family val="2"/>
      </rPr>
      <t xml:space="preserve">검증결과 요약보고서</t>
    </r>
  </si>
  <si>
    <r>
      <rPr>
        <sz val="9"/>
        <rFont val="Times New Roman"/>
        <family val="1"/>
        <charset val="1"/>
      </rPr>
      <t xml:space="preserve">Validation Measure / </t>
    </r>
    <r>
      <rPr>
        <sz val="9"/>
        <rFont val="Noto Sans CJK SC"/>
        <family val="2"/>
      </rPr>
      <t xml:space="preserve">제품확인 방안서</t>
    </r>
  </si>
  <si>
    <t xml:space="preserve">자가평가워크북 [P2] 시트 BP#1 동일</t>
  </si>
  <si>
    <r>
      <rPr>
        <sz val="9"/>
        <rFont val="Times New Roman"/>
        <family val="1"/>
        <charset val="1"/>
      </rPr>
      <t xml:space="preserve">Validation Measure Selection Set / </t>
    </r>
    <r>
      <rPr>
        <sz val="9"/>
        <rFont val="Noto Sans CJK SC"/>
        <family val="2"/>
      </rPr>
      <t xml:space="preserve">확인 방안 선정목록</t>
    </r>
  </si>
  <si>
    <t xml:space="preserve">자가평가워크북 [P2] 시트 BP#2 동일</t>
  </si>
  <si>
    <r>
      <rPr>
        <sz val="9"/>
        <rFont val="Times New Roman"/>
        <family val="1"/>
        <charset val="1"/>
      </rPr>
      <t xml:space="preserve">Validation Results / </t>
    </r>
    <r>
      <rPr>
        <sz val="9"/>
        <rFont val="Noto Sans CJK SC"/>
        <family val="2"/>
      </rPr>
      <t xml:space="preserve">제품확인 결과서</t>
    </r>
  </si>
  <si>
    <r>
      <rPr>
        <sz val="9"/>
        <rFont val="Times New Roman"/>
        <family val="1"/>
        <charset val="1"/>
      </rPr>
      <t xml:space="preserve">Consistency Evidence / </t>
    </r>
    <r>
      <rPr>
        <sz val="9"/>
        <rFont val="Noto Sans CJK SC"/>
        <family val="2"/>
      </rPr>
      <t xml:space="preserve">확인방안</t>
    </r>
    <r>
      <rPr>
        <sz val="9"/>
        <rFont val="Times New Roman"/>
        <family val="1"/>
        <charset val="1"/>
      </rPr>
      <t xml:space="preserve">-</t>
    </r>
    <r>
      <rPr>
        <sz val="9"/>
        <rFont val="Noto Sans CJK SC"/>
        <family val="2"/>
      </rPr>
      <t xml:space="preserve">요구사항</t>
    </r>
    <r>
      <rPr>
        <sz val="9"/>
        <rFont val="Times New Roman"/>
        <family val="1"/>
        <charset val="1"/>
      </rPr>
      <t xml:space="preserve">/</t>
    </r>
    <r>
      <rPr>
        <sz val="9"/>
        <rFont val="Noto Sans CJK SC"/>
        <family val="2"/>
      </rPr>
      <t xml:space="preserve">확인결과 추적성 매트릭스</t>
    </r>
  </si>
  <si>
    <r>
      <rPr>
        <sz val="9"/>
        <rFont val="Times New Roman"/>
        <family val="1"/>
        <charset val="1"/>
      </rPr>
      <t xml:space="preserve">Communication Evidence / </t>
    </r>
    <r>
      <rPr>
        <sz val="9"/>
        <rFont val="Noto Sans CJK SC"/>
        <family val="2"/>
      </rPr>
      <t xml:space="preserve">제품확인 결과 요약보고서</t>
    </r>
  </si>
  <si>
    <r>
      <rPr>
        <sz val="9"/>
        <rFont val="Times New Roman"/>
        <family val="1"/>
        <charset val="1"/>
      </rPr>
      <t xml:space="preserve">ML </t>
    </r>
    <r>
      <rPr>
        <sz val="9"/>
        <rFont val="Noto Sans CJK SC"/>
        <family val="2"/>
      </rPr>
      <t xml:space="preserve">요구사항분석</t>
    </r>
    <r>
      <rPr>
        <sz val="9"/>
        <rFont val="Times New Roman"/>
        <family val="1"/>
        <charset val="1"/>
      </rPr>
      <t xml:space="preserve">(ASW</t>
    </r>
    <r>
      <rPr>
        <sz val="9"/>
        <rFont val="Noto Sans CJK SC"/>
        <family val="2"/>
      </rPr>
      <t xml:space="preserve">에 포함</t>
    </r>
    <r>
      <rPr>
        <sz val="9"/>
        <rFont val="Times New Roman"/>
        <family val="1"/>
        <charset val="1"/>
      </rPr>
      <t xml:space="preserve">)</t>
    </r>
  </si>
  <si>
    <r>
      <rPr>
        <sz val="9"/>
        <rFont val="Times New Roman"/>
        <family val="1"/>
        <charset val="1"/>
      </rPr>
      <t xml:space="preserve">Requirement / ML </t>
    </r>
    <r>
      <rPr>
        <sz val="9"/>
        <rFont val="Noto Sans CJK SC"/>
        <family val="2"/>
      </rPr>
      <t xml:space="preserve">요구사항 명세서</t>
    </r>
  </si>
  <si>
    <r>
      <rPr>
        <sz val="9"/>
        <rFont val="Times New Roman"/>
        <family val="1"/>
        <charset val="1"/>
      </rPr>
      <t xml:space="preserve">Requirement Attribute / ML </t>
    </r>
    <r>
      <rPr>
        <sz val="9"/>
        <rFont val="Noto Sans CJK SC"/>
        <family val="2"/>
      </rPr>
      <t xml:space="preserve">요구사항 구조화 문서</t>
    </r>
  </si>
  <si>
    <r>
      <rPr>
        <sz val="9"/>
        <rFont val="Times New Roman"/>
        <family val="1"/>
        <charset val="1"/>
      </rPr>
      <t xml:space="preserve">Analysis Results / ML </t>
    </r>
    <r>
      <rPr>
        <sz val="9"/>
        <rFont val="Noto Sans CJK SC"/>
        <family val="2"/>
      </rPr>
      <t xml:space="preserve">요구사항 분석서</t>
    </r>
  </si>
  <si>
    <r>
      <rPr>
        <sz val="9"/>
        <rFont val="Times New Roman"/>
        <family val="1"/>
        <charset val="1"/>
      </rPr>
      <t xml:space="preserve">Analysis Results / ML </t>
    </r>
    <r>
      <rPr>
        <sz val="9"/>
        <rFont val="Noto Sans CJK SC"/>
        <family val="2"/>
      </rPr>
      <t xml:space="preserve">운영환경 영향분석서</t>
    </r>
  </si>
  <si>
    <r>
      <rPr>
        <sz val="9"/>
        <rFont val="Times New Roman"/>
        <family val="1"/>
        <charset val="1"/>
      </rPr>
      <t xml:space="preserve">Consistency Evidence / ML</t>
    </r>
    <r>
      <rPr>
        <sz val="9"/>
        <rFont val="Noto Sans CJK SC"/>
        <family val="2"/>
      </rPr>
      <t xml:space="preserve">요구사항</t>
    </r>
    <r>
      <rPr>
        <sz val="9"/>
        <rFont val="Times New Roman"/>
        <family val="1"/>
        <charset val="1"/>
      </rPr>
      <t xml:space="preserve">-SW</t>
    </r>
    <r>
      <rPr>
        <sz val="9"/>
        <rFont val="Noto Sans CJK SC"/>
        <family val="2"/>
      </rPr>
      <t xml:space="preserve">요구사항 추적성 매트릭스</t>
    </r>
  </si>
  <si>
    <r>
      <rPr>
        <sz val="9"/>
        <rFont val="Times New Roman"/>
        <family val="1"/>
        <charset val="1"/>
      </rPr>
      <t xml:space="preserve">Communication Evidence / </t>
    </r>
    <r>
      <rPr>
        <sz val="9"/>
        <rFont val="Noto Sans CJK SC"/>
        <family val="2"/>
      </rPr>
      <t xml:space="preserve">합의된 </t>
    </r>
    <r>
      <rPr>
        <sz val="9"/>
        <rFont val="Times New Roman"/>
        <family val="1"/>
        <charset val="1"/>
      </rPr>
      <t xml:space="preserve">ML </t>
    </r>
    <r>
      <rPr>
        <sz val="9"/>
        <rFont val="Noto Sans CJK SC"/>
        <family val="2"/>
      </rPr>
      <t xml:space="preserve">요구사항 공유기록</t>
    </r>
  </si>
  <si>
    <r>
      <rPr>
        <sz val="9"/>
        <rFont val="Times New Roman"/>
        <family val="1"/>
        <charset val="1"/>
      </rPr>
      <t xml:space="preserve">ML </t>
    </r>
    <r>
      <rPr>
        <sz val="9"/>
        <rFont val="Noto Sans CJK SC"/>
        <family val="2"/>
      </rPr>
      <t xml:space="preserve">아키텍처설계</t>
    </r>
    <r>
      <rPr>
        <sz val="9"/>
        <rFont val="Times New Roman"/>
        <family val="1"/>
        <charset val="1"/>
      </rPr>
      <t xml:space="preserve">(ASW</t>
    </r>
    <r>
      <rPr>
        <sz val="9"/>
        <rFont val="Noto Sans CJK SC"/>
        <family val="2"/>
      </rPr>
      <t xml:space="preserve">에 포함</t>
    </r>
    <r>
      <rPr>
        <sz val="9"/>
        <rFont val="Times New Roman"/>
        <family val="1"/>
        <charset val="1"/>
      </rPr>
      <t xml:space="preserve">)</t>
    </r>
  </si>
  <si>
    <r>
      <rPr>
        <sz val="9"/>
        <rFont val="Times New Roman"/>
        <family val="1"/>
        <charset val="1"/>
      </rPr>
      <t xml:space="preserve">ML Architecture / ML </t>
    </r>
    <r>
      <rPr>
        <sz val="9"/>
        <rFont val="Noto Sans CJK SC"/>
        <family val="2"/>
      </rPr>
      <t xml:space="preserve">아키텍처 설계서</t>
    </r>
  </si>
  <si>
    <r>
      <rPr>
        <sz val="9"/>
        <rFont val="Times New Roman"/>
        <family val="1"/>
        <charset val="1"/>
      </rPr>
      <t xml:space="preserve">ML Architecture / </t>
    </r>
    <r>
      <rPr>
        <sz val="9"/>
        <rFont val="Noto Sans CJK SC"/>
        <family val="2"/>
      </rPr>
      <t xml:space="preserve">하이퍼파라미터 범위</t>
    </r>
    <r>
      <rPr>
        <sz val="9"/>
        <rFont val="Times New Roman"/>
        <family val="1"/>
        <charset val="1"/>
      </rPr>
      <t xml:space="preserve">/</t>
    </r>
    <r>
      <rPr>
        <sz val="9"/>
        <rFont val="Noto Sans CJK SC"/>
        <family val="2"/>
      </rPr>
      <t xml:space="preserve">초기값 정의서</t>
    </r>
  </si>
  <si>
    <r>
      <rPr>
        <sz val="9"/>
        <rFont val="Times New Roman"/>
        <family val="1"/>
        <charset val="1"/>
      </rPr>
      <t xml:space="preserve">Analysis Results / ML </t>
    </r>
    <r>
      <rPr>
        <sz val="9"/>
        <rFont val="Noto Sans CJK SC"/>
        <family val="2"/>
      </rPr>
      <t xml:space="preserve">아키텍처 요소 분석서</t>
    </r>
  </si>
  <si>
    <r>
      <rPr>
        <sz val="9"/>
        <rFont val="Times New Roman"/>
        <family val="1"/>
        <charset val="1"/>
      </rPr>
      <t xml:space="preserve">ML Architecture / ML </t>
    </r>
    <r>
      <rPr>
        <sz val="9"/>
        <rFont val="Noto Sans CJK SC"/>
        <family val="2"/>
      </rPr>
      <t xml:space="preserve">아키텍처 요소 인터페이스 정의서</t>
    </r>
  </si>
  <si>
    <r>
      <rPr>
        <sz val="9"/>
        <rFont val="Times New Roman"/>
        <family val="1"/>
        <charset val="1"/>
      </rPr>
      <t xml:space="preserve">ML Architecture / ML </t>
    </r>
    <r>
      <rPr>
        <sz val="9"/>
        <rFont val="Noto Sans CJK SC"/>
        <family val="2"/>
      </rPr>
      <t xml:space="preserve">아키텍처 자원소비 목표 정의서</t>
    </r>
  </si>
  <si>
    <r>
      <rPr>
        <sz val="9"/>
        <rFont val="Times New Roman"/>
        <family val="1"/>
        <charset val="1"/>
      </rPr>
      <t xml:space="preserve">Consistency Evidence / ML</t>
    </r>
    <r>
      <rPr>
        <sz val="9"/>
        <rFont val="Noto Sans CJK SC"/>
        <family val="2"/>
      </rPr>
      <t xml:space="preserve">아키텍처</t>
    </r>
    <r>
      <rPr>
        <sz val="9"/>
        <rFont val="Times New Roman"/>
        <family val="1"/>
        <charset val="1"/>
      </rPr>
      <t xml:space="preserve">-ML</t>
    </r>
    <r>
      <rPr>
        <sz val="9"/>
        <rFont val="Noto Sans CJK SC"/>
        <family val="2"/>
      </rPr>
      <t xml:space="preserve">요구사항 추적성 매트릭스</t>
    </r>
  </si>
  <si>
    <r>
      <rPr>
        <sz val="9"/>
        <rFont val="Times New Roman"/>
        <family val="1"/>
        <charset val="1"/>
      </rPr>
      <t xml:space="preserve">Communication Evidence / </t>
    </r>
    <r>
      <rPr>
        <sz val="9"/>
        <rFont val="Noto Sans CJK SC"/>
        <family val="2"/>
      </rPr>
      <t xml:space="preserve">합의된 </t>
    </r>
    <r>
      <rPr>
        <sz val="9"/>
        <rFont val="Times New Roman"/>
        <family val="1"/>
        <charset val="1"/>
      </rPr>
      <t xml:space="preserve">ML </t>
    </r>
    <r>
      <rPr>
        <sz val="9"/>
        <rFont val="Noto Sans CJK SC"/>
        <family val="2"/>
      </rPr>
      <t xml:space="preserve">아키텍처 공유기록</t>
    </r>
  </si>
  <si>
    <r>
      <rPr>
        <sz val="9"/>
        <rFont val="Times New Roman"/>
        <family val="1"/>
        <charset val="1"/>
      </rPr>
      <t xml:space="preserve">ML </t>
    </r>
    <r>
      <rPr>
        <sz val="9"/>
        <rFont val="Noto Sans CJK SC"/>
        <family val="2"/>
      </rPr>
      <t xml:space="preserve">훈련</t>
    </r>
    <r>
      <rPr>
        <sz val="9"/>
        <rFont val="Times New Roman"/>
        <family val="1"/>
        <charset val="1"/>
      </rPr>
      <t xml:space="preserve">/</t>
    </r>
    <r>
      <rPr>
        <sz val="9"/>
        <rFont val="Noto Sans CJK SC"/>
        <family val="2"/>
      </rPr>
      <t xml:space="preserve">검증</t>
    </r>
    <r>
      <rPr>
        <sz val="9"/>
        <rFont val="Times New Roman"/>
        <family val="1"/>
        <charset val="1"/>
      </rPr>
      <t xml:space="preserve">(ASW</t>
    </r>
    <r>
      <rPr>
        <sz val="9"/>
        <rFont val="Noto Sans CJK SC"/>
        <family val="2"/>
      </rPr>
      <t xml:space="preserve">에 포함</t>
    </r>
    <r>
      <rPr>
        <sz val="9"/>
        <rFont val="Times New Roman"/>
        <family val="1"/>
        <charset val="1"/>
      </rPr>
      <t xml:space="preserve">)</t>
    </r>
  </si>
  <si>
    <r>
      <rPr>
        <sz val="9"/>
        <rFont val="Times New Roman"/>
        <family val="1"/>
        <charset val="1"/>
      </rPr>
      <t xml:space="preserve">ML Training Approach / ML </t>
    </r>
    <r>
      <rPr>
        <sz val="9"/>
        <rFont val="Noto Sans CJK SC"/>
        <family val="2"/>
      </rPr>
      <t xml:space="preserve">훈련</t>
    </r>
    <r>
      <rPr>
        <sz val="9"/>
        <rFont val="Times New Roman"/>
        <family val="1"/>
        <charset val="1"/>
      </rPr>
      <t xml:space="preserve">/</t>
    </r>
    <r>
      <rPr>
        <sz val="9"/>
        <rFont val="Noto Sans CJK SC"/>
        <family val="2"/>
      </rPr>
      <t xml:space="preserve">검증 접근방식서</t>
    </r>
  </si>
  <si>
    <r>
      <rPr>
        <sz val="9"/>
        <rFont val="Times New Roman"/>
        <family val="1"/>
        <charset val="1"/>
      </rPr>
      <t xml:space="preserve">ML Training/Validation Data Set / ML </t>
    </r>
    <r>
      <rPr>
        <sz val="9"/>
        <rFont val="Noto Sans CJK SC"/>
        <family val="2"/>
      </rPr>
      <t xml:space="preserve">훈련</t>
    </r>
    <r>
      <rPr>
        <sz val="9"/>
        <rFont val="Times New Roman"/>
        <family val="1"/>
        <charset val="1"/>
      </rPr>
      <t xml:space="preserve">/</t>
    </r>
    <r>
      <rPr>
        <sz val="9"/>
        <rFont val="Noto Sans CJK SC"/>
        <family val="2"/>
      </rPr>
      <t xml:space="preserve">검증 데이터셋</t>
    </r>
  </si>
  <si>
    <r>
      <rPr>
        <sz val="9"/>
        <rFont val="Times New Roman"/>
        <family val="1"/>
        <charset val="1"/>
      </rPr>
      <t xml:space="preserve">ML Model / ML </t>
    </r>
    <r>
      <rPr>
        <sz val="9"/>
        <rFont val="Noto Sans CJK SC"/>
        <family val="2"/>
      </rPr>
      <t xml:space="preserve">모델</t>
    </r>
    <r>
      <rPr>
        <sz val="9"/>
        <rFont val="Times New Roman"/>
        <family val="1"/>
        <charset val="1"/>
      </rPr>
      <t xml:space="preserve">(</t>
    </r>
    <r>
      <rPr>
        <sz val="9"/>
        <rFont val="Noto Sans CJK SC"/>
        <family val="2"/>
      </rPr>
      <t xml:space="preserve">생성</t>
    </r>
    <r>
      <rPr>
        <sz val="9"/>
        <rFont val="Times New Roman"/>
        <family val="1"/>
        <charset val="1"/>
      </rPr>
      <t xml:space="preserve">/</t>
    </r>
    <r>
      <rPr>
        <sz val="9"/>
        <rFont val="Noto Sans CJK SC"/>
        <family val="2"/>
      </rPr>
      <t xml:space="preserve">최적화</t>
    </r>
    <r>
      <rPr>
        <sz val="9"/>
        <rFont val="Times New Roman"/>
        <family val="1"/>
        <charset val="1"/>
      </rPr>
      <t xml:space="preserve">)</t>
    </r>
  </si>
  <si>
    <r>
      <rPr>
        <sz val="9"/>
        <rFont val="Times New Roman"/>
        <family val="1"/>
        <charset val="1"/>
      </rPr>
      <t xml:space="preserve">Consistency Evidence / ML</t>
    </r>
    <r>
      <rPr>
        <sz val="9"/>
        <rFont val="Noto Sans CJK SC"/>
        <family val="2"/>
      </rPr>
      <t xml:space="preserve">모델</t>
    </r>
    <r>
      <rPr>
        <sz val="9"/>
        <rFont val="Times New Roman"/>
        <family val="1"/>
        <charset val="1"/>
      </rPr>
      <t xml:space="preserve">-</t>
    </r>
    <r>
      <rPr>
        <sz val="9"/>
        <rFont val="Noto Sans CJK SC"/>
        <family val="2"/>
      </rPr>
      <t xml:space="preserve">요구사항</t>
    </r>
    <r>
      <rPr>
        <sz val="9"/>
        <rFont val="Times New Roman"/>
        <family val="1"/>
        <charset val="1"/>
      </rPr>
      <t xml:space="preserve">/</t>
    </r>
    <r>
      <rPr>
        <sz val="9"/>
        <rFont val="Noto Sans CJK SC"/>
        <family val="2"/>
      </rPr>
      <t xml:space="preserve">아키텍처 추적성 매트릭스</t>
    </r>
  </si>
  <si>
    <r>
      <rPr>
        <sz val="9"/>
        <rFont val="Times New Roman"/>
        <family val="1"/>
        <charset val="1"/>
      </rPr>
      <t xml:space="preserve">Communication Evidence / </t>
    </r>
    <r>
      <rPr>
        <sz val="9"/>
        <rFont val="Noto Sans CJK SC"/>
        <family val="2"/>
      </rPr>
      <t xml:space="preserve">합의된 훈련완료 </t>
    </r>
    <r>
      <rPr>
        <sz val="9"/>
        <rFont val="Times New Roman"/>
        <family val="1"/>
        <charset val="1"/>
      </rPr>
      <t xml:space="preserve">ML</t>
    </r>
    <r>
      <rPr>
        <sz val="9"/>
        <rFont val="Noto Sans CJK SC"/>
        <family val="2"/>
      </rPr>
      <t xml:space="preserve">모델 요약공유기록</t>
    </r>
  </si>
  <si>
    <r>
      <rPr>
        <sz val="9"/>
        <rFont val="Times New Roman"/>
        <family val="1"/>
        <charset val="1"/>
      </rPr>
      <t xml:space="preserve">ML </t>
    </r>
    <r>
      <rPr>
        <sz val="9"/>
        <rFont val="Noto Sans CJK SC"/>
        <family val="2"/>
      </rPr>
      <t xml:space="preserve">테스트</t>
    </r>
    <r>
      <rPr>
        <sz val="9"/>
        <rFont val="Times New Roman"/>
        <family val="1"/>
        <charset val="1"/>
      </rPr>
      <t xml:space="preserve">(ASW</t>
    </r>
    <r>
      <rPr>
        <sz val="9"/>
        <rFont val="Noto Sans CJK SC"/>
        <family val="2"/>
      </rPr>
      <t xml:space="preserve">에 포함</t>
    </r>
    <r>
      <rPr>
        <sz val="9"/>
        <rFont val="Times New Roman"/>
        <family val="1"/>
        <charset val="1"/>
      </rPr>
      <t xml:space="preserve">)</t>
    </r>
  </si>
  <si>
    <r>
      <rPr>
        <sz val="9"/>
        <rFont val="Times New Roman"/>
        <family val="1"/>
        <charset val="1"/>
      </rPr>
      <t xml:space="preserve">ML Test Approach / ML </t>
    </r>
    <r>
      <rPr>
        <sz val="9"/>
        <rFont val="Noto Sans CJK SC"/>
        <family val="2"/>
      </rPr>
      <t xml:space="preserve">테스트 접근방식서</t>
    </r>
  </si>
  <si>
    <r>
      <rPr>
        <sz val="9"/>
        <rFont val="Times New Roman"/>
        <family val="1"/>
        <charset val="1"/>
      </rPr>
      <t xml:space="preserve">ML Test Data Set / ML </t>
    </r>
    <r>
      <rPr>
        <sz val="9"/>
        <rFont val="Noto Sans CJK SC"/>
        <family val="2"/>
      </rPr>
      <t xml:space="preserve">테스트 데이터셋</t>
    </r>
  </si>
  <si>
    <r>
      <rPr>
        <sz val="9"/>
        <rFont val="Times New Roman"/>
        <family val="1"/>
        <charset val="1"/>
      </rPr>
      <t xml:space="preserve">Verification Results / </t>
    </r>
    <r>
      <rPr>
        <sz val="9"/>
        <rFont val="Noto Sans CJK SC"/>
        <family val="2"/>
      </rPr>
      <t xml:space="preserve">훈련된 </t>
    </r>
    <r>
      <rPr>
        <sz val="9"/>
        <rFont val="Times New Roman"/>
        <family val="1"/>
        <charset val="1"/>
      </rPr>
      <t xml:space="preserve">ML</t>
    </r>
    <r>
      <rPr>
        <sz val="9"/>
        <rFont val="Noto Sans CJK SC"/>
        <family val="2"/>
      </rPr>
      <t xml:space="preserve">모델 테스트 결과서</t>
    </r>
  </si>
  <si>
    <r>
      <rPr>
        <sz val="9"/>
        <rFont val="Times New Roman"/>
        <family val="1"/>
        <charset val="1"/>
      </rPr>
      <t xml:space="preserve">ML Model / </t>
    </r>
    <r>
      <rPr>
        <sz val="9"/>
        <rFont val="Noto Sans CJK SC"/>
        <family val="2"/>
      </rPr>
      <t xml:space="preserve">배포용 </t>
    </r>
    <r>
      <rPr>
        <sz val="9"/>
        <rFont val="Times New Roman"/>
        <family val="1"/>
        <charset val="1"/>
      </rPr>
      <t xml:space="preserve">ML</t>
    </r>
    <r>
      <rPr>
        <sz val="9"/>
        <rFont val="Noto Sans CJK SC"/>
        <family val="2"/>
      </rPr>
      <t xml:space="preserve">모델</t>
    </r>
  </si>
  <si>
    <r>
      <rPr>
        <sz val="9"/>
        <rFont val="Times New Roman"/>
        <family val="1"/>
        <charset val="1"/>
      </rPr>
      <t xml:space="preserve">Verification Results / </t>
    </r>
    <r>
      <rPr>
        <sz val="9"/>
        <rFont val="Noto Sans CJK SC"/>
        <family val="2"/>
      </rPr>
      <t xml:space="preserve">배포된 </t>
    </r>
    <r>
      <rPr>
        <sz val="9"/>
        <rFont val="Times New Roman"/>
        <family val="1"/>
        <charset val="1"/>
      </rPr>
      <t xml:space="preserve">ML</t>
    </r>
    <r>
      <rPr>
        <sz val="9"/>
        <rFont val="Noto Sans CJK SC"/>
        <family val="2"/>
      </rPr>
      <t xml:space="preserve">모델 테스트 결과서</t>
    </r>
  </si>
  <si>
    <r>
      <rPr>
        <sz val="9"/>
        <rFont val="Times New Roman"/>
        <family val="1"/>
        <charset val="1"/>
      </rPr>
      <t xml:space="preserve">Consistency Evidence / ML</t>
    </r>
    <r>
      <rPr>
        <sz val="9"/>
        <rFont val="Noto Sans CJK SC"/>
        <family val="2"/>
      </rPr>
      <t xml:space="preserve">테스트</t>
    </r>
    <r>
      <rPr>
        <sz val="9"/>
        <rFont val="Times New Roman"/>
        <family val="1"/>
        <charset val="1"/>
      </rPr>
      <t xml:space="preserve">-</t>
    </r>
    <r>
      <rPr>
        <sz val="9"/>
        <rFont val="Noto Sans CJK SC"/>
        <family val="2"/>
      </rPr>
      <t xml:space="preserve">요구사항</t>
    </r>
    <r>
      <rPr>
        <sz val="9"/>
        <rFont val="Times New Roman"/>
        <family val="1"/>
        <charset val="1"/>
      </rPr>
      <t xml:space="preserve">/</t>
    </r>
    <r>
      <rPr>
        <sz val="9"/>
        <rFont val="Noto Sans CJK SC"/>
        <family val="2"/>
      </rPr>
      <t xml:space="preserve">결과 추적성 매트릭스</t>
    </r>
  </si>
  <si>
    <t xml:space="preserve">자가평가워크북 [P2] 시트 BP#6 동일</t>
  </si>
  <si>
    <r>
      <rPr>
        <sz val="9"/>
        <rFont val="Times New Roman"/>
        <family val="1"/>
        <charset val="1"/>
      </rPr>
      <t xml:space="preserve">Communication Evidence / ML</t>
    </r>
    <r>
      <rPr>
        <sz val="9"/>
        <rFont val="Noto Sans CJK SC"/>
        <family val="2"/>
      </rPr>
      <t xml:space="preserve">모델 테스트결과 요약보고서</t>
    </r>
  </si>
  <si>
    <t xml:space="preserve">자가평가워크북 [P2] 시트 BP#7 동일</t>
  </si>
  <si>
    <r>
      <rPr>
        <sz val="9"/>
        <rFont val="Times New Roman"/>
        <family val="1"/>
        <charset val="1"/>
      </rPr>
      <t xml:space="preserve">HW </t>
    </r>
    <r>
      <rPr>
        <sz val="9"/>
        <rFont val="Noto Sans CJK SC"/>
        <family val="2"/>
      </rPr>
      <t xml:space="preserve">요구사항분석</t>
    </r>
  </si>
  <si>
    <r>
      <rPr>
        <sz val="9"/>
        <rFont val="Times New Roman"/>
        <family val="1"/>
        <charset val="1"/>
      </rPr>
      <t xml:space="preserve">Requirement / </t>
    </r>
    <r>
      <rPr>
        <sz val="9"/>
        <rFont val="Noto Sans CJK SC"/>
        <family val="2"/>
      </rPr>
      <t xml:space="preserve">하드웨어 요구사항 명세서</t>
    </r>
  </si>
  <si>
    <r>
      <rPr>
        <sz val="9"/>
        <rFont val="Times New Roman"/>
        <family val="1"/>
        <charset val="1"/>
      </rPr>
      <t xml:space="preserve">Requirement Attribute / </t>
    </r>
    <r>
      <rPr>
        <sz val="9"/>
        <rFont val="Noto Sans CJK SC"/>
        <family val="2"/>
      </rPr>
      <t xml:space="preserve">하드웨어 요구사항 구조화 문서</t>
    </r>
  </si>
  <si>
    <r>
      <rPr>
        <sz val="9"/>
        <rFont val="Times New Roman"/>
        <family val="1"/>
        <charset val="1"/>
      </rPr>
      <t xml:space="preserve">Analysis Results / </t>
    </r>
    <r>
      <rPr>
        <sz val="9"/>
        <rFont val="Noto Sans CJK SC"/>
        <family val="2"/>
      </rPr>
      <t xml:space="preserve">하드웨어 요구사항 분석서</t>
    </r>
  </si>
  <si>
    <r>
      <rPr>
        <sz val="9"/>
        <rFont val="Times New Roman"/>
        <family val="1"/>
        <charset val="1"/>
      </rPr>
      <t xml:space="preserve">Consistency Evidence / HW</t>
    </r>
    <r>
      <rPr>
        <sz val="9"/>
        <rFont val="Noto Sans CJK SC"/>
        <family val="2"/>
      </rPr>
      <t xml:space="preserve">요구사항</t>
    </r>
    <r>
      <rPr>
        <sz val="9"/>
        <rFont val="Times New Roman"/>
        <family val="1"/>
        <charset val="1"/>
      </rPr>
      <t xml:space="preserve">-</t>
    </r>
    <r>
      <rPr>
        <sz val="9"/>
        <rFont val="Noto Sans CJK SC"/>
        <family val="2"/>
      </rPr>
      <t xml:space="preserve">시스템요구사항 추적성 매트릭스</t>
    </r>
  </si>
  <si>
    <r>
      <rPr>
        <sz val="9"/>
        <rFont val="Times New Roman"/>
        <family val="1"/>
        <charset val="1"/>
      </rPr>
      <t xml:space="preserve">Communication Evidence / </t>
    </r>
    <r>
      <rPr>
        <sz val="9"/>
        <rFont val="Noto Sans CJK SC"/>
        <family val="2"/>
      </rPr>
      <t xml:space="preserve">합의된 하드웨어 요구사항 공유기록</t>
    </r>
  </si>
  <si>
    <r>
      <rPr>
        <sz val="9"/>
        <rFont val="Times New Roman"/>
        <family val="1"/>
        <charset val="1"/>
      </rPr>
      <t xml:space="preserve">HW </t>
    </r>
    <r>
      <rPr>
        <sz val="9"/>
        <rFont val="Noto Sans CJK SC"/>
        <family val="2"/>
      </rPr>
      <t xml:space="preserve">아키텍처</t>
    </r>
    <r>
      <rPr>
        <sz val="9"/>
        <rFont val="Times New Roman"/>
        <family val="1"/>
        <charset val="1"/>
      </rPr>
      <t xml:space="preserve">/</t>
    </r>
    <r>
      <rPr>
        <sz val="9"/>
        <rFont val="Noto Sans CJK SC"/>
        <family val="2"/>
      </rPr>
      <t xml:space="preserve">상세설계</t>
    </r>
  </si>
  <si>
    <r>
      <rPr>
        <sz val="9"/>
        <rFont val="Times New Roman"/>
        <family val="1"/>
        <charset val="1"/>
      </rPr>
      <t xml:space="preserve">Hardware Architecture / </t>
    </r>
    <r>
      <rPr>
        <sz val="9"/>
        <rFont val="Noto Sans CJK SC"/>
        <family val="2"/>
      </rPr>
      <t xml:space="preserve">하드웨어 아키텍처 설계서</t>
    </r>
  </si>
  <si>
    <r>
      <rPr>
        <sz val="9"/>
        <rFont val="Times New Roman"/>
        <family val="1"/>
        <charset val="1"/>
      </rPr>
      <t xml:space="preserve">Hardware Detailed Design / </t>
    </r>
    <r>
      <rPr>
        <sz val="9"/>
        <rFont val="Noto Sans CJK SC"/>
        <family val="2"/>
      </rPr>
      <t xml:space="preserve">하드웨어 상세설계서</t>
    </r>
  </si>
  <si>
    <r>
      <rPr>
        <sz val="9"/>
        <rFont val="Times New Roman"/>
        <family val="1"/>
        <charset val="1"/>
      </rPr>
      <t xml:space="preserve">Hardware Architecture / </t>
    </r>
    <r>
      <rPr>
        <sz val="9"/>
        <rFont val="Noto Sans CJK SC"/>
        <family val="2"/>
      </rPr>
      <t xml:space="preserve">하드웨어 동적측면 설계서</t>
    </r>
  </si>
  <si>
    <r>
      <rPr>
        <sz val="9"/>
        <rFont val="Times New Roman"/>
        <family val="1"/>
        <charset val="1"/>
      </rPr>
      <t xml:space="preserve">Analysis Results / </t>
    </r>
    <r>
      <rPr>
        <sz val="9"/>
        <rFont val="Noto Sans CJK SC"/>
        <family val="2"/>
      </rPr>
      <t xml:space="preserve">하드웨어 아키텍처</t>
    </r>
    <r>
      <rPr>
        <sz val="9"/>
        <rFont val="Times New Roman"/>
        <family val="1"/>
        <charset val="1"/>
      </rPr>
      <t xml:space="preserve">/</t>
    </r>
    <r>
      <rPr>
        <sz val="9"/>
        <rFont val="Noto Sans CJK SC"/>
        <family val="2"/>
      </rPr>
      <t xml:space="preserve">상세설계 분석서</t>
    </r>
  </si>
  <si>
    <r>
      <rPr>
        <sz val="9"/>
        <rFont val="Times New Roman"/>
        <family val="1"/>
        <charset val="1"/>
      </rPr>
      <t xml:space="preserve">Consistency Evidence / HW</t>
    </r>
    <r>
      <rPr>
        <sz val="9"/>
        <rFont val="Noto Sans CJK SC"/>
        <family val="2"/>
      </rPr>
      <t xml:space="preserve">설계</t>
    </r>
    <r>
      <rPr>
        <sz val="9"/>
        <rFont val="Times New Roman"/>
        <family val="1"/>
        <charset val="1"/>
      </rPr>
      <t xml:space="preserve">-HW</t>
    </r>
    <r>
      <rPr>
        <sz val="9"/>
        <rFont val="Noto Sans CJK SC"/>
        <family val="2"/>
      </rPr>
      <t xml:space="preserve">요구사항 추적성 매트릭스</t>
    </r>
  </si>
  <si>
    <r>
      <rPr>
        <sz val="9"/>
        <rFont val="Times New Roman"/>
        <family val="1"/>
        <charset val="1"/>
      </rPr>
      <t xml:space="preserve">Communication Evidence / </t>
    </r>
    <r>
      <rPr>
        <sz val="9"/>
        <rFont val="Noto Sans CJK SC"/>
        <family val="2"/>
      </rPr>
      <t xml:space="preserve">합의된 </t>
    </r>
    <r>
      <rPr>
        <sz val="9"/>
        <rFont val="Times New Roman"/>
        <family val="1"/>
        <charset val="1"/>
      </rPr>
      <t xml:space="preserve">HW</t>
    </r>
    <r>
      <rPr>
        <sz val="9"/>
        <rFont val="Noto Sans CJK SC"/>
        <family val="2"/>
      </rPr>
      <t xml:space="preserve">아키텍처</t>
    </r>
    <r>
      <rPr>
        <sz val="9"/>
        <rFont val="Times New Roman"/>
        <family val="1"/>
        <charset val="1"/>
      </rPr>
      <t xml:space="preserve">/</t>
    </r>
    <r>
      <rPr>
        <sz val="9"/>
        <rFont val="Noto Sans CJK SC"/>
        <family val="2"/>
      </rPr>
      <t xml:space="preserve">상세설계 공유기록</t>
    </r>
  </si>
  <si>
    <r>
      <rPr>
        <sz val="9"/>
        <rFont val="Times New Roman"/>
        <family val="1"/>
        <charset val="1"/>
      </rPr>
      <t xml:space="preserve">HW </t>
    </r>
    <r>
      <rPr>
        <sz val="9"/>
        <rFont val="Noto Sans CJK SC"/>
        <family val="2"/>
      </rPr>
      <t xml:space="preserve">설계검증</t>
    </r>
  </si>
  <si>
    <r>
      <rPr>
        <sz val="9"/>
        <rFont val="Times New Roman"/>
        <family val="1"/>
        <charset val="1"/>
      </rPr>
      <t xml:space="preserve">Verification Measure / HW</t>
    </r>
    <r>
      <rPr>
        <sz val="9"/>
        <rFont val="Noto Sans CJK SC"/>
        <family val="2"/>
      </rPr>
      <t xml:space="preserve">설계 검증방안서</t>
    </r>
  </si>
  <si>
    <r>
      <rPr>
        <sz val="9"/>
        <rFont val="Times New Roman"/>
        <family val="1"/>
        <charset val="1"/>
      </rPr>
      <t xml:space="preserve">Verification Measure / </t>
    </r>
    <r>
      <rPr>
        <sz val="9"/>
        <rFont val="Noto Sans CJK SC"/>
        <family val="2"/>
      </rPr>
      <t xml:space="preserve">적합샘플 사용 확인기록</t>
    </r>
  </si>
  <si>
    <r>
      <rPr>
        <sz val="9"/>
        <rFont val="Times New Roman"/>
        <family val="1"/>
        <charset val="1"/>
      </rPr>
      <t xml:space="preserve">Verification Measure Selection Set / HW</t>
    </r>
    <r>
      <rPr>
        <sz val="9"/>
        <rFont val="Noto Sans CJK SC"/>
        <family val="2"/>
      </rPr>
      <t xml:space="preserve">설계 검증방안 선정목록</t>
    </r>
  </si>
  <si>
    <r>
      <rPr>
        <sz val="9"/>
        <rFont val="Times New Roman"/>
        <family val="1"/>
        <charset val="1"/>
      </rPr>
      <t xml:space="preserve">Verification Results / </t>
    </r>
    <r>
      <rPr>
        <sz val="9"/>
        <rFont val="Noto Sans CJK SC"/>
        <family val="2"/>
      </rPr>
      <t xml:space="preserve">하드웨어 설계검증 결과서</t>
    </r>
  </si>
  <si>
    <r>
      <rPr>
        <sz val="9"/>
        <rFont val="Times New Roman"/>
        <family val="1"/>
        <charset val="1"/>
      </rPr>
      <t xml:space="preserve">Consistency Evidence / </t>
    </r>
    <r>
      <rPr>
        <sz val="9"/>
        <rFont val="Noto Sans CJK SC"/>
        <family val="2"/>
      </rPr>
      <t xml:space="preserve">검증방안</t>
    </r>
    <r>
      <rPr>
        <sz val="9"/>
        <rFont val="Times New Roman"/>
        <family val="1"/>
        <charset val="1"/>
      </rPr>
      <t xml:space="preserve">-HW</t>
    </r>
    <r>
      <rPr>
        <sz val="9"/>
        <rFont val="Noto Sans CJK SC"/>
        <family val="2"/>
      </rPr>
      <t xml:space="preserve">설계</t>
    </r>
    <r>
      <rPr>
        <sz val="9"/>
        <rFont val="Times New Roman"/>
        <family val="1"/>
        <charset val="1"/>
      </rPr>
      <t xml:space="preserve">/</t>
    </r>
    <r>
      <rPr>
        <sz val="9"/>
        <rFont val="Noto Sans CJK SC"/>
        <family val="2"/>
      </rPr>
      <t xml:space="preserve">검증결과 추적성 매트릭스</t>
    </r>
  </si>
  <si>
    <r>
      <rPr>
        <sz val="9"/>
        <rFont val="Times New Roman"/>
        <family val="1"/>
        <charset val="1"/>
      </rPr>
      <t xml:space="preserve">Communication Evidence / HW</t>
    </r>
    <r>
      <rPr>
        <sz val="9"/>
        <rFont val="Noto Sans CJK SC"/>
        <family val="2"/>
      </rPr>
      <t xml:space="preserve">설계검증 결과 요약보고서</t>
    </r>
  </si>
  <si>
    <r>
      <rPr>
        <sz val="9"/>
        <rFont val="Times New Roman"/>
        <family val="1"/>
        <charset val="1"/>
      </rPr>
      <t xml:space="preserve">HW </t>
    </r>
    <r>
      <rPr>
        <sz val="9"/>
        <rFont val="Noto Sans CJK SC"/>
        <family val="2"/>
      </rPr>
      <t xml:space="preserve">요구사항검증</t>
    </r>
  </si>
  <si>
    <r>
      <rPr>
        <sz val="9"/>
        <rFont val="Times New Roman"/>
        <family val="1"/>
        <charset val="1"/>
      </rPr>
      <t xml:space="preserve">Verification Measure / HW</t>
    </r>
    <r>
      <rPr>
        <sz val="9"/>
        <rFont val="Noto Sans CJK SC"/>
        <family val="2"/>
      </rPr>
      <t xml:space="preserve">요구사항 검증방안서</t>
    </r>
  </si>
  <si>
    <r>
      <rPr>
        <sz val="9"/>
        <rFont val="Times New Roman"/>
        <family val="1"/>
        <charset val="1"/>
      </rPr>
      <t xml:space="preserve">Verification Measure Selection Set / HW</t>
    </r>
    <r>
      <rPr>
        <sz val="9"/>
        <rFont val="Noto Sans CJK SC"/>
        <family val="2"/>
      </rPr>
      <t xml:space="preserve">요구사항 검증방안 선정목록</t>
    </r>
  </si>
  <si>
    <r>
      <rPr>
        <sz val="9"/>
        <rFont val="Times New Roman"/>
        <family val="1"/>
        <charset val="1"/>
      </rPr>
      <t xml:space="preserve">Verification Results / </t>
    </r>
    <r>
      <rPr>
        <sz val="9"/>
        <rFont val="Noto Sans CJK SC"/>
        <family val="2"/>
      </rPr>
      <t xml:space="preserve">적합 하드웨어 샘플 검증결과서</t>
    </r>
  </si>
  <si>
    <r>
      <rPr>
        <sz val="9"/>
        <rFont val="Times New Roman"/>
        <family val="1"/>
        <charset val="1"/>
      </rPr>
      <t xml:space="preserve">Consistency Evidence / </t>
    </r>
    <r>
      <rPr>
        <sz val="9"/>
        <rFont val="Noto Sans CJK SC"/>
        <family val="2"/>
      </rPr>
      <t xml:space="preserve">검증방안</t>
    </r>
    <r>
      <rPr>
        <sz val="9"/>
        <rFont val="Times New Roman"/>
        <family val="1"/>
        <charset val="1"/>
      </rPr>
      <t xml:space="preserve">-HW</t>
    </r>
    <r>
      <rPr>
        <sz val="9"/>
        <rFont val="Noto Sans CJK SC"/>
        <family val="2"/>
      </rPr>
      <t xml:space="preserve">요구사항</t>
    </r>
    <r>
      <rPr>
        <sz val="9"/>
        <rFont val="Times New Roman"/>
        <family val="1"/>
        <charset val="1"/>
      </rPr>
      <t xml:space="preserve">/</t>
    </r>
    <r>
      <rPr>
        <sz val="9"/>
        <rFont val="Noto Sans CJK SC"/>
        <family val="2"/>
      </rPr>
      <t xml:space="preserve">검증결과 추적성 매트릭스</t>
    </r>
  </si>
  <si>
    <r>
      <rPr>
        <sz val="9"/>
        <rFont val="Times New Roman"/>
        <family val="1"/>
        <charset val="1"/>
      </rPr>
      <t xml:space="preserve">Communication Evidence / HW</t>
    </r>
    <r>
      <rPr>
        <sz val="9"/>
        <rFont val="Noto Sans CJK SC"/>
        <family val="2"/>
      </rPr>
      <t xml:space="preserve">요구사항검증 결과 요약보고서</t>
    </r>
  </si>
  <si>
    <t xml:space="preserve">마일스톤</t>
  </si>
  <si>
    <r>
      <rPr>
        <b val="true"/>
        <sz val="10"/>
        <color rgb="FFFFFFFF"/>
        <rFont val="Times New Roman"/>
        <family val="1"/>
        <charset val="1"/>
      </rPr>
      <t xml:space="preserve">Discrete WP </t>
    </r>
    <r>
      <rPr>
        <b val="true"/>
        <sz val="10"/>
        <color rgb="FFFFFFFF"/>
        <rFont val="Noto Sans CJK SC"/>
        <family val="2"/>
      </rPr>
      <t xml:space="preserve">수</t>
    </r>
  </si>
  <si>
    <r>
      <rPr>
        <b val="true"/>
        <sz val="10"/>
        <color rgb="FFFFFFFF"/>
        <rFont val="Times New Roman"/>
        <family val="1"/>
        <charset val="1"/>
      </rPr>
      <t xml:space="preserve">LOE WP </t>
    </r>
    <r>
      <rPr>
        <b val="true"/>
        <sz val="10"/>
        <color rgb="FFFFFFFF"/>
        <rFont val="Noto Sans CJK SC"/>
        <family val="2"/>
      </rPr>
      <t xml:space="preserve">수</t>
    </r>
  </si>
  <si>
    <t xml:space="preserve">합계</t>
  </si>
  <si>
    <t xml:space="preserve">비중(%)</t>
  </si>
  <si>
    <t xml:space="preserve">원본 비중(Discrete만, 비교기준)</t>
  </si>
  <si>
    <t xml:space="preserve">보정후 가중치</t>
  </si>
  <si>
    <t xml:space="preserve">보정후 비중(%)</t>
  </si>
  <si>
    <t xml:space="preserve">차이(비중, %p)</t>
  </si>
  <si>
    <t xml:space="preserve">사유(왜 원본과 다른가)</t>
  </si>
  <si>
    <t xml:space="preserve">요구사항·아키텍처 등 설계/계획형 산출물은 여기서 '최초 작성'되지만 이후 마일스톤까지 계속 개정된다. 최초작성분(가정: 40%)만 이 시점에 남고, 나머지 60%는 후속 마일스톤으로 재배분되어 원본 대비 비중이 낮아짐(WP_상세 '유지보수반영=Y' 대상).</t>
  </si>
  <si>
    <r>
      <rPr>
        <sz val="11"/>
        <color theme="1"/>
        <rFont val="Calibri"/>
        <family val="2"/>
        <charset val="1"/>
      </rPr>
      <t xml:space="preserve">M-Car</t>
    </r>
    <r>
      <rPr>
        <sz val="11"/>
        <color theme="1"/>
        <rFont val="Noto Sans CJK SC"/>
        <family val="2"/>
      </rPr>
      <t xml:space="preserve">에서 시작된 지속개정형 산출물의 유지보수 개정분 일부가 이 마일스톤에 추가 배분되어 원본보다 비중이 소폭 상승</t>
    </r>
    <r>
      <rPr>
        <sz val="11"/>
        <color theme="1"/>
        <rFont val="Calibri"/>
        <family val="2"/>
        <charset val="1"/>
      </rPr>
      <t xml:space="preserve">.</t>
    </r>
  </si>
  <si>
    <t xml:space="preserve">동일한 유지보수 개정분 배분 효과로 원본보다 비중 상승.</t>
  </si>
  <si>
    <t xml:space="preserve">SoP</t>
  </si>
  <si>
    <t xml:space="preserve">원본은 신규 산출물이 없어 0%였으나, M-Car~P2에서 시작된 산출물들의 유지보수 개정이 프로젝트 종료 시점까지 이어진다고 가정해 배분되므로 0%가 아닌 값을 갖게 됨.</t>
  </si>
  <si>
    <t xml:space="preserve">해당없음</t>
  </si>
  <si>
    <t xml:space="preserve">별도 트랙(배포 이벤트)이라 유지보수 개정 보정 대상에서 제외(설계문서 8장 참조).</t>
  </si>
  <si>
    <t xml:space="preserve">보정후 전체 합계(참고)</t>
  </si>
  <si>
    <r>
      <rPr>
        <i val="true"/>
        <sz val="9"/>
        <color rgb="FF555555"/>
        <rFont val="맑은 고딕"/>
        <family val="0"/>
        <charset val="1"/>
      </rPr>
      <t xml:space="preserve">※ '</t>
    </r>
    <r>
      <rPr>
        <i val="true"/>
        <sz val="9"/>
        <color rgb="FF555555"/>
        <rFont val="Noto Sans CJK SC"/>
        <family val="2"/>
      </rPr>
      <t xml:space="preserve">보정후</t>
    </r>
    <r>
      <rPr>
        <i val="true"/>
        <sz val="9"/>
        <color rgb="FF555555"/>
        <rFont val="맑은 고딕"/>
        <family val="0"/>
        <charset val="1"/>
      </rPr>
      <t xml:space="preserve">'</t>
    </r>
    <r>
      <rPr>
        <i val="true"/>
        <sz val="9"/>
        <color rgb="FF555555"/>
        <rFont val="Noto Sans CJK SC"/>
        <family val="2"/>
      </rPr>
      <t xml:space="preserve">는 계획곡선</t>
    </r>
    <r>
      <rPr>
        <i val="true"/>
        <sz val="9"/>
        <color rgb="FF555555"/>
        <rFont val="맑은 고딕"/>
        <family val="0"/>
        <charset val="1"/>
      </rPr>
      <t xml:space="preserve">_</t>
    </r>
    <r>
      <rPr>
        <i val="true"/>
        <sz val="9"/>
        <color rgb="FF555555"/>
        <rFont val="Noto Sans CJK SC"/>
        <family val="2"/>
      </rPr>
      <t xml:space="preserve">보정 시트</t>
    </r>
    <r>
      <rPr>
        <i val="true"/>
        <sz val="9"/>
        <color rgb="FF555555"/>
        <rFont val="맑은 고딕"/>
        <family val="0"/>
        <charset val="1"/>
      </rPr>
      <t xml:space="preserve">(11~12</t>
    </r>
    <r>
      <rPr>
        <i val="true"/>
        <sz val="9"/>
        <color rgb="FF555555"/>
        <rFont val="Noto Sans CJK SC"/>
        <family val="2"/>
      </rPr>
      <t xml:space="preserve">장</t>
    </r>
    <r>
      <rPr>
        <i val="true"/>
        <sz val="9"/>
        <color rgb="FF555555"/>
        <rFont val="맑은 고딕"/>
        <family val="0"/>
        <charset val="1"/>
      </rPr>
      <t xml:space="preserve">, </t>
    </r>
    <r>
      <rPr>
        <i val="true"/>
        <sz val="9"/>
        <color rgb="FF555555"/>
        <rFont val="Noto Sans CJK SC"/>
        <family val="2"/>
      </rPr>
      <t xml:space="preserve">유지보수 개정 반영</t>
    </r>
    <r>
      <rPr>
        <i val="true"/>
        <sz val="9"/>
        <color rgb="FF555555"/>
        <rFont val="맑은 고딕"/>
        <family val="0"/>
        <charset val="1"/>
      </rPr>
      <t xml:space="preserve">)</t>
    </r>
    <r>
      <rPr>
        <i val="true"/>
        <sz val="9"/>
        <color rgb="FF555555"/>
        <rFont val="Noto Sans CJK SC"/>
        <family val="2"/>
      </rPr>
      <t xml:space="preserve">의 결과를 그대로 가져온 것이다</t>
    </r>
    <r>
      <rPr>
        <i val="true"/>
        <sz val="9"/>
        <color rgb="FF555555"/>
        <rFont val="맑은 고딕"/>
        <family val="0"/>
        <charset val="1"/>
      </rPr>
      <t xml:space="preserve">. </t>
    </r>
    <r>
      <rPr>
        <i val="true"/>
        <sz val="9"/>
        <color rgb="FF555555"/>
        <rFont val="Noto Sans CJK SC"/>
        <family val="2"/>
      </rPr>
      <t xml:space="preserve">두 표가 다르게 보이는 것은 오류가 아니라</t>
    </r>
    <r>
      <rPr>
        <i val="true"/>
        <sz val="9"/>
        <color rgb="FF555555"/>
        <rFont val="맑은 고딕"/>
        <family val="0"/>
        <charset val="1"/>
      </rPr>
      <t xml:space="preserve">, </t>
    </r>
    <r>
      <rPr>
        <i val="true"/>
        <sz val="9"/>
        <color rgb="FF555555"/>
        <rFont val="Noto Sans CJK SC"/>
        <family val="2"/>
      </rPr>
      <t xml:space="preserve">설계</t>
    </r>
    <r>
      <rPr>
        <i val="true"/>
        <sz val="9"/>
        <color rgb="FF555555"/>
        <rFont val="맑은 고딕"/>
        <family val="0"/>
        <charset val="1"/>
      </rPr>
      <t xml:space="preserve">/</t>
    </r>
    <r>
      <rPr>
        <i val="true"/>
        <sz val="9"/>
        <color rgb="FF555555"/>
        <rFont val="Noto Sans CJK SC"/>
        <family val="2"/>
      </rPr>
      <t xml:space="preserve">계획형 산출물이 원 마일스톤 이후에도 계속 개정된다는 사실을 반영했기 때문이다</t>
    </r>
    <r>
      <rPr>
        <i val="true"/>
        <sz val="9"/>
        <color rgb="FF555555"/>
        <rFont val="맑은 고딕"/>
        <family val="0"/>
        <charset val="1"/>
      </rPr>
      <t xml:space="preserve">.</t>
    </r>
  </si>
  <si>
    <r>
      <rPr>
        <b val="true"/>
        <sz val="10"/>
        <color rgb="FFFFFFFF"/>
        <rFont val="Times New Roman"/>
        <family val="1"/>
        <charset val="1"/>
      </rPr>
      <t xml:space="preserve">LOE </t>
    </r>
    <r>
      <rPr>
        <b val="true"/>
        <sz val="10"/>
        <color rgb="FFFFFFFF"/>
        <rFont val="Noto Sans CJK SC"/>
        <family val="2"/>
      </rPr>
      <t xml:space="preserve">계정명</t>
    </r>
  </si>
  <si>
    <t xml:space="preserve">성격</t>
  </si>
  <si>
    <t xml:space="preserve">관리 방식</t>
  </si>
  <si>
    <t xml:space="preserve">월별 계획(PV) 방식</t>
  </si>
  <si>
    <t xml:space="preserve">담당(CAM)</t>
  </si>
  <si>
    <t xml:space="preserve">프로젝트 공통비(공통경비)</t>
  </si>
  <si>
    <t xml:space="preserve">비배부 — 별도 CA로 집계(설계문서 7장 방식 A)</t>
  </si>
  <si>
    <t xml:space="preserve">월 정액 균등분할</t>
  </si>
  <si>
    <r>
      <rPr>
        <sz val="10"/>
        <rFont val="Times New Roman"/>
        <family val="1"/>
        <charset val="1"/>
      </rPr>
      <t xml:space="preserve">PM/CM/QA </t>
    </r>
    <r>
      <rPr>
        <sz val="10"/>
        <rFont val="Noto Sans CJK SC"/>
        <family val="2"/>
      </rPr>
      <t xml:space="preserve">등 특정 </t>
    </r>
    <r>
      <rPr>
        <sz val="10"/>
        <rFont val="Times New Roman"/>
        <family val="1"/>
        <charset val="1"/>
      </rPr>
      <t xml:space="preserve">CA</t>
    </r>
    <r>
      <rPr>
        <sz val="10"/>
        <rFont val="Noto Sans CJK SC"/>
        <family val="2"/>
      </rPr>
      <t xml:space="preserve">에 배부하지 않음</t>
    </r>
  </si>
  <si>
    <t xml:space="preserve">출장경비</t>
  </si>
  <si>
    <r>
      <rPr>
        <sz val="10"/>
        <rFont val="Times New Roman"/>
        <family val="1"/>
        <charset val="1"/>
      </rPr>
      <t xml:space="preserve">LOE(</t>
    </r>
    <r>
      <rPr>
        <sz val="10"/>
        <rFont val="Noto Sans CJK SC"/>
        <family val="2"/>
      </rPr>
      <t xml:space="preserve">경비 풀</t>
    </r>
    <r>
      <rPr>
        <sz val="10"/>
        <rFont val="Times New Roman"/>
        <family val="1"/>
        <charset val="1"/>
      </rPr>
      <t xml:space="preserve">)</t>
    </r>
  </si>
  <si>
    <t xml:space="preserve">프로젝트 공통비 CA에 합산 관리</t>
  </si>
  <si>
    <t xml:space="preserve">월별 계획 대비 실비 비교</t>
  </si>
  <si>
    <r>
      <rPr>
        <sz val="10"/>
        <rFont val="Times New Roman"/>
        <family val="1"/>
        <charset val="1"/>
      </rPr>
      <t xml:space="preserve">MM</t>
    </r>
    <r>
      <rPr>
        <sz val="10"/>
        <rFont val="Noto Sans CJK SC"/>
        <family val="2"/>
      </rPr>
      <t xml:space="preserve">이 아닌 순수 경비이므로 별도 관리</t>
    </r>
  </si>
  <si>
    <r>
      <rPr>
        <sz val="10"/>
        <rFont val="Times New Roman"/>
        <family val="1"/>
        <charset val="1"/>
      </rPr>
      <t xml:space="preserve">PM </t>
    </r>
    <r>
      <rPr>
        <sz val="10"/>
        <rFont val="Noto Sans CJK SC"/>
        <family val="2"/>
      </rPr>
      <t xml:space="preserve">정기활동</t>
    </r>
    <r>
      <rPr>
        <sz val="10"/>
        <rFont val="Times New Roman"/>
        <family val="1"/>
        <charset val="1"/>
      </rPr>
      <t xml:space="preserve">(</t>
    </r>
    <r>
      <rPr>
        <sz val="10"/>
        <rFont val="Noto Sans CJK SC"/>
        <family val="2"/>
      </rPr>
      <t xml:space="preserve">회의체 운영 등</t>
    </r>
    <r>
      <rPr>
        <sz val="10"/>
        <rFont val="Times New Roman"/>
        <family val="1"/>
        <charset val="1"/>
      </rPr>
      <t xml:space="preserve">)</t>
    </r>
  </si>
  <si>
    <r>
      <rPr>
        <sz val="10"/>
        <rFont val="Times New Roman"/>
        <family val="1"/>
        <charset val="1"/>
      </rPr>
      <t xml:space="preserve">MAN.3 CA </t>
    </r>
    <r>
      <rPr>
        <sz val="10"/>
        <rFont val="Noto Sans CJK SC"/>
        <family val="2"/>
      </rPr>
      <t xml:space="preserve">내 </t>
    </r>
    <r>
      <rPr>
        <sz val="10"/>
        <rFont val="Times New Roman"/>
        <family val="1"/>
        <charset val="1"/>
      </rPr>
      <t xml:space="preserve">LOE WP</t>
    </r>
    <r>
      <rPr>
        <sz val="10"/>
        <rFont val="Noto Sans CJK SC"/>
        <family val="2"/>
      </rPr>
      <t xml:space="preserve">로 관리</t>
    </r>
    <r>
      <rPr>
        <sz val="10"/>
        <rFont val="Times New Roman"/>
        <family val="1"/>
        <charset val="1"/>
      </rPr>
      <t xml:space="preserve">(</t>
    </r>
    <r>
      <rPr>
        <sz val="10"/>
        <rFont val="Noto Sans CJK SC"/>
        <family val="2"/>
      </rPr>
      <t xml:space="preserve">설계문서 </t>
    </r>
    <r>
      <rPr>
        <sz val="10"/>
        <rFont val="Times New Roman"/>
        <family val="1"/>
        <charset val="1"/>
      </rPr>
      <t xml:space="preserve">6-3)</t>
    </r>
  </si>
  <si>
    <t xml:space="preserve">시간비례</t>
  </si>
  <si>
    <t xml:space="preserve">계획서 승인 등 이벤트성 활동은 WP_상세의 Discrete WP로 별도 관리</t>
  </si>
  <si>
    <t xml:space="preserve">① 개발 시나리오 선택</t>
  </si>
  <si>
    <t xml:space="preserve">균형자체개발형(ASW-BSW 유사비중)</t>
  </si>
  <si>
    <t xml:space="preserve">← 이 셀의 드롭다운에서 프로젝트 상황에 맞는 시나리오를 선택하면 CA_개요의 BAC 배분비중이 자동으로 바뀝니다.</t>
  </si>
  <si>
    <t xml:space="preserve">시나리오\카테고리</t>
  </si>
  <si>
    <t xml:space="preserve">합계(=100% 확인)</t>
  </si>
  <si>
    <t xml:space="preserve">완성차 ASW사급+BSW전량외주(당사 통합중심)</t>
  </si>
  <si>
    <r>
      <rPr>
        <sz val="10"/>
        <rFont val="Times New Roman"/>
        <family val="1"/>
        <charset val="1"/>
      </rPr>
      <t xml:space="preserve">Tier-1 </t>
    </r>
    <r>
      <rPr>
        <sz val="10"/>
        <rFont val="Noto Sans CJK SC"/>
        <family val="2"/>
      </rPr>
      <t xml:space="preserve">표준형</t>
    </r>
    <r>
      <rPr>
        <sz val="10"/>
        <rFont val="Times New Roman"/>
        <family val="1"/>
        <charset val="1"/>
      </rPr>
      <t xml:space="preserve">(ASW</t>
    </r>
    <r>
      <rPr>
        <sz val="10"/>
        <rFont val="Noto Sans CJK SC"/>
        <family val="2"/>
      </rPr>
      <t xml:space="preserve">자체개발</t>
    </r>
    <r>
      <rPr>
        <sz val="10"/>
        <rFont val="Times New Roman"/>
        <family val="1"/>
        <charset val="1"/>
      </rPr>
      <t xml:space="preserve">, BSW</t>
    </r>
    <r>
      <rPr>
        <sz val="10"/>
        <rFont val="Noto Sans CJK SC"/>
        <family val="2"/>
      </rPr>
      <t xml:space="preserve">외주</t>
    </r>
    <r>
      <rPr>
        <sz val="10"/>
        <rFont val="Times New Roman"/>
        <family val="1"/>
        <charset val="1"/>
      </rPr>
      <t xml:space="preserve">/AUTOSAR</t>
    </r>
    <r>
      <rPr>
        <sz val="10"/>
        <rFont val="Noto Sans CJK SC"/>
        <family val="2"/>
      </rPr>
      <t xml:space="preserve">구매</t>
    </r>
    <r>
      <rPr>
        <sz val="10"/>
        <rFont val="Times New Roman"/>
        <family val="1"/>
        <charset val="1"/>
      </rPr>
      <t xml:space="preserve">)</t>
    </r>
  </si>
  <si>
    <t xml:space="preserve">시나리오 설명</t>
  </si>
  <si>
    <r>
      <rPr>
        <sz val="11"/>
        <color theme="1"/>
        <rFont val="Times New Roman"/>
        <family val="1"/>
        <charset val="1"/>
      </rPr>
      <t xml:space="preserve">ASW/BSW</t>
    </r>
    <r>
      <rPr>
        <sz val="11"/>
        <color theme="1"/>
        <rFont val="Noto Sans CJK SC"/>
        <family val="2"/>
      </rPr>
      <t xml:space="preserve">를 모두 자체 인력으로 개발하며 두 계층의 비중이 비슷한 경우</t>
    </r>
  </si>
  <si>
    <t xml:space="preserve">완성차가 ASW를 사급하고 BSW는 전량 외주, 당사는 통합·검증 위주로 수행하는 경우</t>
  </si>
  <si>
    <r>
      <rPr>
        <b val="true"/>
        <sz val="9"/>
        <rFont val="Times New Roman"/>
        <family val="1"/>
        <charset val="1"/>
      </rPr>
      <t xml:space="preserve">Tier-1 </t>
    </r>
    <r>
      <rPr>
        <b val="true"/>
        <sz val="9"/>
        <rFont val="Noto Sans CJK SC"/>
        <family val="2"/>
      </rPr>
      <t xml:space="preserve">표준형</t>
    </r>
    <r>
      <rPr>
        <b val="true"/>
        <sz val="9"/>
        <rFont val="Times New Roman"/>
        <family val="1"/>
        <charset val="1"/>
      </rPr>
      <t xml:space="preserve">(ASW</t>
    </r>
    <r>
      <rPr>
        <b val="true"/>
        <sz val="9"/>
        <rFont val="Noto Sans CJK SC"/>
        <family val="2"/>
      </rPr>
      <t xml:space="preserve">자체개발</t>
    </r>
    <r>
      <rPr>
        <b val="true"/>
        <sz val="9"/>
        <rFont val="Times New Roman"/>
        <family val="1"/>
        <charset val="1"/>
      </rPr>
      <t xml:space="preserve">, BSW</t>
    </r>
    <r>
      <rPr>
        <b val="true"/>
        <sz val="9"/>
        <rFont val="Noto Sans CJK SC"/>
        <family val="2"/>
      </rPr>
      <t xml:space="preserve">외주</t>
    </r>
    <r>
      <rPr>
        <b val="true"/>
        <sz val="9"/>
        <rFont val="Times New Roman"/>
        <family val="1"/>
        <charset val="1"/>
      </rPr>
      <t xml:space="preserve">/AUTOSAR</t>
    </r>
    <r>
      <rPr>
        <b val="true"/>
        <sz val="9"/>
        <rFont val="Noto Sans CJK SC"/>
        <family val="2"/>
      </rPr>
      <t xml:space="preserve">구매</t>
    </r>
    <r>
      <rPr>
        <b val="true"/>
        <sz val="9"/>
        <rFont val="Times New Roman"/>
        <family val="1"/>
        <charset val="1"/>
      </rPr>
      <t xml:space="preserve">)</t>
    </r>
  </si>
  <si>
    <r>
      <rPr>
        <sz val="11"/>
        <color theme="1"/>
        <rFont val="Times New Roman"/>
        <family val="1"/>
        <charset val="1"/>
      </rPr>
      <t xml:space="preserve">ASW</t>
    </r>
    <r>
      <rPr>
        <sz val="11"/>
        <color theme="1"/>
        <rFont val="Noto Sans CJK SC"/>
        <family val="2"/>
      </rPr>
      <t xml:space="preserve">는 자체개발</t>
    </r>
    <r>
      <rPr>
        <sz val="11"/>
        <color theme="1"/>
        <rFont val="Times New Roman"/>
        <family val="1"/>
        <charset val="1"/>
      </rPr>
      <t xml:space="preserve">(ML </t>
    </r>
    <r>
      <rPr>
        <sz val="11"/>
        <color theme="1"/>
        <rFont val="Noto Sans CJK SC"/>
        <family val="2"/>
      </rPr>
      <t xml:space="preserve">포함</t>
    </r>
    <r>
      <rPr>
        <sz val="11"/>
        <color theme="1"/>
        <rFont val="Times New Roman"/>
        <family val="1"/>
        <charset val="1"/>
      </rPr>
      <t xml:space="preserve">)</t>
    </r>
    <r>
      <rPr>
        <sz val="11"/>
        <color theme="1"/>
        <rFont val="Noto Sans CJK SC"/>
        <family val="2"/>
      </rPr>
      <t xml:space="preserve">하고 </t>
    </r>
    <r>
      <rPr>
        <sz val="11"/>
        <color theme="1"/>
        <rFont val="Times New Roman"/>
        <family val="1"/>
        <charset val="1"/>
      </rPr>
      <t xml:space="preserve">BSW</t>
    </r>
    <r>
      <rPr>
        <sz val="11"/>
        <color theme="1"/>
        <rFont val="Noto Sans CJK SC"/>
        <family val="2"/>
      </rPr>
      <t xml:space="preserve">는 외주 또는 </t>
    </r>
    <r>
      <rPr>
        <sz val="11"/>
        <color theme="1"/>
        <rFont val="Times New Roman"/>
        <family val="1"/>
        <charset val="1"/>
      </rPr>
      <t xml:space="preserve">AUTOSAR </t>
    </r>
    <r>
      <rPr>
        <sz val="11"/>
        <color theme="1"/>
        <rFont val="Noto Sans CJK SC"/>
        <family val="2"/>
      </rPr>
      <t xml:space="preserve">상용툴 구매로 조달하는 일반적 구조</t>
    </r>
  </si>
  <si>
    <t xml:space="preserve">② 그 외 가정 목록</t>
  </si>
  <si>
    <r>
      <rPr>
        <b val="true"/>
        <sz val="10"/>
        <rFont val="Times New Roman"/>
        <family val="1"/>
        <charset val="1"/>
      </rPr>
      <t xml:space="preserve">ML </t>
    </r>
    <r>
      <rPr>
        <b val="true"/>
        <sz val="10"/>
        <rFont val="Noto Sans CJK SC"/>
        <family val="2"/>
      </rPr>
      <t xml:space="preserve">처리 방식 가정</t>
    </r>
  </si>
  <si>
    <r>
      <rPr>
        <sz val="11"/>
        <color theme="1"/>
        <rFont val="Times New Roman"/>
        <family val="1"/>
        <charset val="1"/>
      </rPr>
      <t xml:space="preserve">ML(</t>
    </r>
    <r>
      <rPr>
        <sz val="11"/>
        <color theme="1"/>
        <rFont val="Noto Sans CJK SC"/>
        <family val="2"/>
      </rPr>
      <t xml:space="preserve">머신러닝</t>
    </r>
    <r>
      <rPr>
        <sz val="11"/>
        <color theme="1"/>
        <rFont val="Times New Roman"/>
        <family val="1"/>
        <charset val="1"/>
      </rPr>
      <t xml:space="preserve">)</t>
    </r>
    <r>
      <rPr>
        <sz val="11"/>
        <color theme="1"/>
        <rFont val="Noto Sans CJK SC"/>
        <family val="2"/>
      </rPr>
      <t xml:space="preserve">은 별도 관리체계를 두지 않고 </t>
    </r>
    <r>
      <rPr>
        <sz val="11"/>
        <color theme="1"/>
        <rFont val="Times New Roman"/>
        <family val="1"/>
        <charset val="1"/>
      </rPr>
      <t xml:space="preserve">ASW</t>
    </r>
    <r>
      <rPr>
        <sz val="11"/>
        <color theme="1"/>
        <rFont val="Noto Sans CJK SC"/>
        <family val="2"/>
      </rPr>
      <t xml:space="preserve">의 일부로 취급</t>
    </r>
    <r>
      <rPr>
        <sz val="11"/>
        <color theme="1"/>
        <rFont val="Times New Roman"/>
        <family val="1"/>
        <charset val="1"/>
      </rPr>
      <t xml:space="preserve">. SUP.11(ML</t>
    </r>
    <r>
      <rPr>
        <sz val="11"/>
        <color theme="1"/>
        <rFont val="Noto Sans CJK SC"/>
        <family val="2"/>
      </rPr>
      <t xml:space="preserve">데이터관리</t>
    </r>
    <r>
      <rPr>
        <sz val="11"/>
        <color theme="1"/>
        <rFont val="Times New Roman"/>
        <family val="1"/>
        <charset val="1"/>
      </rPr>
      <t xml:space="preserve">), MLE.1~4 CA</t>
    </r>
    <r>
      <rPr>
        <sz val="11"/>
        <color theme="1"/>
        <rFont val="Noto Sans CJK SC"/>
        <family val="2"/>
      </rPr>
      <t xml:space="preserve">는 원본 자가평가 워크북 구조를 보존하기 위해 </t>
    </r>
    <r>
      <rPr>
        <sz val="11"/>
        <color theme="1"/>
        <rFont val="Times New Roman"/>
        <family val="1"/>
        <charset val="1"/>
      </rPr>
      <t xml:space="preserve">CA </t>
    </r>
    <r>
      <rPr>
        <sz val="11"/>
        <color theme="1"/>
        <rFont val="Noto Sans CJK SC"/>
        <family val="2"/>
      </rPr>
      <t xml:space="preserve">자체는 남기되</t>
    </r>
    <r>
      <rPr>
        <sz val="11"/>
        <color theme="1"/>
        <rFont val="Times New Roman"/>
        <family val="1"/>
        <charset val="1"/>
      </rPr>
      <t xml:space="preserve">, BAC </t>
    </r>
    <r>
      <rPr>
        <sz val="11"/>
        <color theme="1"/>
        <rFont val="Noto Sans CJK SC"/>
        <family val="2"/>
      </rPr>
      <t xml:space="preserve">카테고리는 모두 </t>
    </r>
    <r>
      <rPr>
        <sz val="11"/>
        <color theme="1"/>
        <rFont val="Times New Roman"/>
        <family val="1"/>
        <charset val="1"/>
      </rPr>
      <t xml:space="preserve">'ASW'</t>
    </r>
    <r>
      <rPr>
        <sz val="11"/>
        <color theme="1"/>
        <rFont val="Noto Sans CJK SC"/>
        <family val="2"/>
      </rPr>
      <t xml:space="preserve">로 배정</t>
    </r>
    <r>
      <rPr>
        <sz val="11"/>
        <color theme="1"/>
        <rFont val="Times New Roman"/>
        <family val="1"/>
        <charset val="1"/>
      </rPr>
      <t xml:space="preserve">.</t>
    </r>
  </si>
  <si>
    <r>
      <rPr>
        <b val="true"/>
        <sz val="10"/>
        <rFont val="Times New Roman"/>
        <family val="1"/>
        <charset val="1"/>
      </rPr>
      <t xml:space="preserve">HW </t>
    </r>
    <r>
      <rPr>
        <b val="true"/>
        <sz val="10"/>
        <rFont val="Noto Sans CJK SC"/>
        <family val="2"/>
      </rPr>
      <t xml:space="preserve">병행개발 가정</t>
    </r>
  </si>
  <si>
    <r>
      <rPr>
        <sz val="11"/>
        <color theme="1"/>
        <rFont val="Times New Roman"/>
        <family val="1"/>
        <charset val="1"/>
      </rPr>
      <t xml:space="preserve">A/B </t>
    </r>
    <r>
      <rPr>
        <sz val="11"/>
        <color theme="1"/>
        <rFont val="Noto Sans CJK SC"/>
        <family val="2"/>
      </rPr>
      <t xml:space="preserve">샘플 개발 등 </t>
    </r>
    <r>
      <rPr>
        <sz val="11"/>
        <color theme="1"/>
        <rFont val="Times New Roman"/>
        <family val="1"/>
        <charset val="1"/>
      </rPr>
      <t xml:space="preserve">HW</t>
    </r>
    <r>
      <rPr>
        <sz val="11"/>
        <color theme="1"/>
        <rFont val="Noto Sans CJK SC"/>
        <family val="2"/>
      </rPr>
      <t xml:space="preserve">가 </t>
    </r>
    <r>
      <rPr>
        <sz val="11"/>
        <color theme="1"/>
        <rFont val="Times New Roman"/>
        <family val="1"/>
        <charset val="1"/>
      </rPr>
      <t xml:space="preserve">SW</t>
    </r>
    <r>
      <rPr>
        <sz val="11"/>
        <color theme="1"/>
        <rFont val="Noto Sans CJK SC"/>
        <family val="2"/>
      </rPr>
      <t xml:space="preserve">와 함께 병행 개발된다고 가정하여 </t>
    </r>
    <r>
      <rPr>
        <sz val="11"/>
        <color theme="1"/>
        <rFont val="Times New Roman"/>
        <family val="1"/>
        <charset val="1"/>
      </rPr>
      <t xml:space="preserve">HWE.1~4</t>
    </r>
    <r>
      <rPr>
        <sz val="11"/>
        <color theme="1"/>
        <rFont val="Noto Sans CJK SC"/>
        <family val="2"/>
      </rPr>
      <t xml:space="preserve">를 </t>
    </r>
    <r>
      <rPr>
        <sz val="11"/>
        <color theme="1"/>
        <rFont val="Times New Roman"/>
        <family val="1"/>
        <charset val="1"/>
      </rPr>
      <t xml:space="preserve">'HW' </t>
    </r>
    <r>
      <rPr>
        <sz val="11"/>
        <color theme="1"/>
        <rFont val="Noto Sans CJK SC"/>
        <family val="2"/>
      </rPr>
      <t xml:space="preserve">카테고리로 배정</t>
    </r>
    <r>
      <rPr>
        <sz val="11"/>
        <color theme="1"/>
        <rFont val="Times New Roman"/>
        <family val="1"/>
        <charset val="1"/>
      </rPr>
      <t xml:space="preserve">, 3</t>
    </r>
    <r>
      <rPr>
        <sz val="11"/>
        <color theme="1"/>
        <rFont val="Noto Sans CJK SC"/>
        <family val="2"/>
      </rPr>
      <t xml:space="preserve">개 시나리오 모두에서 </t>
    </r>
    <r>
      <rPr>
        <sz val="11"/>
        <color theme="1"/>
        <rFont val="Times New Roman"/>
        <family val="1"/>
        <charset val="1"/>
      </rPr>
      <t xml:space="preserve">2~6% </t>
    </r>
    <r>
      <rPr>
        <sz val="11"/>
        <color theme="1"/>
        <rFont val="Noto Sans CJK SC"/>
        <family val="2"/>
      </rPr>
      <t xml:space="preserve">실질 비중을 부여함</t>
    </r>
    <r>
      <rPr>
        <sz val="11"/>
        <color theme="1"/>
        <rFont val="Times New Roman"/>
        <family val="1"/>
        <charset val="1"/>
      </rPr>
      <t xml:space="preserve">(</t>
    </r>
    <r>
      <rPr>
        <sz val="11"/>
        <color theme="1"/>
        <rFont val="Noto Sans CJK SC"/>
        <family val="2"/>
      </rPr>
      <t xml:space="preserve">이전 초안의 </t>
    </r>
    <r>
      <rPr>
        <sz val="11"/>
        <color theme="1"/>
        <rFont val="Times New Roman"/>
        <family val="1"/>
        <charset val="1"/>
      </rPr>
      <t xml:space="preserve">'</t>
    </r>
    <r>
      <rPr>
        <sz val="11"/>
        <color theme="1"/>
        <rFont val="Noto Sans CJK SC"/>
        <family val="2"/>
      </rPr>
      <t xml:space="preserve">해당없음 </t>
    </r>
    <r>
      <rPr>
        <sz val="11"/>
        <color theme="1"/>
        <rFont val="Times New Roman"/>
        <family val="1"/>
        <charset val="1"/>
      </rPr>
      <t xml:space="preserve">0%'</t>
    </r>
    <r>
      <rPr>
        <sz val="11"/>
        <color theme="1"/>
        <rFont val="Noto Sans CJK SC"/>
        <family val="2"/>
      </rPr>
      <t xml:space="preserve">에서 변경</t>
    </r>
    <r>
      <rPr>
        <sz val="11"/>
        <color theme="1"/>
        <rFont val="Times New Roman"/>
        <family val="1"/>
        <charset val="1"/>
      </rPr>
      <t xml:space="preserve">).</t>
    </r>
  </si>
  <si>
    <r>
      <rPr>
        <b val="true"/>
        <sz val="10"/>
        <rFont val="Times New Roman"/>
        <family val="1"/>
        <charset val="1"/>
      </rPr>
      <t xml:space="preserve">ASW/BSW CA </t>
    </r>
    <r>
      <rPr>
        <b val="true"/>
        <sz val="10"/>
        <rFont val="Noto Sans CJK SC"/>
        <family val="2"/>
      </rPr>
      <t xml:space="preserve">분리</t>
    </r>
  </si>
  <si>
    <r>
      <rPr>
        <sz val="11"/>
        <color theme="1"/>
        <rFont val="Times New Roman"/>
        <family val="1"/>
        <charset val="1"/>
      </rPr>
      <t xml:space="preserve">SWE.3(</t>
    </r>
    <r>
      <rPr>
        <sz val="11"/>
        <color theme="1"/>
        <rFont val="Noto Sans CJK SC"/>
        <family val="2"/>
      </rPr>
      <t xml:space="preserve">상세설계</t>
    </r>
    <r>
      <rPr>
        <sz val="11"/>
        <color theme="1"/>
        <rFont val="Times New Roman"/>
        <family val="1"/>
        <charset val="1"/>
      </rPr>
      <t xml:space="preserve">/</t>
    </r>
    <r>
      <rPr>
        <sz val="11"/>
        <color theme="1"/>
        <rFont val="Noto Sans CJK SC"/>
        <family val="2"/>
      </rPr>
      <t xml:space="preserve">단위구현</t>
    </r>
    <r>
      <rPr>
        <sz val="11"/>
        <color theme="1"/>
        <rFont val="Times New Roman"/>
        <family val="1"/>
        <charset val="1"/>
      </rPr>
      <t xml:space="preserve">), SWE.4(</t>
    </r>
    <r>
      <rPr>
        <sz val="11"/>
        <color theme="1"/>
        <rFont val="Noto Sans CJK SC"/>
        <family val="2"/>
      </rPr>
      <t xml:space="preserve">단위검증</t>
    </r>
    <r>
      <rPr>
        <sz val="11"/>
        <color theme="1"/>
        <rFont val="Times New Roman"/>
        <family val="1"/>
        <charset val="1"/>
      </rPr>
      <t xml:space="preserve">)</t>
    </r>
    <r>
      <rPr>
        <sz val="11"/>
        <color theme="1"/>
        <rFont val="Noto Sans CJK SC"/>
        <family val="2"/>
      </rPr>
      <t xml:space="preserve">는 계층별로 담당</t>
    </r>
    <r>
      <rPr>
        <sz val="11"/>
        <color theme="1"/>
        <rFont val="Times New Roman"/>
        <family val="1"/>
        <charset val="1"/>
      </rPr>
      <t xml:space="preserve">(</t>
    </r>
    <r>
      <rPr>
        <sz val="11"/>
        <color theme="1"/>
        <rFont val="Noto Sans CJK SC"/>
        <family val="2"/>
      </rPr>
      <t xml:space="preserve">자체 </t>
    </r>
    <r>
      <rPr>
        <sz val="11"/>
        <color theme="1"/>
        <rFont val="Times New Roman"/>
        <family val="1"/>
        <charset val="1"/>
      </rPr>
      <t xml:space="preserve">vs </t>
    </r>
    <r>
      <rPr>
        <sz val="11"/>
        <color theme="1"/>
        <rFont val="Noto Sans CJK SC"/>
        <family val="2"/>
      </rPr>
      <t xml:space="preserve">외주</t>
    </r>
    <r>
      <rPr>
        <sz val="11"/>
        <color theme="1"/>
        <rFont val="Times New Roman"/>
        <family val="1"/>
        <charset val="1"/>
      </rPr>
      <t xml:space="preserve">)</t>
    </r>
    <r>
      <rPr>
        <sz val="11"/>
        <color theme="1"/>
        <rFont val="Noto Sans CJK SC"/>
        <family val="2"/>
      </rPr>
      <t xml:space="preserve">이 크게 달라지는 지점이므로 </t>
    </r>
    <r>
      <rPr>
        <sz val="11"/>
        <color theme="1"/>
        <rFont val="Times New Roman"/>
        <family val="1"/>
        <charset val="1"/>
      </rPr>
      <t xml:space="preserve">'SWE.3-ASW/BSW', 'SWE.4-ASW/BSW' 4</t>
    </r>
    <r>
      <rPr>
        <sz val="11"/>
        <color theme="1"/>
        <rFont val="Noto Sans CJK SC"/>
        <family val="2"/>
      </rPr>
      <t xml:space="preserve">개 </t>
    </r>
    <r>
      <rPr>
        <sz val="11"/>
        <color theme="1"/>
        <rFont val="Times New Roman"/>
        <family val="1"/>
        <charset val="1"/>
      </rPr>
      <t xml:space="preserve">CA</t>
    </r>
    <r>
      <rPr>
        <sz val="11"/>
        <color theme="1"/>
        <rFont val="Noto Sans CJK SC"/>
        <family val="2"/>
      </rPr>
      <t xml:space="preserve">로 분리</t>
    </r>
    <r>
      <rPr>
        <sz val="11"/>
        <color theme="1"/>
        <rFont val="Times New Roman"/>
        <family val="1"/>
        <charset val="1"/>
      </rPr>
      <t xml:space="preserve">. </t>
    </r>
    <r>
      <rPr>
        <sz val="11"/>
        <color theme="1"/>
        <rFont val="Noto Sans CJK SC"/>
        <family val="2"/>
      </rPr>
      <t xml:space="preserve">원본 자가평가 워크북은 계층 구분 없이 </t>
    </r>
    <r>
      <rPr>
        <sz val="11"/>
        <color theme="1"/>
        <rFont val="Times New Roman"/>
        <family val="1"/>
        <charset val="1"/>
      </rPr>
      <t xml:space="preserve">BP</t>
    </r>
    <r>
      <rPr>
        <sz val="11"/>
        <color theme="1"/>
        <rFont val="Noto Sans CJK SC"/>
        <family val="2"/>
      </rPr>
      <t xml:space="preserve">를 채점하므로</t>
    </r>
    <r>
      <rPr>
        <sz val="11"/>
        <color theme="1"/>
        <rFont val="Times New Roman"/>
        <family val="1"/>
        <charset val="1"/>
      </rPr>
      <t xml:space="preserve">, </t>
    </r>
    <r>
      <rPr>
        <sz val="11"/>
        <color theme="1"/>
        <rFont val="Noto Sans CJK SC"/>
        <family val="2"/>
      </rPr>
      <t xml:space="preserve">이 </t>
    </r>
    <r>
      <rPr>
        <sz val="11"/>
        <color theme="1"/>
        <rFont val="Times New Roman"/>
        <family val="1"/>
        <charset val="1"/>
      </rPr>
      <t xml:space="preserve">4</t>
    </r>
    <r>
      <rPr>
        <sz val="11"/>
        <color theme="1"/>
        <rFont val="Noto Sans CJK SC"/>
        <family val="2"/>
      </rPr>
      <t xml:space="preserve">개 </t>
    </r>
    <r>
      <rPr>
        <sz val="11"/>
        <color theme="1"/>
        <rFont val="Times New Roman"/>
        <family val="1"/>
        <charset val="1"/>
      </rPr>
      <t xml:space="preserve">CA</t>
    </r>
    <r>
      <rPr>
        <sz val="11"/>
        <color theme="1"/>
        <rFont val="Noto Sans CJK SC"/>
        <family val="2"/>
      </rPr>
      <t xml:space="preserve">는 동일한 </t>
    </r>
    <r>
      <rPr>
        <sz val="11"/>
        <color theme="1"/>
        <rFont val="Times New Roman"/>
        <family val="1"/>
        <charset val="1"/>
      </rPr>
      <t xml:space="preserve">BP#/</t>
    </r>
    <r>
      <rPr>
        <sz val="11"/>
        <color theme="1"/>
        <rFont val="Noto Sans CJK SC"/>
        <family val="2"/>
      </rPr>
      <t xml:space="preserve">채점기준을 공유하되 진도율은 계층별로 각자 입력해야 함</t>
    </r>
    <r>
      <rPr>
        <sz val="11"/>
        <color theme="1"/>
        <rFont val="Times New Roman"/>
        <family val="1"/>
        <charset val="1"/>
      </rPr>
      <t xml:space="preserve">(</t>
    </r>
    <r>
      <rPr>
        <sz val="11"/>
        <color theme="1"/>
        <rFont val="Noto Sans CJK SC"/>
        <family val="2"/>
      </rPr>
      <t xml:space="preserve">자가평가 워크북 자체의 계층 확장은 별도 검토 필요</t>
    </r>
    <r>
      <rPr>
        <sz val="11"/>
        <color theme="1"/>
        <rFont val="Times New Roman"/>
        <family val="1"/>
        <charset val="1"/>
      </rPr>
      <t xml:space="preserve">).</t>
    </r>
  </si>
  <si>
    <t xml:space="preserve">개발 시나리오 매트릭스</t>
  </si>
  <si>
    <t xml:space="preserve">외주 구조(ASW 자체개발/BSW 외주, 완성차 사급 등)에 따라 카테고리 목표비중이 크게 달라지므로, 고정값 대신 3가지 시나리오를 매트릭스로 제공하고 C4셀에서 선택하도록 구성. 제시된 3개 시나리오는 예시이며, 실제 계약구조가 다르면 매트릭스의 숫자를 직접 수정(노란색 셀)하거나 새 행을 추가해도 됨.</t>
  </si>
  <si>
    <r>
      <rPr>
        <b val="true"/>
        <sz val="10"/>
        <rFont val="Times New Roman"/>
        <family val="1"/>
        <charset val="1"/>
      </rPr>
      <t xml:space="preserve">CA </t>
    </r>
    <r>
      <rPr>
        <b val="true"/>
        <sz val="10"/>
        <rFont val="Noto Sans CJK SC"/>
        <family val="2"/>
      </rPr>
      <t xml:space="preserve">내 </t>
    </r>
    <r>
      <rPr>
        <b val="true"/>
        <sz val="10"/>
        <rFont val="Times New Roman"/>
        <family val="1"/>
        <charset val="1"/>
      </rPr>
      <t xml:space="preserve">BAC </t>
    </r>
    <r>
      <rPr>
        <b val="true"/>
        <sz val="10"/>
        <rFont val="Noto Sans CJK SC"/>
        <family val="2"/>
      </rPr>
      <t xml:space="preserve">세부 배분 방식</t>
    </r>
  </si>
  <si>
    <t xml:space="preserve">각 카테고리 목표비중을, CA_개요의 '소속 WP(산출물) 개수'에 비례하여 같은 카테고리 내 CA들에 배분(=목표비중×해당CA WP수/해당카테고리 전체WP수). 실제 MM 계획이 수립되면 이 근사 배분을 교체할 것(설계문서 5장: BAC는 궁극적으로 실제 MM 계획 기반이어야 함).</t>
  </si>
  <si>
    <t xml:space="preserve">혼합 CA의 Discrete/LOE 최종 확정</t>
  </si>
  <si>
    <r>
      <rPr>
        <sz val="11"/>
        <color theme="1"/>
        <rFont val="Times New Roman"/>
        <family val="1"/>
        <charset val="1"/>
      </rPr>
      <t xml:space="preserve">WP_</t>
    </r>
    <r>
      <rPr>
        <sz val="11"/>
        <color theme="1"/>
        <rFont val="Noto Sans CJK SC"/>
        <family val="2"/>
      </rPr>
      <t xml:space="preserve">상세의 관리방식</t>
    </r>
    <r>
      <rPr>
        <sz val="11"/>
        <color theme="1"/>
        <rFont val="Times New Roman"/>
        <family val="1"/>
        <charset val="1"/>
      </rPr>
      <t xml:space="preserve">(</t>
    </r>
    <r>
      <rPr>
        <sz val="11"/>
        <color theme="1"/>
        <rFont val="Noto Sans CJK SC"/>
        <family val="2"/>
      </rPr>
      <t xml:space="preserve">확정</t>
    </r>
    <r>
      <rPr>
        <sz val="11"/>
        <color theme="1"/>
        <rFont val="Times New Roman"/>
        <family val="1"/>
        <charset val="1"/>
      </rPr>
      <t xml:space="preserve">) </t>
    </r>
    <r>
      <rPr>
        <sz val="11"/>
        <color theme="1"/>
        <rFont val="Noto Sans CJK SC"/>
        <family val="2"/>
      </rPr>
      <t xml:space="preserve">열은 산출물명 키워드 자동제안에 수기검토를 거쳐 확정한 것</t>
    </r>
    <r>
      <rPr>
        <sz val="11"/>
        <color theme="1"/>
        <rFont val="Times New Roman"/>
        <family val="1"/>
        <charset val="1"/>
      </rPr>
      <t xml:space="preserve">. ACQ.4 BP3(</t>
    </r>
    <r>
      <rPr>
        <sz val="11"/>
        <color theme="1"/>
        <rFont val="Noto Sans CJK SC"/>
        <family val="2"/>
      </rPr>
      <t xml:space="preserve">공동검토기록</t>
    </r>
    <r>
      <rPr>
        <sz val="11"/>
        <color theme="1"/>
        <rFont val="Times New Roman"/>
        <family val="1"/>
        <charset val="1"/>
      </rPr>
      <t xml:space="preserve">), BP5(</t>
    </r>
    <r>
      <rPr>
        <sz val="11"/>
        <color theme="1"/>
        <rFont val="Noto Sans CJK SC"/>
        <family val="2"/>
      </rPr>
      <t xml:space="preserve">시정조치기록</t>
    </r>
    <r>
      <rPr>
        <sz val="11"/>
        <color theme="1"/>
        <rFont val="Times New Roman"/>
        <family val="1"/>
        <charset val="1"/>
      </rPr>
      <t xml:space="preserve">)</t>
    </r>
    <r>
      <rPr>
        <sz val="11"/>
        <color theme="1"/>
        <rFont val="Noto Sans CJK SC"/>
        <family val="2"/>
      </rPr>
      <t xml:space="preserve">는 반복적 활동 성격이 강해 자동제안</t>
    </r>
    <r>
      <rPr>
        <sz val="11"/>
        <color theme="1"/>
        <rFont val="Times New Roman"/>
        <family val="1"/>
        <charset val="1"/>
      </rPr>
      <t xml:space="preserve">(Discrete)</t>
    </r>
    <r>
      <rPr>
        <sz val="11"/>
        <color theme="1"/>
        <rFont val="Noto Sans CJK SC"/>
        <family val="2"/>
      </rPr>
      <t xml:space="preserve">에서 </t>
    </r>
    <r>
      <rPr>
        <sz val="11"/>
        <color theme="1"/>
        <rFont val="Times New Roman"/>
        <family val="1"/>
        <charset val="1"/>
      </rPr>
      <t xml:space="preserve">LOE</t>
    </r>
    <r>
      <rPr>
        <sz val="11"/>
        <color theme="1"/>
        <rFont val="Noto Sans CJK SC"/>
        <family val="2"/>
      </rPr>
      <t xml:space="preserve">로 재분류함</t>
    </r>
    <r>
      <rPr>
        <sz val="11"/>
        <color theme="1"/>
        <rFont val="Times New Roman"/>
        <family val="1"/>
        <charset val="1"/>
      </rPr>
      <t xml:space="preserve">(K</t>
    </r>
    <r>
      <rPr>
        <sz val="11"/>
        <color theme="1"/>
        <rFont val="Noto Sans CJK SC"/>
        <family val="2"/>
      </rPr>
      <t xml:space="preserve">열에 표시</t>
    </r>
    <r>
      <rPr>
        <sz val="11"/>
        <color theme="1"/>
        <rFont val="Times New Roman"/>
        <family val="1"/>
        <charset val="1"/>
      </rPr>
      <t xml:space="preserve">). </t>
    </r>
    <r>
      <rPr>
        <sz val="11"/>
        <color theme="1"/>
        <rFont val="Noto Sans CJK SC"/>
        <family val="2"/>
      </rPr>
      <t xml:space="preserve">나머지 혼합 </t>
    </r>
    <r>
      <rPr>
        <sz val="11"/>
        <color theme="1"/>
        <rFont val="Times New Roman"/>
        <family val="1"/>
        <charset val="1"/>
      </rPr>
      <t xml:space="preserve">CA(SUP.1/SUP.8/SUP.10)</t>
    </r>
    <r>
      <rPr>
        <sz val="11"/>
        <color theme="1"/>
        <rFont val="Noto Sans CJK SC"/>
        <family val="2"/>
      </rPr>
      <t xml:space="preserve">는 자동제안값을 그대로 채택</t>
    </r>
    <r>
      <rPr>
        <sz val="11"/>
        <color theme="1"/>
        <rFont val="Times New Roman"/>
        <family val="1"/>
        <charset val="1"/>
      </rPr>
      <t xml:space="preserve">.</t>
    </r>
  </si>
  <si>
    <t xml:space="preserve">마일스톤 정규화 시점 가정</t>
  </si>
  <si>
    <t xml:space="preserve">계획곡선 산정을 위해 프로젝트 전체 기간 대비 마일스톤 시점을 M-Car=15%, Proto=40%, P1=60%, P2=85%, SoP=100%로 가정(자동차 SW 개발의 전형적 마일스톤 간격 기준). 실제 프로젝트 일정표가 확정되면 반드시 교체할 것.</t>
  </si>
  <si>
    <t xml:space="preserve">계획곡선의 성격에 대한 유의사항</t>
  </si>
  <si>
    <t xml:space="preserve">계획곡선_후보 시트의 후보A/B는 마일스톤별 'Discrete WP 개수'의 누적 비율을 기반으로 산정한 것으로, 실제 공수(effort) 가중치가 아닌 산출물 개수 기준의 1차 근사치임. 산출물이 초반 마일스톤(M-Car)에 다수 몰려 있어(요구사항·아키텍처 산출물 집중) 전형적인 대칭 S자보다 초반에 급격히 상승하는 형태로 나타남.</t>
  </si>
  <si>
    <t xml:space="preserve">유지보수 개정 보정(중요)</t>
  </si>
  <si>
    <r>
      <rPr>
        <sz val="11"/>
        <color theme="1"/>
        <rFont val="Times New Roman"/>
        <family val="1"/>
        <charset val="1"/>
      </rPr>
      <t xml:space="preserve">SW </t>
    </r>
    <r>
      <rPr>
        <sz val="11"/>
        <color theme="1"/>
        <rFont val="Noto Sans CJK SC"/>
        <family val="2"/>
      </rPr>
      <t xml:space="preserve">산출물은 원 마일스톤에서 생성된 뒤 끝나는 것이 아니라 프로젝트 종료 시점까지 지속적으로 개정된다</t>
    </r>
    <r>
      <rPr>
        <sz val="11"/>
        <color theme="1"/>
        <rFont val="Times New Roman"/>
        <family val="1"/>
        <charset val="1"/>
      </rPr>
      <t xml:space="preserve">(</t>
    </r>
    <r>
      <rPr>
        <sz val="11"/>
        <color theme="1"/>
        <rFont val="Noto Sans CJK SC"/>
        <family val="2"/>
      </rPr>
      <t xml:space="preserve">요구사항 변경</t>
    </r>
    <r>
      <rPr>
        <sz val="11"/>
        <color theme="1"/>
        <rFont val="Times New Roman"/>
        <family val="1"/>
        <charset val="1"/>
      </rPr>
      <t xml:space="preserve">, </t>
    </r>
    <r>
      <rPr>
        <sz val="11"/>
        <color theme="1"/>
        <rFont val="Noto Sans CJK SC"/>
        <family val="2"/>
      </rPr>
      <t xml:space="preserve">아키텍처 </t>
    </r>
    <r>
      <rPr>
        <sz val="11"/>
        <color theme="1"/>
        <rFont val="Times New Roman"/>
        <family val="1"/>
        <charset val="1"/>
      </rPr>
      <t xml:space="preserve">refinement, </t>
    </r>
    <r>
      <rPr>
        <sz val="11"/>
        <color theme="1"/>
        <rFont val="Noto Sans CJK SC"/>
        <family val="2"/>
      </rPr>
      <t xml:space="preserve">코드 수정 등</t>
    </r>
    <r>
      <rPr>
        <sz val="11"/>
        <color theme="1"/>
        <rFont val="Times New Roman"/>
        <family val="1"/>
        <charset val="1"/>
      </rPr>
      <t xml:space="preserve">). </t>
    </r>
    <r>
      <rPr>
        <sz val="11"/>
        <color theme="1"/>
        <rFont val="Noto Sans CJK SC"/>
        <family val="2"/>
      </rPr>
      <t xml:space="preserve">이를 반영하기 위해 </t>
    </r>
    <r>
      <rPr>
        <sz val="11"/>
        <color theme="1"/>
        <rFont val="Times New Roman"/>
        <family val="1"/>
        <charset val="1"/>
      </rPr>
      <t xml:space="preserve">'</t>
    </r>
    <r>
      <rPr>
        <sz val="11"/>
        <color theme="1"/>
        <rFont val="Noto Sans CJK SC"/>
        <family val="2"/>
      </rPr>
      <t xml:space="preserve">계획곡선</t>
    </r>
    <r>
      <rPr>
        <sz val="11"/>
        <color theme="1"/>
        <rFont val="Times New Roman"/>
        <family val="1"/>
        <charset val="1"/>
      </rPr>
      <t xml:space="preserve">_</t>
    </r>
    <r>
      <rPr>
        <sz val="11"/>
        <color theme="1"/>
        <rFont val="Noto Sans CJK SC"/>
        <family val="2"/>
      </rPr>
      <t xml:space="preserve">보정</t>
    </r>
    <r>
      <rPr>
        <sz val="11"/>
        <color theme="1"/>
        <rFont val="Times New Roman"/>
        <family val="1"/>
        <charset val="1"/>
      </rPr>
      <t xml:space="preserve">' </t>
    </r>
    <r>
      <rPr>
        <sz val="11"/>
        <color theme="1"/>
        <rFont val="Noto Sans CJK SC"/>
        <family val="2"/>
      </rPr>
      <t xml:space="preserve">시트를 추가</t>
    </r>
    <r>
      <rPr>
        <sz val="11"/>
        <color theme="1"/>
        <rFont val="Times New Roman"/>
        <family val="1"/>
        <charset val="1"/>
      </rPr>
      <t xml:space="preserve">: </t>
    </r>
    <r>
      <rPr>
        <sz val="11"/>
        <color theme="1"/>
        <rFont val="Noto Sans CJK SC"/>
        <family val="2"/>
      </rPr>
      <t xml:space="preserve">설계</t>
    </r>
    <r>
      <rPr>
        <sz val="11"/>
        <color theme="1"/>
        <rFont val="Times New Roman"/>
        <family val="1"/>
        <charset val="1"/>
      </rPr>
      <t xml:space="preserve">/</t>
    </r>
    <r>
      <rPr>
        <sz val="11"/>
        <color theme="1"/>
        <rFont val="Noto Sans CJK SC"/>
        <family val="2"/>
      </rPr>
      <t xml:space="preserve">계획형 산출물</t>
    </r>
    <r>
      <rPr>
        <sz val="11"/>
        <color theme="1"/>
        <rFont val="Times New Roman"/>
        <family val="1"/>
        <charset val="1"/>
      </rPr>
      <t xml:space="preserve">(Requirement/Architecture/Design/Project Plan/Software Unit </t>
    </r>
    <r>
      <rPr>
        <sz val="11"/>
        <color theme="1"/>
        <rFont val="Noto Sans CJK SC"/>
        <family val="2"/>
      </rPr>
      <t xml:space="preserve">등</t>
    </r>
    <r>
      <rPr>
        <sz val="11"/>
        <color theme="1"/>
        <rFont val="Times New Roman"/>
        <family val="1"/>
        <charset val="1"/>
      </rPr>
      <t xml:space="preserve">, WP_</t>
    </r>
    <r>
      <rPr>
        <sz val="11"/>
        <color theme="1"/>
        <rFont val="Noto Sans CJK SC"/>
        <family val="2"/>
      </rPr>
      <t xml:space="preserve">상세의 </t>
    </r>
    <r>
      <rPr>
        <sz val="11"/>
        <color theme="1"/>
        <rFont val="Times New Roman"/>
        <family val="1"/>
        <charset val="1"/>
      </rPr>
      <t xml:space="preserve">'</t>
    </r>
    <r>
      <rPr>
        <sz val="11"/>
        <color theme="1"/>
        <rFont val="Noto Sans CJK SC"/>
        <family val="2"/>
      </rPr>
      <t xml:space="preserve">유지보수반영</t>
    </r>
    <r>
      <rPr>
        <sz val="11"/>
        <color theme="1"/>
        <rFont val="Times New Roman"/>
        <family val="1"/>
        <charset val="1"/>
      </rPr>
      <t xml:space="preserve">=Y')</t>
    </r>
    <r>
      <rPr>
        <sz val="11"/>
        <color theme="1"/>
        <rFont val="Noto Sans CJK SC"/>
        <family val="2"/>
      </rPr>
      <t xml:space="preserve">은 </t>
    </r>
    <r>
      <rPr>
        <sz val="11"/>
        <color theme="1"/>
        <rFont val="Times New Roman"/>
        <family val="1"/>
        <charset val="1"/>
      </rPr>
      <t xml:space="preserve">BAC</t>
    </r>
    <r>
      <rPr>
        <sz val="11"/>
        <color theme="1"/>
        <rFont val="Noto Sans CJK SC"/>
        <family val="2"/>
      </rPr>
      <t xml:space="preserve">의 </t>
    </r>
    <r>
      <rPr>
        <sz val="11"/>
        <color theme="1"/>
        <rFont val="Times New Roman"/>
        <family val="1"/>
        <charset val="1"/>
      </rPr>
      <t xml:space="preserve">40%</t>
    </r>
    <r>
      <rPr>
        <sz val="11"/>
        <color theme="1"/>
        <rFont val="Noto Sans CJK SC"/>
        <family val="2"/>
      </rPr>
      <t xml:space="preserve">를 원 마일스톤에 </t>
    </r>
    <r>
      <rPr>
        <sz val="11"/>
        <color theme="1"/>
        <rFont val="Times New Roman"/>
        <family val="1"/>
        <charset val="1"/>
      </rPr>
      <t xml:space="preserve">'</t>
    </r>
    <r>
      <rPr>
        <sz val="11"/>
        <color theme="1"/>
        <rFont val="Noto Sans CJK SC"/>
        <family val="2"/>
      </rPr>
      <t xml:space="preserve">최초작성</t>
    </r>
    <r>
      <rPr>
        <sz val="11"/>
        <color theme="1"/>
        <rFont val="Times New Roman"/>
        <family val="1"/>
        <charset val="1"/>
      </rPr>
      <t xml:space="preserve">'</t>
    </r>
    <r>
      <rPr>
        <sz val="11"/>
        <color theme="1"/>
        <rFont val="Noto Sans CJK SC"/>
        <family val="2"/>
      </rPr>
      <t xml:space="preserve">으로</t>
    </r>
    <r>
      <rPr>
        <sz val="11"/>
        <color theme="1"/>
        <rFont val="Times New Roman"/>
        <family val="1"/>
        <charset val="1"/>
      </rPr>
      <t xml:space="preserve">, </t>
    </r>
    <r>
      <rPr>
        <sz val="11"/>
        <color theme="1"/>
        <rFont val="Noto Sans CJK SC"/>
        <family val="2"/>
      </rPr>
      <t xml:space="preserve">나머지 </t>
    </r>
    <r>
      <rPr>
        <sz val="11"/>
        <color theme="1"/>
        <rFont val="Times New Roman"/>
        <family val="1"/>
        <charset val="1"/>
      </rPr>
      <t xml:space="preserve">60%</t>
    </r>
    <r>
      <rPr>
        <sz val="11"/>
        <color theme="1"/>
        <rFont val="Noto Sans CJK SC"/>
        <family val="2"/>
      </rPr>
      <t xml:space="preserve">를 원 마일스톤부터 </t>
    </r>
    <r>
      <rPr>
        <sz val="11"/>
        <color theme="1"/>
        <rFont val="Times New Roman"/>
        <family val="1"/>
        <charset val="1"/>
      </rPr>
      <t xml:space="preserve">SoP</t>
    </r>
    <r>
      <rPr>
        <sz val="11"/>
        <color theme="1"/>
        <rFont val="Noto Sans CJK SC"/>
        <family val="2"/>
      </rPr>
      <t xml:space="preserve">까지 잔여 마일스톤에 균등 배분하여 </t>
    </r>
    <r>
      <rPr>
        <sz val="11"/>
        <color theme="1"/>
        <rFont val="Times New Roman"/>
        <family val="1"/>
        <charset val="1"/>
      </rPr>
      <t xml:space="preserve">'</t>
    </r>
    <r>
      <rPr>
        <sz val="11"/>
        <color theme="1"/>
        <rFont val="Noto Sans CJK SC"/>
        <family val="2"/>
      </rPr>
      <t xml:space="preserve">유지보수 개정</t>
    </r>
    <r>
      <rPr>
        <sz val="11"/>
        <color theme="1"/>
        <rFont val="Times New Roman"/>
        <family val="1"/>
        <charset val="1"/>
      </rPr>
      <t xml:space="preserve">'</t>
    </r>
    <r>
      <rPr>
        <sz val="11"/>
        <color theme="1"/>
        <rFont val="Noto Sans CJK SC"/>
        <family val="2"/>
      </rPr>
      <t xml:space="preserve">으로 인식</t>
    </r>
    <r>
      <rPr>
        <sz val="11"/>
        <color theme="1"/>
        <rFont val="Times New Roman"/>
        <family val="1"/>
        <charset val="1"/>
      </rPr>
      <t xml:space="preserve">. </t>
    </r>
    <r>
      <rPr>
        <sz val="11"/>
        <color theme="1"/>
        <rFont val="Noto Sans CJK SC"/>
        <family val="2"/>
      </rPr>
      <t xml:space="preserve">이 보정을 반영하면 </t>
    </r>
    <r>
      <rPr>
        <sz val="11"/>
        <color theme="1"/>
        <rFont val="Times New Roman"/>
        <family val="1"/>
        <charset val="1"/>
      </rPr>
      <t xml:space="preserve">M-Car </t>
    </r>
    <r>
      <rPr>
        <sz val="11"/>
        <color theme="1"/>
        <rFont val="Noto Sans CJK SC"/>
        <family val="2"/>
      </rPr>
      <t xml:space="preserve">비중이 </t>
    </r>
    <r>
      <rPr>
        <sz val="11"/>
        <color theme="1"/>
        <rFont val="Times New Roman"/>
        <family val="1"/>
        <charset val="1"/>
      </rPr>
      <t xml:space="preserve">46%→33%</t>
    </r>
    <r>
      <rPr>
        <sz val="11"/>
        <color theme="1"/>
        <rFont val="Noto Sans CJK SC"/>
        <family val="2"/>
      </rPr>
      <t xml:space="preserve">로 낮아지고 마일스톤 간 분포가 훨씬 평평해져</t>
    </r>
    <r>
      <rPr>
        <sz val="11"/>
        <color theme="1"/>
        <rFont val="Times New Roman"/>
        <family val="1"/>
        <charset val="1"/>
      </rPr>
      <t xml:space="preserve">, </t>
    </r>
    <r>
      <rPr>
        <sz val="11"/>
        <color theme="1"/>
        <rFont val="Noto Sans CJK SC"/>
        <family val="2"/>
      </rPr>
      <t xml:space="preserve">투입인력이 초반에 구성되어 끝까지 유지되는 실제 패턴과 더 부합함</t>
    </r>
    <r>
      <rPr>
        <sz val="11"/>
        <color theme="1"/>
        <rFont val="Times New Roman"/>
        <family val="1"/>
        <charset val="1"/>
      </rPr>
      <t xml:space="preserve">. </t>
    </r>
    <r>
      <rPr>
        <sz val="11"/>
        <color theme="1"/>
        <rFont val="Noto Sans CJK SC"/>
        <family val="2"/>
      </rPr>
      <t xml:space="preserve">계획곡선</t>
    </r>
    <r>
      <rPr>
        <sz val="11"/>
        <color theme="1"/>
        <rFont val="Times New Roman"/>
        <family val="1"/>
        <charset val="1"/>
      </rPr>
      <t xml:space="preserve">_</t>
    </r>
    <r>
      <rPr>
        <sz val="11"/>
        <color theme="1"/>
        <rFont val="Noto Sans CJK SC"/>
        <family val="2"/>
      </rPr>
      <t xml:space="preserve">후보의 </t>
    </r>
    <r>
      <rPr>
        <sz val="11"/>
        <color theme="1"/>
        <rFont val="Times New Roman"/>
        <family val="1"/>
        <charset val="1"/>
      </rPr>
      <t xml:space="preserve">'</t>
    </r>
    <r>
      <rPr>
        <sz val="11"/>
        <color theme="1"/>
        <rFont val="Noto Sans CJK SC"/>
        <family val="2"/>
      </rPr>
      <t xml:space="preserve">후보 </t>
    </r>
    <r>
      <rPr>
        <sz val="11"/>
        <color theme="1"/>
        <rFont val="Times New Roman"/>
        <family val="1"/>
        <charset val="1"/>
      </rPr>
      <t xml:space="preserve">C'</t>
    </r>
    <r>
      <rPr>
        <sz val="11"/>
        <color theme="1"/>
        <rFont val="Noto Sans CJK SC"/>
        <family val="2"/>
      </rPr>
      <t xml:space="preserve">가 이 보정을 반영한 베타곡선</t>
    </r>
    <r>
      <rPr>
        <sz val="11"/>
        <color theme="1"/>
        <rFont val="Times New Roman"/>
        <family val="1"/>
        <charset val="1"/>
      </rPr>
      <t xml:space="preserve">(α≈0.74, β≈1.41)</t>
    </r>
    <r>
      <rPr>
        <sz val="11"/>
        <color theme="1"/>
        <rFont val="Noto Sans CJK SC"/>
        <family val="2"/>
      </rPr>
      <t xml:space="preserve">이며 현재 권장안임</t>
    </r>
    <r>
      <rPr>
        <sz val="11"/>
        <color theme="1"/>
        <rFont val="Times New Roman"/>
        <family val="1"/>
        <charset val="1"/>
      </rPr>
      <t xml:space="preserve">. 40%/60% </t>
    </r>
    <r>
      <rPr>
        <sz val="11"/>
        <color theme="1"/>
        <rFont val="Noto Sans CJK SC"/>
        <family val="2"/>
      </rPr>
      <t xml:space="preserve">분할비율 자체도 가정이므로 실적 축적 후 조정 필요</t>
    </r>
    <r>
      <rPr>
        <sz val="11"/>
        <color theme="1"/>
        <rFont val="Times New Roman"/>
        <family val="1"/>
        <charset val="1"/>
      </rPr>
      <t xml:space="preserve">(WP_</t>
    </r>
    <r>
      <rPr>
        <sz val="11"/>
        <color theme="1"/>
        <rFont val="Noto Sans CJK SC"/>
        <family val="2"/>
      </rPr>
      <t xml:space="preserve">상세의 </t>
    </r>
    <r>
      <rPr>
        <sz val="11"/>
        <color theme="1"/>
        <rFont val="Times New Roman"/>
        <family val="1"/>
        <charset val="1"/>
      </rPr>
      <t xml:space="preserve">'</t>
    </r>
    <r>
      <rPr>
        <sz val="11"/>
        <color theme="1"/>
        <rFont val="Noto Sans CJK SC"/>
        <family val="2"/>
      </rPr>
      <t xml:space="preserve">최초작성비중</t>
    </r>
    <r>
      <rPr>
        <sz val="11"/>
        <color theme="1"/>
        <rFont val="Times New Roman"/>
        <family val="1"/>
        <charset val="1"/>
      </rPr>
      <t xml:space="preserve">(%)' </t>
    </r>
    <r>
      <rPr>
        <sz val="11"/>
        <color theme="1"/>
        <rFont val="Noto Sans CJK SC"/>
        <family val="2"/>
      </rPr>
      <t xml:space="preserve">열에서 개별 조정 가능</t>
    </r>
    <r>
      <rPr>
        <sz val="11"/>
        <color theme="1"/>
        <rFont val="Times New Roman"/>
        <family val="1"/>
        <charset val="1"/>
      </rPr>
      <t xml:space="preserve">).</t>
    </r>
  </si>
  <si>
    <t xml:space="preserve">③ 실적MM/월별 계획 가정</t>
  </si>
  <si>
    <t xml:space="preserve">총 프로젝트 기간(개월)</t>
  </si>
  <si>
    <t xml:space="preserve">가정 — 실제 프로젝트 일정표 확정 시 교체</t>
  </si>
  <si>
    <t xml:space="preserve">총 투입 규모(MM)</t>
  </si>
  <si>
    <t xml:space="preserve">가정(라운드넘버 placeholder) — 실제 인력계획(요원별 투입기간) 수립 시 교체</t>
  </si>
  <si>
    <t xml:space="preserve">월별 계획MM 배분 방식</t>
  </si>
  <si>
    <t xml:space="preserve">균등배분</t>
  </si>
  <si>
    <t xml:space="preserve">사용자가 언급한 대로 인력이 프로젝트 초반 구성 후 종료까지 유지되는 패턴을 반영해, CA별 총계획MM을 전체 개월 수에 균등 배분(1차 근사). 정교화 시 계획곡선_보정의 마일스톤별 가중치를 월 단위로 환산해 대체 가능.</t>
  </si>
  <si>
    <r>
      <rPr>
        <sz val="10"/>
        <rFont val="Times New Roman"/>
        <family val="1"/>
        <charset val="1"/>
      </rPr>
      <t xml:space="preserve">ACWP-BCWP </t>
    </r>
    <r>
      <rPr>
        <sz val="10"/>
        <rFont val="Noto Sans CJK SC"/>
        <family val="2"/>
      </rPr>
      <t xml:space="preserve">독립성 원칙</t>
    </r>
  </si>
  <si>
    <t xml:space="preserve">실적MM_입력 시트는 진도율과 무관하게 CAM이 실제 투입한 공수만 입력. EVMS_대시보드에서 WP_상세 진도율(BCWP)과 결합해 SPI/CPI 산출(설계문서 5장 원칙).</t>
  </si>
  <si>
    <t xml:space="preserve">④ 자가평가 워크북 계층 확장 가정</t>
  </si>
  <si>
    <t xml:space="preserve">원본 워크북 미변경 원칙</t>
  </si>
  <si>
    <t xml:space="preserve">원본 ASpice_selfAssessment_perMilestones_v1.xlsm은 매크로(VBA) 기반 자동재생성 구조라 임의 구조변경 시 매크로가 깨질 위험이 있어 직접 수정하지 않음. 대신 본 워크북에 'SWE34_계층별_채점보충' 시트를 신설해 SWE.3/SWE.4의 BP를 ASW/BSW 계층별로 각자 채점하도록 함. 원본 워크북의 채점기준표(계획수립10/작성40/동료검토20/보고승인20/PM체크10, 등급S~D)를 그대로 복제해 사용.</t>
  </si>
  <si>
    <t xml:space="preserve">향후 정식 확장 필요</t>
  </si>
  <si>
    <t xml:space="preserve">이 보충 시트는 임시방편이며, 장기적으로는 원본 워크북 자체에 계층(ASW/BSW) 차원을 정식 추가하는 것을 권장(1단계 숙제 항목은 아니었으나 2단계 수행 중 새로 식별된 후속 과제).</t>
  </si>
  <si>
    <t xml:space="preserve">⑤ 노무단가 환산 가정 (MM ↔ 원화 통합)</t>
  </si>
  <si>
    <t xml:space="preserve">노무단가(원/시간)</t>
  </si>
  <si>
    <t xml:space="preserve">시간당 50,000원 가정. 이 셀 값을 바꾸면 EVMS_대시보드의 원화환산 전체가 자동 갱신됨.</t>
  </si>
  <si>
    <r>
      <rPr>
        <sz val="10"/>
        <rFont val="맑은 고딕"/>
        <family val="0"/>
        <charset val="1"/>
      </rPr>
      <t xml:space="preserve">1MM</t>
    </r>
    <r>
      <rPr>
        <sz val="10"/>
        <rFont val="Noto Sans CJK SC"/>
        <family val="2"/>
      </rPr>
      <t xml:space="preserve">당 표준시간</t>
    </r>
    <r>
      <rPr>
        <sz val="10"/>
        <rFont val="맑은 고딕"/>
        <family val="0"/>
        <charset val="1"/>
      </rPr>
      <t xml:space="preserve">(</t>
    </r>
    <r>
      <rPr>
        <sz val="10"/>
        <rFont val="Noto Sans CJK SC"/>
        <family val="2"/>
      </rPr>
      <t xml:space="preserve">시간</t>
    </r>
    <r>
      <rPr>
        <sz val="10"/>
        <rFont val="맑은 고딕"/>
        <family val="0"/>
        <charset val="1"/>
      </rPr>
      <t xml:space="preserve">)</t>
    </r>
  </si>
  <si>
    <t xml:space="preserve">가정(20일×8시간). 실제 표준근로시간 정책에 맞춰 조정 가능(예: 209시간 등).</t>
  </si>
  <si>
    <t xml:space="preserve">노무단가(원/MM, 자동계산)</t>
  </si>
  <si>
    <t xml:space="preserve">노무단가(원/시간) × 1MM당 표준시간. EVMS_대시보드의 모든 원화환산 컬럼이 이 셀을 참조.</t>
  </si>
  <si>
    <t xml:space="preserve">계획·실적 동일 단가 원칙</t>
  </si>
  <si>
    <r>
      <rPr>
        <sz val="10"/>
        <rFont val="맑은 고딕"/>
        <family val="0"/>
        <charset val="1"/>
      </rPr>
      <t xml:space="preserve">BCWS/BCWP(</t>
    </r>
    <r>
      <rPr>
        <sz val="10"/>
        <rFont val="Noto Sans CJK SC"/>
        <family val="2"/>
      </rPr>
      <t xml:space="preserve">계획</t>
    </r>
    <r>
      <rPr>
        <sz val="10"/>
        <rFont val="맑은 고딕"/>
        <family val="0"/>
        <charset val="1"/>
      </rPr>
      <t xml:space="preserve">·</t>
    </r>
    <r>
      <rPr>
        <sz val="10"/>
        <rFont val="Noto Sans CJK SC"/>
        <family val="2"/>
      </rPr>
      <t xml:space="preserve">성과</t>
    </r>
    <r>
      <rPr>
        <sz val="10"/>
        <rFont val="맑은 고딕"/>
        <family val="0"/>
        <charset val="1"/>
      </rPr>
      <t xml:space="preserve">)</t>
    </r>
    <r>
      <rPr>
        <sz val="10"/>
        <rFont val="Noto Sans CJK SC"/>
        <family val="2"/>
      </rPr>
      <t xml:space="preserve">와 </t>
    </r>
    <r>
      <rPr>
        <sz val="10"/>
        <rFont val="맑은 고딕"/>
        <family val="0"/>
        <charset val="1"/>
      </rPr>
      <t xml:space="preserve">ACWP(</t>
    </r>
    <r>
      <rPr>
        <sz val="10"/>
        <rFont val="Noto Sans CJK SC"/>
        <family val="2"/>
      </rPr>
      <t xml:space="preserve">실적</t>
    </r>
    <r>
      <rPr>
        <sz val="10"/>
        <rFont val="맑은 고딕"/>
        <family val="0"/>
        <charset val="1"/>
      </rPr>
      <t xml:space="preserve">) </t>
    </r>
    <r>
      <rPr>
        <sz val="10"/>
        <rFont val="Noto Sans CJK SC"/>
        <family val="2"/>
      </rPr>
      <t xml:space="preserve">환산에 동일한 노무단가를 적용한다</t>
    </r>
    <r>
      <rPr>
        <sz val="10"/>
        <rFont val="맑은 고딕"/>
        <family val="0"/>
        <charset val="1"/>
      </rPr>
      <t xml:space="preserve">. </t>
    </r>
    <r>
      <rPr>
        <sz val="10"/>
        <rFont val="Noto Sans CJK SC"/>
        <family val="2"/>
      </rPr>
      <t xml:space="preserve">단가 자체의 변동</t>
    </r>
    <r>
      <rPr>
        <sz val="10"/>
        <rFont val="맑은 고딕"/>
        <family val="0"/>
        <charset val="1"/>
      </rPr>
      <t xml:space="preserve">(</t>
    </r>
    <r>
      <rPr>
        <sz val="10"/>
        <rFont val="Noto Sans CJK SC"/>
        <family val="2"/>
      </rPr>
      <t xml:space="preserve">임률 차이</t>
    </r>
    <r>
      <rPr>
        <sz val="10"/>
        <rFont val="맑은 고딕"/>
        <family val="0"/>
        <charset val="1"/>
      </rPr>
      <t xml:space="preserve">)</t>
    </r>
    <r>
      <rPr>
        <sz val="10"/>
        <rFont val="Noto Sans CJK SC"/>
        <family val="2"/>
      </rPr>
      <t xml:space="preserve">은 모델링하지 않으므로</t>
    </r>
    <r>
      <rPr>
        <sz val="10"/>
        <rFont val="맑은 고딕"/>
        <family val="0"/>
        <charset val="1"/>
      </rPr>
      <t xml:space="preserve">, MM </t>
    </r>
    <r>
      <rPr>
        <sz val="10"/>
        <rFont val="Noto Sans CJK SC"/>
        <family val="2"/>
      </rPr>
      <t xml:space="preserve">기준 </t>
    </r>
    <r>
      <rPr>
        <sz val="10"/>
        <rFont val="맑은 고딕"/>
        <family val="0"/>
        <charset val="1"/>
      </rPr>
      <t xml:space="preserve">SPI/CPI</t>
    </r>
    <r>
      <rPr>
        <sz val="10"/>
        <rFont val="Noto Sans CJK SC"/>
        <family val="2"/>
      </rPr>
      <t xml:space="preserve">와 원화 기준 </t>
    </r>
    <r>
      <rPr>
        <sz val="10"/>
        <rFont val="맑은 고딕"/>
        <family val="0"/>
        <charset val="1"/>
      </rPr>
      <t xml:space="preserve">SPI/CPI</t>
    </r>
    <r>
      <rPr>
        <sz val="10"/>
        <rFont val="Noto Sans CJK SC"/>
        <family val="2"/>
      </rPr>
      <t xml:space="preserve">는 이론상 완전히 같은 값이 된다 — 원가 통합의 목적은 단가 차이 반영이 아니라 현금성 예산과 합산 가능한 공통 단위를 만드는 것이다</t>
    </r>
    <r>
      <rPr>
        <sz val="10"/>
        <rFont val="맑은 고딕"/>
        <family val="0"/>
        <charset val="1"/>
      </rPr>
      <t xml:space="preserve">.</t>
    </r>
  </si>
  <si>
    <t xml:space="preserve">⑥ 마일스톤 정규화 시점표 (BCWS 계단함수 계산용)</t>
  </si>
  <si>
    <t xml:space="preserve">정규화 시점(%)</t>
  </si>
  <si>
    <r>
      <rPr>
        <sz val="11"/>
        <color theme="1"/>
        <rFont val="Calibri"/>
        <family val="2"/>
        <charset val="1"/>
      </rPr>
      <t xml:space="preserve">11</t>
    </r>
    <r>
      <rPr>
        <sz val="11"/>
        <color theme="1"/>
        <rFont val="Noto Sans CJK SC"/>
        <family val="2"/>
      </rPr>
      <t xml:space="preserve">장</t>
    </r>
    <r>
      <rPr>
        <sz val="11"/>
        <color theme="1"/>
        <rFont val="Calibri"/>
        <family val="2"/>
        <charset val="1"/>
      </rPr>
      <t xml:space="preserve">·12</t>
    </r>
    <r>
      <rPr>
        <sz val="11"/>
        <color theme="1"/>
        <rFont val="Noto Sans CJK SC"/>
        <family val="2"/>
      </rPr>
      <t xml:space="preserve">장에서 계획곡선 산정에 쓰였던 가정을 여기 정식 셀로 옮겼다</t>
    </r>
    <r>
      <rPr>
        <sz val="11"/>
        <color theme="1"/>
        <rFont val="Calibri"/>
        <family val="2"/>
        <charset val="1"/>
      </rPr>
      <t xml:space="preserve">. </t>
    </r>
    <r>
      <rPr>
        <sz val="11"/>
        <color theme="1"/>
        <rFont val="Noto Sans CJK SC"/>
        <family val="2"/>
      </rPr>
      <t xml:space="preserve">지금까지는 계산 스크립트 안에만 있던 숫자라 워크북에서 재사용할 수 없었다</t>
    </r>
    <r>
      <rPr>
        <sz val="11"/>
        <color theme="1"/>
        <rFont val="Calibri"/>
        <family val="2"/>
        <charset val="1"/>
      </rPr>
      <t xml:space="preserve">. </t>
    </r>
    <r>
      <rPr>
        <sz val="11"/>
        <color theme="1"/>
        <rFont val="Noto Sans CJK SC"/>
        <family val="2"/>
      </rPr>
      <t xml:space="preserve">프로젝트예산</t>
    </r>
    <r>
      <rPr>
        <sz val="11"/>
        <color theme="1"/>
        <rFont val="Calibri"/>
        <family val="2"/>
        <charset val="1"/>
      </rPr>
      <t xml:space="preserve">_</t>
    </r>
    <r>
      <rPr>
        <sz val="11"/>
        <color theme="1"/>
        <rFont val="Noto Sans CJK SC"/>
        <family val="2"/>
      </rPr>
      <t xml:space="preserve">현금성의 </t>
    </r>
    <r>
      <rPr>
        <sz val="11"/>
        <color theme="1"/>
        <rFont val="Calibri"/>
        <family val="2"/>
        <charset val="1"/>
      </rPr>
      <t xml:space="preserve">BCWS </t>
    </r>
    <r>
      <rPr>
        <sz val="11"/>
        <color theme="1"/>
        <rFont val="Noto Sans CJK SC"/>
        <family val="2"/>
      </rPr>
      <t xml:space="preserve">계산이 이 표를 참조한다</t>
    </r>
    <r>
      <rPr>
        <sz val="11"/>
        <color theme="1"/>
        <rFont val="Calibri"/>
        <family val="2"/>
        <charset val="1"/>
      </rPr>
      <t xml:space="preserve">. </t>
    </r>
    <r>
      <rPr>
        <sz val="11"/>
        <color theme="1"/>
        <rFont val="Noto Sans CJK SC"/>
        <family val="2"/>
      </rPr>
      <t xml:space="preserve">실제 마일스톤 일정이 확정되면 이 표만 고치면 된다</t>
    </r>
    <r>
      <rPr>
        <sz val="11"/>
        <color theme="1"/>
        <rFont val="Calibri"/>
        <family val="2"/>
        <charset val="1"/>
      </rPr>
      <t xml:space="preserve">.</t>
    </r>
  </si>
  <si>
    <t xml:space="preserve">실측 기준점 (WP개수 누적비율, 마일스톤 시점은 가정)</t>
  </si>
  <si>
    <t xml:space="preserve">정규화 시점(t)</t>
  </si>
  <si>
    <t xml:space="preserve">누적 Discrete WP</t>
  </si>
  <si>
    <t xml:space="preserve">누적비율</t>
  </si>
  <si>
    <t xml:space="preserve">피팅 결과(최소자승)</t>
  </si>
  <si>
    <t xml:space="preserve">후보 A - 산출물개수 실증근사(미보정)</t>
  </si>
  <si>
    <t xml:space="preserve">alpha=</t>
  </si>
  <si>
    <t xml:space="preserve">beta=</t>
  </si>
  <si>
    <t xml:space="preserve">후보 B - 전형적 대칭 S자(대안)</t>
  </si>
  <si>
    <t xml:space="preserve">후보 C - 유지보수 개정 보정 반영(권장)</t>
  </si>
  <si>
    <r>
      <rPr>
        <b val="true"/>
        <sz val="10"/>
        <color rgb="FFFFFFFF"/>
        <rFont val="Times New Roman"/>
        <family val="1"/>
        <charset val="1"/>
      </rPr>
      <t xml:space="preserve">t(</t>
    </r>
    <r>
      <rPr>
        <b val="true"/>
        <sz val="10"/>
        <color rgb="FFFFFFFF"/>
        <rFont val="Noto Sans CJK SC"/>
        <family val="2"/>
      </rPr>
      <t xml:space="preserve">정규화 시점</t>
    </r>
    <r>
      <rPr>
        <b val="true"/>
        <sz val="10"/>
        <color rgb="FFFFFFFF"/>
        <rFont val="Times New Roman"/>
        <family val="1"/>
        <charset val="1"/>
      </rPr>
      <t xml:space="preserve">)</t>
    </r>
  </si>
  <si>
    <t xml:space="preserve">후보A 누적%</t>
  </si>
  <si>
    <t xml:space="preserve">후보B 누적%</t>
  </si>
  <si>
    <t xml:space="preserve">후보C 누적%(권장)</t>
  </si>
  <si>
    <t xml:space="preserve">마일스톤 순서 index (참조용)</t>
  </si>
  <si>
    <r>
      <rPr>
        <b val="true"/>
        <sz val="10"/>
        <color rgb="FFFFFFFF"/>
        <rFont val="Times New Roman"/>
        <family val="1"/>
        <charset val="1"/>
      </rPr>
      <t xml:space="preserve">WP</t>
    </r>
    <r>
      <rPr>
        <b val="true"/>
        <sz val="10"/>
        <color rgb="FFFFFFFF"/>
        <rFont val="Noto Sans CJK SC"/>
        <family val="2"/>
      </rPr>
      <t xml:space="preserve">명</t>
    </r>
  </si>
  <si>
    <t xml:space="preserve">목표마일스톤</t>
  </si>
  <si>
    <t xml:space="preserve">관리방식</t>
  </si>
  <si>
    <t xml:space="preserve">유지보수</t>
  </si>
  <si>
    <t xml:space="preserve">최초작성%</t>
  </si>
  <si>
    <r>
      <rPr>
        <b val="true"/>
        <sz val="10"/>
        <color rgb="FFFFFFFF"/>
        <rFont val="Times New Roman"/>
        <family val="1"/>
        <charset val="1"/>
      </rPr>
      <t xml:space="preserve">M-Car </t>
    </r>
    <r>
      <rPr>
        <b val="true"/>
        <sz val="10"/>
        <color rgb="FFFFFFFF"/>
        <rFont val="Noto Sans CJK SC"/>
        <family val="2"/>
      </rPr>
      <t xml:space="preserve">가중치</t>
    </r>
  </si>
  <si>
    <r>
      <rPr>
        <b val="true"/>
        <sz val="10"/>
        <color rgb="FFFFFFFF"/>
        <rFont val="Times New Roman"/>
        <family val="1"/>
        <charset val="1"/>
      </rPr>
      <t xml:space="preserve">Proto </t>
    </r>
    <r>
      <rPr>
        <b val="true"/>
        <sz val="10"/>
        <color rgb="FFFFFFFF"/>
        <rFont val="Noto Sans CJK SC"/>
        <family val="2"/>
      </rPr>
      <t xml:space="preserve">가중치</t>
    </r>
  </si>
  <si>
    <r>
      <rPr>
        <b val="true"/>
        <sz val="10"/>
        <color rgb="FFFFFFFF"/>
        <rFont val="Times New Roman"/>
        <family val="1"/>
        <charset val="1"/>
      </rPr>
      <t xml:space="preserve">P1 </t>
    </r>
    <r>
      <rPr>
        <b val="true"/>
        <sz val="10"/>
        <color rgb="FFFFFFFF"/>
        <rFont val="Noto Sans CJK SC"/>
        <family val="2"/>
      </rPr>
      <t xml:space="preserve">가중치</t>
    </r>
  </si>
  <si>
    <r>
      <rPr>
        <b val="true"/>
        <sz val="10"/>
        <color rgb="FFFFFFFF"/>
        <rFont val="Times New Roman"/>
        <family val="1"/>
        <charset val="1"/>
      </rPr>
      <t xml:space="preserve">P2 </t>
    </r>
    <r>
      <rPr>
        <b val="true"/>
        <sz val="10"/>
        <color rgb="FFFFFFFF"/>
        <rFont val="Noto Sans CJK SC"/>
        <family val="2"/>
      </rPr>
      <t xml:space="preserve">가중치</t>
    </r>
  </si>
  <si>
    <r>
      <rPr>
        <b val="true"/>
        <sz val="10"/>
        <color rgb="FFFFFFFF"/>
        <rFont val="Times New Roman"/>
        <family val="1"/>
        <charset val="1"/>
      </rPr>
      <t xml:space="preserve">SoP </t>
    </r>
    <r>
      <rPr>
        <b val="true"/>
        <sz val="10"/>
        <color rgb="FFFFFFFF"/>
        <rFont val="Noto Sans CJK SC"/>
        <family val="2"/>
      </rPr>
      <t xml:space="preserve">가중치</t>
    </r>
  </si>
  <si>
    <t xml:space="preserve">마일스톤별 보정 가중치 합계</t>
  </si>
  <si>
    <t xml:space="preserve">누적비율(보정)</t>
  </si>
  <si>
    <t xml:space="preserve">누적비율(원래, 미보정)</t>
  </si>
  <si>
    <t xml:space="preserve">Process</t>
  </si>
  <si>
    <t xml:space="preserve">총계획MM</t>
  </si>
  <si>
    <r>
      <rPr>
        <b val="true"/>
        <sz val="10"/>
        <color rgb="FFFFFFFF"/>
        <rFont val="Times New Roman"/>
        <family val="1"/>
        <charset val="1"/>
      </rPr>
      <t xml:space="preserve">M1
</t>
    </r>
    <r>
      <rPr>
        <b val="true"/>
        <sz val="10"/>
        <color rgb="FFFFFFFF"/>
        <rFont val="Noto Sans CJK SC"/>
        <family val="2"/>
      </rPr>
      <t xml:space="preserve">계획</t>
    </r>
  </si>
  <si>
    <r>
      <rPr>
        <b val="true"/>
        <sz val="10"/>
        <color rgb="FFFFFFFF"/>
        <rFont val="Times New Roman"/>
        <family val="1"/>
        <charset val="1"/>
      </rPr>
      <t xml:space="preserve">M2
</t>
    </r>
    <r>
      <rPr>
        <b val="true"/>
        <sz val="10"/>
        <color rgb="FFFFFFFF"/>
        <rFont val="Noto Sans CJK SC"/>
        <family val="2"/>
      </rPr>
      <t xml:space="preserve">계획</t>
    </r>
  </si>
  <si>
    <r>
      <rPr>
        <b val="true"/>
        <sz val="10"/>
        <color rgb="FFFFFFFF"/>
        <rFont val="Times New Roman"/>
        <family val="1"/>
        <charset val="1"/>
      </rPr>
      <t xml:space="preserve">M3
</t>
    </r>
    <r>
      <rPr>
        <b val="true"/>
        <sz val="10"/>
        <color rgb="FFFFFFFF"/>
        <rFont val="Noto Sans CJK SC"/>
        <family val="2"/>
      </rPr>
      <t xml:space="preserve">계획</t>
    </r>
  </si>
  <si>
    <r>
      <rPr>
        <b val="true"/>
        <sz val="10"/>
        <color rgb="FFFFFFFF"/>
        <rFont val="Times New Roman"/>
        <family val="1"/>
        <charset val="1"/>
      </rPr>
      <t xml:space="preserve">M4
</t>
    </r>
    <r>
      <rPr>
        <b val="true"/>
        <sz val="10"/>
        <color rgb="FFFFFFFF"/>
        <rFont val="Noto Sans CJK SC"/>
        <family val="2"/>
      </rPr>
      <t xml:space="preserve">계획</t>
    </r>
  </si>
  <si>
    <r>
      <rPr>
        <b val="true"/>
        <sz val="10"/>
        <color rgb="FFFFFFFF"/>
        <rFont val="Times New Roman"/>
        <family val="1"/>
        <charset val="1"/>
      </rPr>
      <t xml:space="preserve">M5
</t>
    </r>
    <r>
      <rPr>
        <b val="true"/>
        <sz val="10"/>
        <color rgb="FFFFFFFF"/>
        <rFont val="Noto Sans CJK SC"/>
        <family val="2"/>
      </rPr>
      <t xml:space="preserve">계획</t>
    </r>
  </si>
  <si>
    <r>
      <rPr>
        <b val="true"/>
        <sz val="10"/>
        <color rgb="FFFFFFFF"/>
        <rFont val="Times New Roman"/>
        <family val="1"/>
        <charset val="1"/>
      </rPr>
      <t xml:space="preserve">M6
</t>
    </r>
    <r>
      <rPr>
        <b val="true"/>
        <sz val="10"/>
        <color rgb="FFFFFFFF"/>
        <rFont val="Noto Sans CJK SC"/>
        <family val="2"/>
      </rPr>
      <t xml:space="preserve">계획</t>
    </r>
  </si>
  <si>
    <r>
      <rPr>
        <b val="true"/>
        <sz val="10"/>
        <color rgb="FFFFFFFF"/>
        <rFont val="Times New Roman"/>
        <family val="1"/>
        <charset val="1"/>
      </rPr>
      <t xml:space="preserve">M7
</t>
    </r>
    <r>
      <rPr>
        <b val="true"/>
        <sz val="10"/>
        <color rgb="FFFFFFFF"/>
        <rFont val="Noto Sans CJK SC"/>
        <family val="2"/>
      </rPr>
      <t xml:space="preserve">계획</t>
    </r>
  </si>
  <si>
    <r>
      <rPr>
        <b val="true"/>
        <sz val="10"/>
        <color rgb="FFFFFFFF"/>
        <rFont val="Times New Roman"/>
        <family val="1"/>
        <charset val="1"/>
      </rPr>
      <t xml:space="preserve">M8
</t>
    </r>
    <r>
      <rPr>
        <b val="true"/>
        <sz val="10"/>
        <color rgb="FFFFFFFF"/>
        <rFont val="Noto Sans CJK SC"/>
        <family val="2"/>
      </rPr>
      <t xml:space="preserve">계획</t>
    </r>
  </si>
  <si>
    <r>
      <rPr>
        <b val="true"/>
        <sz val="10"/>
        <color rgb="FFFFFFFF"/>
        <rFont val="Times New Roman"/>
        <family val="1"/>
        <charset val="1"/>
      </rPr>
      <t xml:space="preserve">M9
</t>
    </r>
    <r>
      <rPr>
        <b val="true"/>
        <sz val="10"/>
        <color rgb="FFFFFFFF"/>
        <rFont val="Noto Sans CJK SC"/>
        <family val="2"/>
      </rPr>
      <t xml:space="preserve">계획</t>
    </r>
  </si>
  <si>
    <r>
      <rPr>
        <b val="true"/>
        <sz val="10"/>
        <color rgb="FFFFFFFF"/>
        <rFont val="Times New Roman"/>
        <family val="1"/>
        <charset val="1"/>
      </rPr>
      <t xml:space="preserve">M10
</t>
    </r>
    <r>
      <rPr>
        <b val="true"/>
        <sz val="10"/>
        <color rgb="FFFFFFFF"/>
        <rFont val="Noto Sans CJK SC"/>
        <family val="2"/>
      </rPr>
      <t xml:space="preserve">계획</t>
    </r>
  </si>
  <si>
    <r>
      <rPr>
        <b val="true"/>
        <sz val="10"/>
        <color rgb="FFFFFFFF"/>
        <rFont val="Times New Roman"/>
        <family val="1"/>
        <charset val="1"/>
      </rPr>
      <t xml:space="preserve">M11
</t>
    </r>
    <r>
      <rPr>
        <b val="true"/>
        <sz val="10"/>
        <color rgb="FFFFFFFF"/>
        <rFont val="Noto Sans CJK SC"/>
        <family val="2"/>
      </rPr>
      <t xml:space="preserve">계획</t>
    </r>
  </si>
  <si>
    <r>
      <rPr>
        <b val="true"/>
        <sz val="10"/>
        <color rgb="FFFFFFFF"/>
        <rFont val="Times New Roman"/>
        <family val="1"/>
        <charset val="1"/>
      </rPr>
      <t xml:space="preserve">M12
</t>
    </r>
    <r>
      <rPr>
        <b val="true"/>
        <sz val="10"/>
        <color rgb="FFFFFFFF"/>
        <rFont val="Noto Sans CJK SC"/>
        <family val="2"/>
      </rPr>
      <t xml:space="preserve">계획</t>
    </r>
  </si>
  <si>
    <r>
      <rPr>
        <b val="true"/>
        <sz val="10"/>
        <color rgb="FFFFFFFF"/>
        <rFont val="Times New Roman"/>
        <family val="1"/>
        <charset val="1"/>
      </rPr>
      <t xml:space="preserve">M1
</t>
    </r>
    <r>
      <rPr>
        <b val="true"/>
        <sz val="10"/>
        <color rgb="FFFFFFFF"/>
        <rFont val="Noto Sans CJK SC"/>
        <family val="2"/>
      </rPr>
      <t xml:space="preserve">실적</t>
    </r>
  </si>
  <si>
    <r>
      <rPr>
        <b val="true"/>
        <sz val="10"/>
        <color rgb="FFFFFFFF"/>
        <rFont val="Times New Roman"/>
        <family val="1"/>
        <charset val="1"/>
      </rPr>
      <t xml:space="preserve">M2
</t>
    </r>
    <r>
      <rPr>
        <b val="true"/>
        <sz val="10"/>
        <color rgb="FFFFFFFF"/>
        <rFont val="Noto Sans CJK SC"/>
        <family val="2"/>
      </rPr>
      <t xml:space="preserve">실적</t>
    </r>
  </si>
  <si>
    <r>
      <rPr>
        <b val="true"/>
        <sz val="10"/>
        <color rgb="FFFFFFFF"/>
        <rFont val="Times New Roman"/>
        <family val="1"/>
        <charset val="1"/>
      </rPr>
      <t xml:space="preserve">M3
</t>
    </r>
    <r>
      <rPr>
        <b val="true"/>
        <sz val="10"/>
        <color rgb="FFFFFFFF"/>
        <rFont val="Noto Sans CJK SC"/>
        <family val="2"/>
      </rPr>
      <t xml:space="preserve">실적</t>
    </r>
  </si>
  <si>
    <r>
      <rPr>
        <b val="true"/>
        <sz val="10"/>
        <color rgb="FFFFFFFF"/>
        <rFont val="Times New Roman"/>
        <family val="1"/>
        <charset val="1"/>
      </rPr>
      <t xml:space="preserve">M4
</t>
    </r>
    <r>
      <rPr>
        <b val="true"/>
        <sz val="10"/>
        <color rgb="FFFFFFFF"/>
        <rFont val="Noto Sans CJK SC"/>
        <family val="2"/>
      </rPr>
      <t xml:space="preserve">실적</t>
    </r>
  </si>
  <si>
    <r>
      <rPr>
        <b val="true"/>
        <sz val="10"/>
        <color rgb="FFFFFFFF"/>
        <rFont val="Times New Roman"/>
        <family val="1"/>
        <charset val="1"/>
      </rPr>
      <t xml:space="preserve">M5
</t>
    </r>
    <r>
      <rPr>
        <b val="true"/>
        <sz val="10"/>
        <color rgb="FFFFFFFF"/>
        <rFont val="Noto Sans CJK SC"/>
        <family val="2"/>
      </rPr>
      <t xml:space="preserve">실적</t>
    </r>
  </si>
  <si>
    <r>
      <rPr>
        <b val="true"/>
        <sz val="10"/>
        <color rgb="FFFFFFFF"/>
        <rFont val="Times New Roman"/>
        <family val="1"/>
        <charset val="1"/>
      </rPr>
      <t xml:space="preserve">M6
</t>
    </r>
    <r>
      <rPr>
        <b val="true"/>
        <sz val="10"/>
        <color rgb="FFFFFFFF"/>
        <rFont val="Noto Sans CJK SC"/>
        <family val="2"/>
      </rPr>
      <t xml:space="preserve">실적</t>
    </r>
  </si>
  <si>
    <r>
      <rPr>
        <b val="true"/>
        <sz val="10"/>
        <color rgb="FFFFFFFF"/>
        <rFont val="Times New Roman"/>
        <family val="1"/>
        <charset val="1"/>
      </rPr>
      <t xml:space="preserve">M7
</t>
    </r>
    <r>
      <rPr>
        <b val="true"/>
        <sz val="10"/>
        <color rgb="FFFFFFFF"/>
        <rFont val="Noto Sans CJK SC"/>
        <family val="2"/>
      </rPr>
      <t xml:space="preserve">실적</t>
    </r>
  </si>
  <si>
    <r>
      <rPr>
        <b val="true"/>
        <sz val="10"/>
        <color rgb="FFFFFFFF"/>
        <rFont val="Times New Roman"/>
        <family val="1"/>
        <charset val="1"/>
      </rPr>
      <t xml:space="preserve">M8
</t>
    </r>
    <r>
      <rPr>
        <b val="true"/>
        <sz val="10"/>
        <color rgb="FFFFFFFF"/>
        <rFont val="Noto Sans CJK SC"/>
        <family val="2"/>
      </rPr>
      <t xml:space="preserve">실적</t>
    </r>
  </si>
  <si>
    <r>
      <rPr>
        <b val="true"/>
        <sz val="10"/>
        <color rgb="FFFFFFFF"/>
        <rFont val="Times New Roman"/>
        <family val="1"/>
        <charset val="1"/>
      </rPr>
      <t xml:space="preserve">M9
</t>
    </r>
    <r>
      <rPr>
        <b val="true"/>
        <sz val="10"/>
        <color rgb="FFFFFFFF"/>
        <rFont val="Noto Sans CJK SC"/>
        <family val="2"/>
      </rPr>
      <t xml:space="preserve">실적</t>
    </r>
  </si>
  <si>
    <r>
      <rPr>
        <b val="true"/>
        <sz val="10"/>
        <color rgb="FFFFFFFF"/>
        <rFont val="Times New Roman"/>
        <family val="1"/>
        <charset val="1"/>
      </rPr>
      <t xml:space="preserve">M10
</t>
    </r>
    <r>
      <rPr>
        <b val="true"/>
        <sz val="10"/>
        <color rgb="FFFFFFFF"/>
        <rFont val="Noto Sans CJK SC"/>
        <family val="2"/>
      </rPr>
      <t xml:space="preserve">실적</t>
    </r>
  </si>
  <si>
    <r>
      <rPr>
        <b val="true"/>
        <sz val="10"/>
        <color rgb="FFFFFFFF"/>
        <rFont val="Times New Roman"/>
        <family val="1"/>
        <charset val="1"/>
      </rPr>
      <t xml:space="preserve">M11
</t>
    </r>
    <r>
      <rPr>
        <b val="true"/>
        <sz val="10"/>
        <color rgb="FFFFFFFF"/>
        <rFont val="Noto Sans CJK SC"/>
        <family val="2"/>
      </rPr>
      <t xml:space="preserve">실적</t>
    </r>
  </si>
  <si>
    <r>
      <rPr>
        <b val="true"/>
        <sz val="10"/>
        <color rgb="FFFFFFFF"/>
        <rFont val="Times New Roman"/>
        <family val="1"/>
        <charset val="1"/>
      </rPr>
      <t xml:space="preserve">M12
</t>
    </r>
    <r>
      <rPr>
        <b val="true"/>
        <sz val="10"/>
        <color rgb="FFFFFFFF"/>
        <rFont val="Noto Sans CJK SC"/>
        <family val="2"/>
      </rPr>
      <t xml:space="preserve">실적</t>
    </r>
  </si>
  <si>
    <t xml:space="preserve">실적합계</t>
  </si>
  <si>
    <t xml:space="preserve">계획대비(%)</t>
  </si>
  <si>
    <t xml:space="preserve">전체 합계</t>
  </si>
  <si>
    <r>
      <rPr>
        <b val="true"/>
        <sz val="10"/>
        <color rgb="FFFFFFFF"/>
        <rFont val="Times New Roman"/>
        <family val="1"/>
        <charset val="1"/>
      </rPr>
      <t xml:space="preserve">BAC(</t>
    </r>
    <r>
      <rPr>
        <b val="true"/>
        <sz val="10"/>
        <color rgb="FFFFFFFF"/>
        <rFont val="Noto Sans CJK SC"/>
        <family val="2"/>
      </rPr>
      <t xml:space="preserve">총계획</t>
    </r>
    <r>
      <rPr>
        <b val="true"/>
        <sz val="10"/>
        <color rgb="FFFFFFFF"/>
        <rFont val="Times New Roman"/>
        <family val="1"/>
        <charset val="1"/>
      </rPr>
      <t xml:space="preserve">MM)</t>
    </r>
  </si>
  <si>
    <r>
      <rPr>
        <b val="true"/>
        <sz val="10"/>
        <color rgb="FFFFFFFF"/>
        <rFont val="Times New Roman"/>
        <family val="1"/>
        <charset val="1"/>
      </rPr>
      <t xml:space="preserve">BCWS(</t>
    </r>
    <r>
      <rPr>
        <b val="true"/>
        <sz val="10"/>
        <color rgb="FFFFFFFF"/>
        <rFont val="Noto Sans CJK SC"/>
        <family val="2"/>
      </rPr>
      <t xml:space="preserve">계획누적</t>
    </r>
    <r>
      <rPr>
        <b val="true"/>
        <sz val="10"/>
        <color rgb="FFFFFFFF"/>
        <rFont val="Times New Roman"/>
        <family val="1"/>
        <charset val="1"/>
      </rPr>
      <t xml:space="preserve">)</t>
    </r>
  </si>
  <si>
    <r>
      <rPr>
        <b val="true"/>
        <sz val="10"/>
        <color rgb="FFFFFFFF"/>
        <rFont val="Times New Roman"/>
        <family val="1"/>
        <charset val="1"/>
      </rPr>
      <t xml:space="preserve">BCWP(</t>
    </r>
    <r>
      <rPr>
        <b val="true"/>
        <sz val="10"/>
        <color rgb="FFFFFFFF"/>
        <rFont val="Noto Sans CJK SC"/>
        <family val="2"/>
      </rPr>
      <t xml:space="preserve">성과</t>
    </r>
    <r>
      <rPr>
        <b val="true"/>
        <sz val="10"/>
        <color rgb="FFFFFFFF"/>
        <rFont val="Times New Roman"/>
        <family val="1"/>
        <charset val="1"/>
      </rPr>
      <t xml:space="preserve">, </t>
    </r>
    <r>
      <rPr>
        <b val="true"/>
        <sz val="10"/>
        <color rgb="FFFFFFFF"/>
        <rFont val="Noto Sans CJK SC"/>
        <family val="2"/>
      </rPr>
      <t xml:space="preserve">진도율기반</t>
    </r>
    <r>
      <rPr>
        <b val="true"/>
        <sz val="10"/>
        <color rgb="FFFFFFFF"/>
        <rFont val="Times New Roman"/>
        <family val="1"/>
        <charset val="1"/>
      </rPr>
      <t xml:space="preserve">)</t>
    </r>
  </si>
  <si>
    <r>
      <rPr>
        <b val="true"/>
        <sz val="10"/>
        <color rgb="FFFFFFFF"/>
        <rFont val="Times New Roman"/>
        <family val="1"/>
        <charset val="1"/>
      </rPr>
      <t xml:space="preserve">ACWP(</t>
    </r>
    <r>
      <rPr>
        <b val="true"/>
        <sz val="10"/>
        <color rgb="FFFFFFFF"/>
        <rFont val="Noto Sans CJK SC"/>
        <family val="2"/>
      </rPr>
      <t xml:space="preserve">실적누적</t>
    </r>
    <r>
      <rPr>
        <b val="true"/>
        <sz val="10"/>
        <color rgb="FFFFFFFF"/>
        <rFont val="Times New Roman"/>
        <family val="1"/>
        <charset val="1"/>
      </rPr>
      <t xml:space="preserve">)</t>
    </r>
  </si>
  <si>
    <t xml:space="preserve">현재 시점(경과 개월)</t>
  </si>
  <si>
    <t xml:space="preserve">정렬키(동점처리용)</t>
  </si>
  <si>
    <r>
      <rPr>
        <b val="true"/>
        <sz val="10"/>
        <color rgb="FFFFFFFF"/>
        <rFont val="맑은 고딕"/>
        <family val="0"/>
        <charset val="1"/>
      </rPr>
      <t xml:space="preserve">BAC(</t>
    </r>
    <r>
      <rPr>
        <b val="true"/>
        <sz val="10"/>
        <color rgb="FFFFFFFF"/>
        <rFont val="Noto Sans CJK SC"/>
        <family val="2"/>
      </rPr>
      <t xml:space="preserve">원</t>
    </r>
    <r>
      <rPr>
        <b val="true"/>
        <sz val="10"/>
        <color rgb="FFFFFFFF"/>
        <rFont val="맑은 고딕"/>
        <family val="0"/>
        <charset val="1"/>
      </rPr>
      <t xml:space="preserve">)</t>
    </r>
  </si>
  <si>
    <r>
      <rPr>
        <b val="true"/>
        <sz val="10"/>
        <color rgb="FFFFFFFF"/>
        <rFont val="맑은 고딕"/>
        <family val="0"/>
        <charset val="1"/>
      </rPr>
      <t xml:space="preserve">BCWS(</t>
    </r>
    <r>
      <rPr>
        <b val="true"/>
        <sz val="10"/>
        <color rgb="FFFFFFFF"/>
        <rFont val="Noto Sans CJK SC"/>
        <family val="2"/>
      </rPr>
      <t xml:space="preserve">원</t>
    </r>
    <r>
      <rPr>
        <b val="true"/>
        <sz val="10"/>
        <color rgb="FFFFFFFF"/>
        <rFont val="맑은 고딕"/>
        <family val="0"/>
        <charset val="1"/>
      </rPr>
      <t xml:space="preserve">)</t>
    </r>
  </si>
  <si>
    <r>
      <rPr>
        <b val="true"/>
        <sz val="10"/>
        <color rgb="FFFFFFFF"/>
        <rFont val="맑은 고딕"/>
        <family val="0"/>
        <charset val="1"/>
      </rPr>
      <t xml:space="preserve">BCWP(</t>
    </r>
    <r>
      <rPr>
        <b val="true"/>
        <sz val="10"/>
        <color rgb="FFFFFFFF"/>
        <rFont val="Noto Sans CJK SC"/>
        <family val="2"/>
      </rPr>
      <t xml:space="preserve">원</t>
    </r>
    <r>
      <rPr>
        <b val="true"/>
        <sz val="10"/>
        <color rgb="FFFFFFFF"/>
        <rFont val="맑은 고딕"/>
        <family val="0"/>
        <charset val="1"/>
      </rPr>
      <t xml:space="preserve">)</t>
    </r>
  </si>
  <si>
    <r>
      <rPr>
        <b val="true"/>
        <sz val="10"/>
        <color rgb="FFFFFFFF"/>
        <rFont val="맑은 고딕"/>
        <family val="0"/>
        <charset val="1"/>
      </rPr>
      <t xml:space="preserve">ACWP(</t>
    </r>
    <r>
      <rPr>
        <b val="true"/>
        <sz val="10"/>
        <color rgb="FFFFFFFF"/>
        <rFont val="Noto Sans CJK SC"/>
        <family val="2"/>
      </rPr>
      <t xml:space="preserve">원</t>
    </r>
    <r>
      <rPr>
        <b val="true"/>
        <sz val="10"/>
        <color rgb="FFFFFFFF"/>
        <rFont val="맑은 고딕"/>
        <family val="0"/>
        <charset val="1"/>
      </rPr>
      <t xml:space="preserve">)</t>
    </r>
  </si>
  <si>
    <t xml:space="preserve">← 현재 몇 개월째인지 입력(1~12)</t>
  </si>
  <si>
    <t xml:space="preserve">프로젝트 전체</t>
  </si>
  <si>
    <t xml:space="preserve">계층</t>
  </si>
  <si>
    <t xml:space="preserve">산출물명</t>
  </si>
  <si>
    <t xml:space="preserve">계획수립
(0/5/10)</t>
  </si>
  <si>
    <t xml:space="preserve">작성
(0/10/20/30/40)</t>
  </si>
  <si>
    <t xml:space="preserve">동료검토
(0/10/20)</t>
  </si>
  <si>
    <t xml:space="preserve">보고/승인
(0/10/20)</t>
  </si>
  <si>
    <r>
      <rPr>
        <b val="true"/>
        <sz val="10"/>
        <color rgb="FFFFFFFF"/>
        <rFont val="Times New Roman"/>
        <family val="1"/>
        <charset val="1"/>
      </rPr>
      <t xml:space="preserve">PM</t>
    </r>
    <r>
      <rPr>
        <b val="true"/>
        <sz val="10"/>
        <color rgb="FFFFFFFF"/>
        <rFont val="Noto Sans CJK SC"/>
        <family val="2"/>
      </rPr>
      <t xml:space="preserve">체크
</t>
    </r>
    <r>
      <rPr>
        <b val="true"/>
        <sz val="10"/>
        <color rgb="FFFFFFFF"/>
        <rFont val="Times New Roman"/>
        <family val="1"/>
        <charset val="1"/>
      </rPr>
      <t xml:space="preserve">(0/5/10)</t>
    </r>
  </si>
  <si>
    <t xml:space="preserve">등급</t>
  </si>
  <si>
    <t xml:space="preserve">등급 변환 기준(원본 워크북과 동일)</t>
  </si>
  <si>
    <t xml:space="preserve">SWE.3</t>
  </si>
  <si>
    <t xml:space="preserve">S</t>
  </si>
  <si>
    <t xml:space="preserve">95~100</t>
  </si>
  <si>
    <t xml:space="preserve">전 단계 사실상 완료, 게이트 리스크 없음</t>
  </si>
  <si>
    <t xml:space="preserve">A</t>
  </si>
  <si>
    <t xml:space="preserve">80~94</t>
  </si>
  <si>
    <t xml:space="preserve">산출물 완성·검토·승인 완료, 경미한 절차 누락</t>
  </si>
  <si>
    <t xml:space="preserve">B</t>
  </si>
  <si>
    <t xml:space="preserve">60~79</t>
  </si>
  <si>
    <t xml:space="preserve">작성은 완료되었으나 검토/승인 등 절차 진행 중</t>
  </si>
  <si>
    <t xml:space="preserve">C</t>
  </si>
  <si>
    <t xml:space="preserve">35~59</t>
  </si>
  <si>
    <t xml:space="preserve">초안 수준, 주요 절차(검토·승인) 미흡</t>
  </si>
  <si>
    <t xml:space="preserve">D</t>
  </si>
  <si>
    <t xml:space="preserve">0~34</t>
  </si>
  <si>
    <t xml:space="preserve">사실상 미착수/미작성</t>
  </si>
  <si>
    <t xml:space="preserve">SWE.4</t>
  </si>
  <si>
    <t xml:space="preserve">월</t>
  </si>
  <si>
    <t xml:space="preserve">검토대상 Discrete WP 총수</t>
  </si>
  <si>
    <t xml:space="preserve">표본추출 목표</t>
  </si>
  <si>
    <t xml:space="preserve">실제재검토 개수</t>
  </si>
  <si>
    <t xml:space="preserve">편차발견 건수</t>
  </si>
  <si>
    <t xml:space="preserve">편차내용 요약</t>
  </si>
  <si>
    <t xml:space="preserve">검토자</t>
  </si>
  <si>
    <t xml:space="preserve">조치사항</t>
  </si>
  <si>
    <t xml:space="preserve">M1</t>
  </si>
  <si>
    <t xml:space="preserve">경미한 근거자료 누락</t>
  </si>
  <si>
    <r>
      <rPr>
        <sz val="9"/>
        <rFont val="Noto Sans CJK SC"/>
        <family val="2"/>
      </rPr>
      <t xml:space="preserve">박</t>
    </r>
    <r>
      <rPr>
        <sz val="9"/>
        <rFont val="Times New Roman"/>
        <family val="1"/>
        <charset val="1"/>
      </rPr>
      <t xml:space="preserve">OO(PM)</t>
    </r>
  </si>
  <si>
    <t xml:space="preserve">M2</t>
  </si>
  <si>
    <t xml:space="preserve">요구사항 변경 관련 과대평가 최초 발견</t>
  </si>
  <si>
    <t xml:space="preserve">M3</t>
  </si>
  <si>
    <r>
      <rPr>
        <sz val="9"/>
        <rFont val="Times New Roman"/>
        <family val="1"/>
        <charset val="1"/>
      </rPr>
      <t xml:space="preserve">SYS.2 </t>
    </r>
    <r>
      <rPr>
        <sz val="9"/>
        <rFont val="Noto Sans CJK SC"/>
        <family val="2"/>
      </rPr>
      <t xml:space="preserve">과대평가</t>
    </r>
  </si>
  <si>
    <t xml:space="preserve">요구사항 변경 편차 최초 확인</t>
  </si>
  <si>
    <t xml:space="preserve">M4</t>
  </si>
  <si>
    <r>
      <rPr>
        <sz val="9"/>
        <rFont val="Times New Roman"/>
        <family val="1"/>
        <charset val="1"/>
      </rPr>
      <t xml:space="preserve">SWE.1 </t>
    </r>
    <r>
      <rPr>
        <sz val="9"/>
        <rFont val="Noto Sans CJK SC"/>
        <family val="2"/>
      </rPr>
      <t xml:space="preserve">재작업 반영 누락</t>
    </r>
  </si>
  <si>
    <t xml:space="preserve">M5</t>
  </si>
  <si>
    <r>
      <rPr>
        <sz val="9"/>
        <rFont val="Times New Roman"/>
        <family val="1"/>
        <charset val="1"/>
      </rPr>
      <t xml:space="preserve">SWE.3-ASW </t>
    </r>
    <r>
      <rPr>
        <sz val="9"/>
        <rFont val="Noto Sans CJK SC"/>
        <family val="2"/>
      </rPr>
      <t xml:space="preserve">착수 지연 미반영</t>
    </r>
  </si>
  <si>
    <r>
      <rPr>
        <sz val="9"/>
        <rFont val="Times New Roman"/>
        <family val="1"/>
        <charset val="1"/>
      </rPr>
      <t xml:space="preserve">SYS.2/SWE.1 </t>
    </r>
    <r>
      <rPr>
        <sz val="9"/>
        <rFont val="Noto Sans CJK SC"/>
        <family val="2"/>
      </rPr>
      <t xml:space="preserve">과대평가 반복</t>
    </r>
  </si>
  <si>
    <t xml:space="preserve">M6</t>
  </si>
  <si>
    <r>
      <rPr>
        <sz val="9"/>
        <rFont val="Times New Roman"/>
        <family val="1"/>
        <charset val="1"/>
      </rPr>
      <t xml:space="preserve">SUP.10 </t>
    </r>
    <r>
      <rPr>
        <sz val="9"/>
        <rFont val="Noto Sans CJK SC"/>
        <family val="2"/>
      </rPr>
      <t xml:space="preserve">처리현황 보고 지연</t>
    </r>
  </si>
  <si>
    <t xml:space="preserve">M7</t>
  </si>
  <si>
    <r>
      <rPr>
        <sz val="9"/>
        <rFont val="Noto Sans CJK SC"/>
        <family val="2"/>
      </rPr>
      <t xml:space="preserve">반복 편차</t>
    </r>
    <r>
      <rPr>
        <sz val="9"/>
        <rFont val="Times New Roman"/>
        <family val="1"/>
        <charset val="1"/>
      </rPr>
      <t xml:space="preserve">, </t>
    </r>
    <r>
      <rPr>
        <sz val="9"/>
        <rFont val="Noto Sans CJK SC"/>
        <family val="2"/>
      </rPr>
      <t xml:space="preserve">재기준선 채택</t>
    </r>
  </si>
  <si>
    <r>
      <rPr>
        <sz val="9"/>
        <rFont val="Times New Roman"/>
        <family val="1"/>
        <charset val="1"/>
      </rPr>
      <t xml:space="preserve">SUP.10 </t>
    </r>
    <r>
      <rPr>
        <sz val="9"/>
        <rFont val="Noto Sans CJK SC"/>
        <family val="2"/>
      </rPr>
      <t xml:space="preserve">처리 지연 심화</t>
    </r>
    <r>
      <rPr>
        <sz val="9"/>
        <rFont val="Times New Roman"/>
        <family val="1"/>
        <charset val="1"/>
      </rPr>
      <t xml:space="preserve">, </t>
    </r>
    <r>
      <rPr>
        <sz val="9"/>
        <rFont val="Noto Sans CJK SC"/>
        <family val="2"/>
      </rPr>
      <t xml:space="preserve">재기준선 검토</t>
    </r>
  </si>
  <si>
    <t xml:space="preserve">M8</t>
  </si>
  <si>
    <t xml:space="preserve">M9</t>
  </si>
  <si>
    <t xml:space="preserve">M10</t>
  </si>
  <si>
    <t xml:space="preserve">M11</t>
  </si>
  <si>
    <t xml:space="preserve">M12</t>
  </si>
  <si>
    <t xml:space="preserve">표본추출 기준개수(자동계산)</t>
  </si>
  <si>
    <t xml:space="preserve">① 채점 원칙</t>
  </si>
  <si>
    <t xml:space="preserve">채점은 원본 자가평가 워크북(및 SWE34_계층별_채점보충)의 5개 기준(계획수립/작성/동료검토/보고승인/PM체크)을 그대로 적용한다.</t>
  </si>
  <si>
    <t xml:space="preserve">숫자만 적지 않고, 반드시 근거자료(리뷰 회의록, 이슈트래커 상태, 산출물 버전이력 등)를 WP_상세의 '근거자료' 열에 함께 기록한다.</t>
  </si>
  <si>
    <t xml:space="preserve">채점자 본인이 스스로 판단하기 애매한 경우 낮은 점수 쪽으로 보수적으로 채점한다(과대평가 방지).</t>
  </si>
  <si>
    <t xml:space="preserve">② 월간 CAM/PM 표본재검토 절차 (전체 Discrete WP의 30%)</t>
  </si>
  <si>
    <t xml:space="preserve">매월 CAM이 자체 채점을 완료하면, PM(또는 지정된 검토자)이 전체 Discrete WP 중 무작위 30%를 표본 추출해 재검토한다.</t>
  </si>
  <si>
    <t xml:space="preserve">재검토 결과 자체채점과 5점 이상 차이가 나는 항목은 '편차'로 기록하고, 사유를 확인해 필요시 점수를 조정한다.</t>
  </si>
  <si>
    <t xml:space="preserve">누적된 편차 데이터는 향후 채점 신뢰도 개선 및 계획곡선 보정(설계문서 12장)의 근거로 활용한다.</t>
  </si>
  <si>
    <t xml:space="preserve">변경ID</t>
  </si>
  <si>
    <t xml:space="preserve">신청일</t>
  </si>
  <si>
    <t xml:space="preserve">신청자(CAM)</t>
  </si>
  <si>
    <t xml:space="preserve">변경 사유</t>
  </si>
  <si>
    <t xml:space="preserve">영향 CA</t>
  </si>
  <si>
    <t xml:space="preserve">영향범위
(일정/원가/스코프)</t>
  </si>
  <si>
    <t xml:space="preserve">승인자</t>
  </si>
  <si>
    <t xml:space="preserve">승인일</t>
  </si>
  <si>
    <t xml:space="preserve">누적 재기준선 횟수</t>
  </si>
  <si>
    <t xml:space="preserve">RB-001</t>
  </si>
  <si>
    <t xml:space="preserve">2026-XX-XX</t>
  </si>
  <si>
    <r>
      <rPr>
        <sz val="9"/>
        <rFont val="Noto Sans CJK SC"/>
        <family val="2"/>
      </rPr>
      <t xml:space="preserve">고객 요구사항 변경요청</t>
    </r>
    <r>
      <rPr>
        <sz val="9"/>
        <rFont val="Times New Roman"/>
        <family val="1"/>
        <charset val="1"/>
      </rPr>
      <t xml:space="preserve">(CR) </t>
    </r>
    <r>
      <rPr>
        <sz val="9"/>
        <rFont val="Noto Sans CJK SC"/>
        <family val="2"/>
      </rPr>
      <t xml:space="preserve">누적으로 </t>
    </r>
    <r>
      <rPr>
        <sz val="9"/>
        <rFont val="Times New Roman"/>
        <family val="1"/>
        <charset val="1"/>
      </rPr>
      <t xml:space="preserve">SYS.2/SWE.1 </t>
    </r>
    <r>
      <rPr>
        <sz val="9"/>
        <rFont val="Noto Sans CJK SC"/>
        <family val="2"/>
      </rPr>
      <t xml:space="preserve">목표일정 </t>
    </r>
    <r>
      <rPr>
        <sz val="9"/>
        <rFont val="Times New Roman"/>
        <family val="1"/>
        <charset val="1"/>
      </rPr>
      <t xml:space="preserve">3</t>
    </r>
    <r>
      <rPr>
        <sz val="9"/>
        <rFont val="Noto Sans CJK SC"/>
        <family val="2"/>
      </rPr>
      <t xml:space="preserve">주 순연</t>
    </r>
    <r>
      <rPr>
        <sz val="9"/>
        <rFont val="Times New Roman"/>
        <family val="1"/>
        <charset val="1"/>
      </rPr>
      <t xml:space="preserve">.</t>
    </r>
  </si>
  <si>
    <t xml:space="preserve">SYS.2, SWE.1, SWE.3-ASW, SWE.4-ASW, SUP.10</t>
  </si>
  <si>
    <r>
      <rPr>
        <sz val="9"/>
        <rFont val="Noto Sans CJK SC"/>
        <family val="2"/>
      </rPr>
      <t xml:space="preserve">일정</t>
    </r>
    <r>
      <rPr>
        <sz val="9"/>
        <rFont val="Times New Roman"/>
        <family val="1"/>
        <charset val="1"/>
      </rPr>
      <t xml:space="preserve">+</t>
    </r>
    <r>
      <rPr>
        <sz val="9"/>
        <rFont val="Noto Sans CJK SC"/>
        <family val="2"/>
      </rPr>
      <t xml:space="preserve">원가</t>
    </r>
  </si>
  <si>
    <r>
      <rPr>
        <sz val="9"/>
        <rFont val="Noto Sans CJK SC"/>
        <family val="2"/>
      </rPr>
      <t xml:space="preserve">김</t>
    </r>
    <r>
      <rPr>
        <sz val="9"/>
        <rFont val="Times New Roman"/>
        <family val="1"/>
        <charset val="1"/>
      </rPr>
      <t xml:space="preserve">XX(</t>
    </r>
    <r>
      <rPr>
        <sz val="9"/>
        <rFont val="Noto Sans CJK SC"/>
        <family val="2"/>
      </rPr>
      <t xml:space="preserve">팀장</t>
    </r>
    <r>
      <rPr>
        <sz val="9"/>
        <rFont val="Times New Roman"/>
        <family val="1"/>
        <charset val="1"/>
      </rPr>
      <t xml:space="preserve">)</t>
    </r>
  </si>
  <si>
    <r>
      <rPr>
        <sz val="9"/>
        <rFont val="Times New Roman"/>
        <family val="1"/>
        <charset val="1"/>
      </rPr>
      <t xml:space="preserve">SUP.10 </t>
    </r>
    <r>
      <rPr>
        <sz val="9"/>
        <rFont val="Noto Sans CJK SC"/>
        <family val="2"/>
      </rPr>
      <t xml:space="preserve">인원 </t>
    </r>
    <r>
      <rPr>
        <sz val="9"/>
        <rFont val="Times New Roman"/>
        <family val="1"/>
        <charset val="1"/>
      </rPr>
      <t xml:space="preserve">1</t>
    </r>
    <r>
      <rPr>
        <sz val="9"/>
        <rFont val="Noto Sans CJK SC"/>
        <family val="2"/>
      </rPr>
      <t xml:space="preserve">명 추가 투입 결정과 함께 승인</t>
    </r>
  </si>
  <si>
    <t xml:space="preserve">RB-002</t>
  </si>
  <si>
    <t xml:space="preserve">RB-003</t>
  </si>
  <si>
    <t xml:space="preserve">RB-004</t>
  </si>
  <si>
    <t xml:space="preserve">RB-005</t>
  </si>
  <si>
    <t xml:space="preserve">RB-006</t>
  </si>
  <si>
    <t xml:space="preserve">RB-007</t>
  </si>
  <si>
    <t xml:space="preserve">RB-008</t>
  </si>
  <si>
    <t xml:space="preserve">RB-009</t>
  </si>
  <si>
    <t xml:space="preserve">RB-010</t>
  </si>
  <si>
    <t xml:space="preserve">체크 항목</t>
  </si>
  <si>
    <t xml:space="preserve">가중치(%)</t>
  </si>
  <si>
    <t xml:space="preserve">일자</t>
  </si>
  <si>
    <t xml:space="preserve">빌드 완료</t>
  </si>
  <si>
    <r>
      <rPr>
        <sz val="10"/>
        <rFont val="Noto Sans CJK SC"/>
        <family val="2"/>
      </rPr>
      <t xml:space="preserve">김</t>
    </r>
    <r>
      <rPr>
        <sz val="10"/>
        <rFont val="Times New Roman"/>
        <family val="1"/>
        <charset val="1"/>
      </rPr>
      <t xml:space="preserve">OO</t>
    </r>
  </si>
  <si>
    <t xml:space="preserve">요구사항 변경 반복으로 빌드 착수 지연</t>
  </si>
  <si>
    <t xml:space="preserve">회귀시험 통과</t>
  </si>
  <si>
    <t xml:space="preserve">미완료</t>
  </si>
  <si>
    <t xml:space="preserve">배포 패키지 준비/승인</t>
  </si>
  <si>
    <r>
      <rPr>
        <sz val="10"/>
        <rFont val="Times New Roman"/>
        <family val="1"/>
        <charset val="1"/>
      </rPr>
      <t xml:space="preserve">EVMS </t>
    </r>
    <r>
      <rPr>
        <sz val="10"/>
        <rFont val="Noto Sans CJK SC"/>
        <family val="2"/>
      </rPr>
      <t xml:space="preserve">정합성 점검 완료 </t>
    </r>
    <r>
      <rPr>
        <sz val="10"/>
        <rFont val="Times New Roman"/>
        <family val="1"/>
        <charset val="1"/>
      </rPr>
      <t xml:space="preserve">(</t>
    </r>
    <r>
      <rPr>
        <sz val="10"/>
        <rFont val="Noto Sans CJK SC"/>
        <family val="2"/>
      </rPr>
      <t xml:space="preserve">신규</t>
    </r>
    <r>
      <rPr>
        <sz val="10"/>
        <rFont val="Times New Roman"/>
        <family val="1"/>
        <charset val="1"/>
      </rPr>
      <t xml:space="preserve">)</t>
    </r>
  </si>
  <si>
    <r>
      <rPr>
        <sz val="10"/>
        <rFont val="Noto Sans CJK SC"/>
        <family val="2"/>
      </rPr>
      <t xml:space="preserve">박</t>
    </r>
    <r>
      <rPr>
        <sz val="10"/>
        <rFont val="Times New Roman"/>
        <family val="1"/>
        <charset val="1"/>
      </rPr>
      <t xml:space="preserve">OO(PM)</t>
    </r>
  </si>
  <si>
    <r>
      <rPr>
        <sz val="10"/>
        <rFont val="Times New Roman"/>
        <family val="1"/>
        <charset val="1"/>
      </rPr>
      <t xml:space="preserve">SYS.2/SWE.1 </t>
    </r>
    <r>
      <rPr>
        <sz val="10"/>
        <rFont val="Noto Sans CJK SC"/>
        <family val="2"/>
      </rPr>
      <t xml:space="preserve">지연 지속 모니터링 중</t>
    </r>
  </si>
  <si>
    <t xml:space="preserve">고객 승인 서명</t>
  </si>
  <si>
    <t xml:space="preserve">예산 항목명</t>
  </si>
  <si>
    <t xml:space="preserve">연결 CA</t>
  </si>
  <si>
    <t xml:space="preserve">계획금액(원, BAC)</t>
  </si>
  <si>
    <t xml:space="preserve">집행 예정 마일스톤</t>
  </si>
  <si>
    <t xml:space="preserve">진도율(%, CA평가점수 연동)</t>
  </si>
  <si>
    <t xml:space="preserve">실적집행액(원, ACWP)</t>
  </si>
  <si>
    <r>
      <rPr>
        <b val="true"/>
        <sz val="10"/>
        <color rgb="FFFFFFFF"/>
        <rFont val="맑은 고딕"/>
        <family val="0"/>
        <charset val="1"/>
      </rPr>
      <t xml:space="preserve">CV(</t>
    </r>
    <r>
      <rPr>
        <b val="true"/>
        <sz val="10"/>
        <color rgb="FFFFFFFF"/>
        <rFont val="Noto Sans CJK SC"/>
        <family val="2"/>
      </rPr>
      <t xml:space="preserve">원</t>
    </r>
    <r>
      <rPr>
        <b val="true"/>
        <sz val="10"/>
        <color rgb="FFFFFFFF"/>
        <rFont val="맑은 고딕"/>
        <family val="0"/>
        <charset val="1"/>
      </rPr>
      <t xml:space="preserve">)</t>
    </r>
  </si>
  <si>
    <t xml:space="preserve">집행률(%)</t>
  </si>
  <si>
    <r>
      <rPr>
        <b val="true"/>
        <sz val="10"/>
        <color rgb="FFFFFFFF"/>
        <rFont val="맑은 고딕"/>
        <family val="0"/>
        <charset val="1"/>
      </rPr>
      <t xml:space="preserve">SV(</t>
    </r>
    <r>
      <rPr>
        <b val="true"/>
        <sz val="10"/>
        <color rgb="FFFFFFFF"/>
        <rFont val="Noto Sans CJK SC"/>
        <family val="2"/>
      </rPr>
      <t xml:space="preserve">원</t>
    </r>
    <r>
      <rPr>
        <b val="true"/>
        <sz val="10"/>
        <color rgb="FFFFFFFF"/>
        <rFont val="맑은 고딕"/>
        <family val="0"/>
        <charset val="1"/>
      </rPr>
      <t xml:space="preserve">)</t>
    </r>
  </si>
  <si>
    <r>
      <rPr>
        <sz val="10"/>
        <rFont val="맑은 고딕"/>
        <family val="0"/>
        <charset val="1"/>
      </rPr>
      <t xml:space="preserve">BSW </t>
    </r>
    <r>
      <rPr>
        <sz val="10"/>
        <rFont val="Noto Sans CJK SC"/>
        <family val="2"/>
      </rPr>
      <t xml:space="preserve">외주개발 용역비</t>
    </r>
  </si>
  <si>
    <t xml:space="preserve">외주용역</t>
  </si>
  <si>
    <t xml:space="preserve">외주계약 체결 후 실제 계약금액으로 교체</t>
  </si>
  <si>
    <r>
      <rPr>
        <sz val="10"/>
        <rFont val="맑은 고딕"/>
        <family val="0"/>
        <charset val="1"/>
      </rPr>
      <t xml:space="preserve">BSW </t>
    </r>
    <r>
      <rPr>
        <sz val="10"/>
        <rFont val="Noto Sans CJK SC"/>
        <family val="2"/>
      </rPr>
      <t xml:space="preserve">외주 단위검증 용역비</t>
    </r>
  </si>
  <si>
    <r>
      <rPr>
        <sz val="10"/>
        <rFont val="맑은 고딕"/>
        <family val="0"/>
        <charset val="1"/>
      </rPr>
      <t xml:space="preserve">BSW </t>
    </r>
    <r>
      <rPr>
        <sz val="10"/>
        <rFont val="Noto Sans CJK SC"/>
        <family val="2"/>
      </rPr>
      <t xml:space="preserve">외주개발 용역비와 별도 계약인 경우 분리 관리</t>
    </r>
  </si>
  <si>
    <t xml:space="preserve">검증시험 외주용역비</t>
  </si>
  <si>
    <t xml:space="preserve">외부 인증/검증시험 기관 위탁 비용</t>
  </si>
  <si>
    <t xml:space="preserve">시작용 제어기 제작비(A샘플)</t>
  </si>
  <si>
    <t xml:space="preserve">시작품비</t>
  </si>
  <si>
    <r>
      <rPr>
        <sz val="10"/>
        <rFont val="맑은 고딕"/>
        <family val="0"/>
        <charset val="1"/>
      </rPr>
      <t xml:space="preserve">A</t>
    </r>
    <r>
      <rPr>
        <sz val="10"/>
        <rFont val="Noto Sans CJK SC"/>
        <family val="2"/>
      </rPr>
      <t xml:space="preserve">샘플 </t>
    </r>
    <r>
      <rPr>
        <sz val="10"/>
        <rFont val="맑은 고딕"/>
        <family val="0"/>
        <charset val="1"/>
      </rPr>
      <t xml:space="preserve">HW </t>
    </r>
    <r>
      <rPr>
        <sz val="10"/>
        <rFont val="Noto Sans CJK SC"/>
        <family val="2"/>
      </rPr>
      <t xml:space="preserve">제작</t>
    </r>
    <r>
      <rPr>
        <sz val="10"/>
        <rFont val="맑은 고딕"/>
        <family val="0"/>
        <charset val="1"/>
      </rPr>
      <t xml:space="preserve">·</t>
    </r>
    <r>
      <rPr>
        <sz val="10"/>
        <rFont val="Noto Sans CJK SC"/>
        <family val="2"/>
      </rPr>
      <t xml:space="preserve">구매 비용</t>
    </r>
  </si>
  <si>
    <t xml:space="preserve">시작용 제어기 제작비(B샘플)</t>
  </si>
  <si>
    <r>
      <rPr>
        <sz val="10"/>
        <rFont val="맑은 고딕"/>
        <family val="0"/>
        <charset val="1"/>
      </rPr>
      <t xml:space="preserve">B</t>
    </r>
    <r>
      <rPr>
        <sz val="10"/>
        <rFont val="Noto Sans CJK SC"/>
        <family val="2"/>
      </rPr>
      <t xml:space="preserve">샘플 </t>
    </r>
    <r>
      <rPr>
        <sz val="10"/>
        <rFont val="맑은 고딕"/>
        <family val="0"/>
        <charset val="1"/>
      </rPr>
      <t xml:space="preserve">HW </t>
    </r>
    <r>
      <rPr>
        <sz val="10"/>
        <rFont val="Noto Sans CJK SC"/>
        <family val="2"/>
      </rPr>
      <t xml:space="preserve">제작</t>
    </r>
    <r>
      <rPr>
        <sz val="10"/>
        <rFont val="맑은 고딕"/>
        <family val="0"/>
        <charset val="1"/>
      </rPr>
      <t xml:space="preserve">·</t>
    </r>
    <r>
      <rPr>
        <sz val="10"/>
        <rFont val="Noto Sans CJK SC"/>
        <family val="2"/>
      </rPr>
      <t xml:space="preserve">구매 비용</t>
    </r>
    <r>
      <rPr>
        <sz val="10"/>
        <rFont val="맑은 고딕"/>
        <family val="0"/>
        <charset val="1"/>
      </rPr>
      <t xml:space="preserve">(</t>
    </r>
    <r>
      <rPr>
        <sz val="10"/>
        <rFont val="Noto Sans CJK SC"/>
        <family val="2"/>
      </rPr>
      <t xml:space="preserve">양산 검증용</t>
    </r>
    <r>
      <rPr>
        <sz val="10"/>
        <rFont val="맑은 고딕"/>
        <family val="0"/>
        <charset val="1"/>
      </rPr>
      <t xml:space="preserve">)</t>
    </r>
  </si>
  <si>
    <t xml:space="preserve">합계(현금성 예산 전체)</t>
  </si>
</sst>
</file>

<file path=xl/styles.xml><?xml version="1.0" encoding="utf-8"?>
<styleSheet xmlns="http://schemas.openxmlformats.org/spreadsheetml/2006/main">
  <numFmts count="10">
    <numFmt numFmtId="164" formatCode="General"/>
    <numFmt numFmtId="165" formatCode="General"/>
    <numFmt numFmtId="166" formatCode="0%"/>
    <numFmt numFmtId="167" formatCode="0;\-0;;@"/>
    <numFmt numFmtId="168" formatCode="0.00"/>
    <numFmt numFmtId="169" formatCode="0.0"/>
    <numFmt numFmtId="170" formatCode="0.0%"/>
    <numFmt numFmtId="171" formatCode="\+0.0%;\-0.0%"/>
    <numFmt numFmtId="172" formatCode="#,##0"/>
    <numFmt numFmtId="173" formatCode="m/d/yyyy"/>
  </numFmts>
  <fonts count="52">
    <font>
      <sz val="11"/>
      <color theme="1"/>
      <name val="Calibri"/>
      <family val="2"/>
      <charset val="1"/>
    </font>
    <font>
      <sz val="10"/>
      <name val="Arial"/>
      <family val="0"/>
    </font>
    <font>
      <sz val="10"/>
      <name val="Arial"/>
      <family val="0"/>
    </font>
    <font>
      <sz val="10"/>
      <name val="Arial"/>
      <family val="0"/>
    </font>
    <font>
      <sz val="11"/>
      <color theme="1"/>
      <name val="맑은 고딕"/>
      <family val="2"/>
      <charset val="129"/>
    </font>
    <font>
      <sz val="11"/>
      <color theme="1"/>
      <name val="Times New Roman"/>
      <family val="1"/>
      <charset val="1"/>
    </font>
    <font>
      <sz val="11"/>
      <color rgb="FFFF0000"/>
      <name val="Noto Sans CJK SC"/>
      <family val="2"/>
      <charset val="1"/>
    </font>
    <font>
      <sz val="10"/>
      <color theme="1"/>
      <name val="Noto Sans CJK SC"/>
      <family val="2"/>
      <charset val="1"/>
    </font>
    <font>
      <sz val="10"/>
      <color theme="1"/>
      <name val="Times New Roman"/>
      <family val="1"/>
      <charset val="1"/>
    </font>
    <font>
      <sz val="10"/>
      <color theme="1"/>
      <name val="Noto Sans CJK SC"/>
      <family val="2"/>
    </font>
    <font>
      <sz val="9"/>
      <color theme="1"/>
      <name val="Times New Roman"/>
      <family val="1"/>
      <charset val="1"/>
    </font>
    <font>
      <sz val="10"/>
      <color theme="1"/>
      <name val="맑은 고딕"/>
      <family val="2"/>
      <charset val="129"/>
    </font>
    <font>
      <sz val="10"/>
      <color theme="1"/>
      <name val="나눔고딕"/>
      <family val="3"/>
      <charset val="129"/>
    </font>
    <font>
      <sz val="10"/>
      <color rgb="FFFF0000"/>
      <name val="Noto Sans CJK SC"/>
      <family val="2"/>
      <charset val="1"/>
    </font>
    <font>
      <sz val="9"/>
      <color rgb="FFFF0000"/>
      <name val="Times New Roman"/>
      <family val="1"/>
      <charset val="1"/>
    </font>
    <font>
      <sz val="9"/>
      <color rgb="FFFF0000"/>
      <name val="Noto Sans CJK SC"/>
      <family val="2"/>
    </font>
    <font>
      <sz val="10"/>
      <name val="Times New Roman"/>
      <family val="1"/>
      <charset val="1"/>
    </font>
    <font>
      <b val="true"/>
      <sz val="10"/>
      <color rgb="FFFFFFFF"/>
      <name val="Noto Sans CJK SC"/>
      <family val="2"/>
      <charset val="1"/>
    </font>
    <font>
      <sz val="10"/>
      <name val="Noto Sans CJK SC"/>
      <family val="2"/>
    </font>
    <font>
      <sz val="10"/>
      <name val="Noto Sans CJK SC"/>
      <family val="2"/>
      <charset val="1"/>
    </font>
    <font>
      <sz val="10"/>
      <name val="Arial"/>
      <family val="2"/>
    </font>
    <font>
      <b val="true"/>
      <sz val="10"/>
      <name val="Noto Sans CJK SC"/>
      <family val="2"/>
      <charset val="1"/>
    </font>
    <font>
      <sz val="11"/>
      <color theme="1"/>
      <name val="Noto Sans CJK SC"/>
      <family val="2"/>
      <charset val="1"/>
    </font>
    <font>
      <b val="true"/>
      <sz val="10"/>
      <name val="Times New Roman"/>
      <family val="1"/>
      <charset val="1"/>
    </font>
    <font>
      <b val="true"/>
      <sz val="10"/>
      <name val="Noto Sans CJK SC"/>
      <family val="2"/>
    </font>
    <font>
      <b val="true"/>
      <sz val="10"/>
      <color rgb="FFFF0000"/>
      <name val="Noto Sans CJK SC"/>
      <family val="2"/>
      <charset val="1"/>
    </font>
    <font>
      <sz val="11"/>
      <color theme="1"/>
      <name val="Noto Sans CJK SC"/>
      <family val="2"/>
    </font>
    <font>
      <sz val="10"/>
      <color theme="1"/>
      <name val="Calibri"/>
      <family val="2"/>
      <charset val="1"/>
    </font>
    <font>
      <b val="true"/>
      <sz val="11"/>
      <name val="Noto Sans CJK SC"/>
      <family val="2"/>
      <charset val="1"/>
    </font>
    <font>
      <b val="true"/>
      <sz val="12"/>
      <name val="Noto Sans CJK SC"/>
      <family val="2"/>
      <charset val="1"/>
    </font>
    <font>
      <b val="true"/>
      <sz val="10"/>
      <color rgb="FFFFFFFF"/>
      <name val="Times New Roman"/>
      <family val="1"/>
      <charset val="1"/>
    </font>
    <font>
      <b val="true"/>
      <sz val="10"/>
      <color rgb="FFFFFFFF"/>
      <name val="Noto Sans CJK SC"/>
      <family val="2"/>
    </font>
    <font>
      <sz val="10"/>
      <color rgb="FF888888"/>
      <name val="Times New Roman"/>
      <family val="1"/>
      <charset val="1"/>
    </font>
    <font>
      <b val="true"/>
      <sz val="11"/>
      <name val="Times New Roman"/>
      <family val="1"/>
      <charset val="1"/>
    </font>
    <font>
      <sz val="9"/>
      <name val="Times New Roman"/>
      <family val="1"/>
      <charset val="1"/>
    </font>
    <font>
      <sz val="9"/>
      <name val="Noto Sans CJK SC"/>
      <family val="2"/>
      <charset val="1"/>
    </font>
    <font>
      <sz val="9"/>
      <name val="Noto Sans CJK SC"/>
      <family val="2"/>
    </font>
    <font>
      <sz val="10"/>
      <name val="맑은 고딕"/>
      <family val="0"/>
      <charset val="1"/>
    </font>
    <font>
      <i val="true"/>
      <sz val="9"/>
      <color rgb="FF777777"/>
      <name val="맑은 고딕"/>
      <family val="0"/>
      <charset val="1"/>
    </font>
    <font>
      <i val="true"/>
      <sz val="9"/>
      <color rgb="FF555555"/>
      <name val="맑은 고딕"/>
      <family val="0"/>
      <charset val="1"/>
    </font>
    <font>
      <i val="true"/>
      <sz val="9"/>
      <color rgb="FF555555"/>
      <name val="Noto Sans CJK SC"/>
      <family val="2"/>
    </font>
    <font>
      <i val="true"/>
      <sz val="10"/>
      <color rgb="FF555555"/>
      <name val="Noto Sans CJK SC"/>
      <family val="2"/>
      <charset val="1"/>
    </font>
    <font>
      <b val="true"/>
      <sz val="9"/>
      <name val="Noto Sans CJK SC"/>
      <family val="2"/>
      <charset val="1"/>
    </font>
    <font>
      <b val="true"/>
      <sz val="9"/>
      <name val="Times New Roman"/>
      <family val="1"/>
      <charset val="1"/>
    </font>
    <font>
      <b val="true"/>
      <sz val="9"/>
      <name val="Noto Sans CJK SC"/>
      <family val="2"/>
    </font>
    <font>
      <sz val="8"/>
      <name val="Times New Roman"/>
      <family val="1"/>
      <charset val="1"/>
    </font>
    <font>
      <i val="true"/>
      <sz val="9"/>
      <name val="Noto Sans CJK SC"/>
      <family val="2"/>
      <charset val="1"/>
    </font>
    <font>
      <i val="true"/>
      <sz val="9"/>
      <name val="Times New Roman"/>
      <family val="1"/>
      <charset val="1"/>
    </font>
    <font>
      <b val="true"/>
      <sz val="12"/>
      <name val="Times New Roman"/>
      <family val="1"/>
      <charset val="1"/>
    </font>
    <font>
      <b val="true"/>
      <sz val="10"/>
      <color rgb="FFFFFFFF"/>
      <name val="맑은 고딕"/>
      <family val="0"/>
      <charset val="1"/>
    </font>
    <font>
      <sz val="9"/>
      <name val="맑은 고딕"/>
      <family val="0"/>
      <charset val="1"/>
    </font>
    <font>
      <b val="true"/>
      <sz val="11"/>
      <name val="맑은 고딕"/>
      <family val="0"/>
      <charset val="1"/>
    </font>
  </fonts>
  <fills count="15">
    <fill>
      <patternFill patternType="none"/>
    </fill>
    <fill>
      <patternFill patternType="gray125"/>
    </fill>
    <fill>
      <patternFill patternType="solid">
        <fgColor rgb="FFE6E6E6"/>
        <bgColor rgb="FFDCE6F2"/>
      </patternFill>
    </fill>
    <fill>
      <patternFill patternType="solid">
        <fgColor rgb="FFFFFF00"/>
        <bgColor rgb="FFFFE699"/>
      </patternFill>
    </fill>
    <fill>
      <patternFill patternType="solid">
        <fgColor theme="4" tint="0.7999"/>
        <bgColor rgb="FFDDEBF7"/>
      </patternFill>
    </fill>
    <fill>
      <patternFill patternType="solid">
        <fgColor rgb="FF1F4E78"/>
        <bgColor rgb="FF003366"/>
      </patternFill>
    </fill>
    <fill>
      <patternFill patternType="solid">
        <fgColor theme="5" tint="0.7999"/>
        <bgColor rgb="FFFCE4D6"/>
      </patternFill>
    </fill>
    <fill>
      <patternFill patternType="solid">
        <fgColor theme="6" tint="0.7999"/>
        <bgColor rgb="FFE2EFDA"/>
      </patternFill>
    </fill>
    <fill>
      <patternFill patternType="solid">
        <fgColor theme="0" tint="-0.05"/>
        <bgColor rgb="FFEBF1DE"/>
      </patternFill>
    </fill>
    <fill>
      <patternFill patternType="solid">
        <fgColor rgb="FFE2EFDA"/>
        <bgColor rgb="FFEBF1DE"/>
      </patternFill>
    </fill>
    <fill>
      <patternFill patternType="solid">
        <fgColor rgb="FFBDD7EE"/>
        <bgColor rgb="FFD9D9D9"/>
      </patternFill>
    </fill>
    <fill>
      <patternFill patternType="solid">
        <fgColor rgb="FFDDEBF7"/>
        <bgColor rgb="FFDCE6F2"/>
      </patternFill>
    </fill>
    <fill>
      <patternFill patternType="solid">
        <fgColor rgb="FFFCE4D6"/>
        <bgColor rgb="FFF2DCDB"/>
      </patternFill>
    </fill>
    <fill>
      <patternFill patternType="solid">
        <fgColor rgb="FFC6E0B4"/>
        <bgColor rgb="FFD9D9D9"/>
      </patternFill>
    </fill>
    <fill>
      <patternFill patternType="solid">
        <fgColor rgb="FFF8CBAD"/>
        <bgColor rgb="FFF2DCDB"/>
      </patternFill>
    </fill>
  </fills>
  <borders count="11">
    <border diagonalUp="false" diagonalDown="false">
      <left/>
      <right/>
      <top/>
      <bottom/>
      <diagonal/>
    </border>
    <border diagonalUp="false" diagonalDown="false">
      <left style="thin">
        <color rgb="FFC8C8C8"/>
      </left>
      <right style="thin">
        <color rgb="FFC8C8C8"/>
      </right>
      <top style="thin">
        <color rgb="FFC8C8C8"/>
      </top>
      <bottom style="thin">
        <color rgb="FFC8C8C8"/>
      </bottom>
      <diagonal/>
    </border>
    <border diagonalUp="false" diagonalDown="false">
      <left/>
      <right/>
      <top/>
      <bottom style="thin"/>
      <diagonal/>
    </border>
    <border diagonalUp="false" diagonalDown="false">
      <left style="thin"/>
      <right style="thin"/>
      <top style="thin"/>
      <bottom style="thin"/>
      <diagonal/>
    </border>
    <border diagonalUp="false" diagonalDown="false">
      <left style="thin"/>
      <right/>
      <top style="thin"/>
      <bottom style="thin"/>
      <diagonal/>
    </border>
    <border diagonalUp="false" diagonalDown="false">
      <left style="thin">
        <color rgb="FFBFBFBF"/>
      </left>
      <right style="thin">
        <color rgb="FFBFBFBF"/>
      </right>
      <top style="thin">
        <color rgb="FFBFBFBF"/>
      </top>
      <bottom/>
      <diagonal/>
    </border>
    <border diagonalUp="false" diagonalDown="false">
      <left style="thin">
        <color theme="0" tint="-0.35"/>
      </left>
      <right style="thin">
        <color theme="0" tint="-0.35"/>
      </right>
      <top style="thin">
        <color theme="0" tint="-0.35"/>
      </top>
      <bottom style="thin">
        <color theme="0" tint="-0.35"/>
      </bottom>
      <diagonal/>
    </border>
    <border diagonalUp="false" diagonalDown="false">
      <left style="thin">
        <color rgb="FFBFBFBF"/>
      </left>
      <right style="thin">
        <color rgb="FFBFBFBF"/>
      </right>
      <top style="thin">
        <color rgb="FFBFBFBF"/>
      </top>
      <bottom style="thin">
        <color rgb="FFBFBFBF"/>
      </bottom>
      <diagonal/>
    </border>
    <border diagonalUp="false" diagonalDown="false">
      <left style="thin">
        <color rgb="FFBFBFBF"/>
      </left>
      <right/>
      <top style="thin">
        <color rgb="FFBFBFBF"/>
      </top>
      <bottom style="thin">
        <color rgb="FFBFBFBF"/>
      </bottom>
      <diagonal/>
    </border>
    <border diagonalUp="false" diagonalDown="false">
      <left/>
      <right/>
      <top style="thin">
        <color theme="0" tint="-0.35"/>
      </top>
      <bottom style="thin">
        <color theme="0" tint="-0.35"/>
      </bottom>
      <diagonal/>
    </border>
    <border diagonalUp="false" diagonalDown="false">
      <left/>
      <right style="thin">
        <color theme="0" tint="-0.35"/>
      </right>
      <top style="thin">
        <color theme="0" tint="-0.35"/>
      </top>
      <bottom style="thin">
        <color theme="0" tint="-0.35"/>
      </bottom>
      <diagonal/>
    </border>
  </borders>
  <cellStyleXfs count="23">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true" applyAlignment="true" applyProtection="true">
      <alignment horizontal="general" vertical="center" textRotation="0" wrapText="false" indent="0" shrinkToFit="false"/>
      <protection locked="true" hidden="false"/>
    </xf>
    <xf numFmtId="164" fontId="0" fillId="0" borderId="0" applyFont="true" applyBorder="true" applyAlignment="true" applyProtection="true">
      <alignment horizontal="general" vertical="bottom" textRotation="0" wrapText="false" indent="0" shrinkToFit="false"/>
      <protection locked="true" hidden="false"/>
    </xf>
    <xf numFmtId="164" fontId="4" fillId="0" borderId="0" applyFont="true" applyBorder="true" applyAlignment="true" applyProtection="true">
      <alignment horizontal="general" vertical="center" textRotation="0" wrapText="false" indent="0" shrinkToFit="false"/>
      <protection locked="true" hidden="false"/>
    </xf>
  </cellStyleXfs>
  <cellXfs count="170">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true" applyProtection="false">
      <alignment horizontal="general" vertical="center" textRotation="0" wrapText="false" indent="0" shrinkToFit="false"/>
      <protection locked="true" hidden="false"/>
    </xf>
    <xf numFmtId="164" fontId="5" fillId="0" borderId="0" xfId="0" applyFont="true" applyBorder="false" applyAlignment="true" applyProtection="false">
      <alignment horizontal="general" vertical="center" textRotation="0" wrapText="false" indent="0" shrinkToFit="false"/>
      <protection locked="true" hidden="false"/>
    </xf>
    <xf numFmtId="164" fontId="6" fillId="0" borderId="0" xfId="0" applyFont="true" applyBorder="false" applyAlignment="true" applyProtection="false">
      <alignment horizontal="general" vertical="center" textRotation="0" wrapText="false" indent="0" shrinkToFit="false"/>
      <protection locked="true" hidden="false"/>
    </xf>
    <xf numFmtId="164" fontId="7" fillId="0" borderId="1" xfId="0" applyFont="true" applyBorder="true" applyAlignment="true" applyProtection="false">
      <alignment horizontal="center" vertical="center" textRotation="0" wrapText="false" indent="0" shrinkToFit="false"/>
      <protection locked="true" hidden="false"/>
    </xf>
    <xf numFmtId="164" fontId="8" fillId="0" borderId="1" xfId="0" applyFont="true" applyBorder="true" applyAlignment="true" applyProtection="false">
      <alignment horizontal="center" vertical="center" textRotation="0" wrapText="false" indent="0" shrinkToFit="false"/>
      <protection locked="true" hidden="false"/>
    </xf>
    <xf numFmtId="164" fontId="8" fillId="2" borderId="1" xfId="0" applyFont="true" applyBorder="true" applyAlignment="true" applyProtection="false">
      <alignment horizontal="center" vertical="center" textRotation="0" wrapText="false" indent="0" shrinkToFit="false"/>
      <protection locked="true" hidden="false"/>
    </xf>
    <xf numFmtId="164" fontId="7" fillId="2" borderId="1" xfId="0" applyFont="true" applyBorder="true" applyAlignment="true" applyProtection="false">
      <alignment horizontal="center" vertical="center" textRotation="0" wrapText="false" indent="0" shrinkToFit="false"/>
      <protection locked="true" hidden="false"/>
    </xf>
    <xf numFmtId="164" fontId="10" fillId="3" borderId="1" xfId="0" applyFont="true" applyBorder="true" applyAlignment="true" applyProtection="false">
      <alignment horizontal="center" vertical="center" textRotation="0" wrapText="false" indent="0" shrinkToFit="false"/>
      <protection locked="true" hidden="false"/>
    </xf>
    <xf numFmtId="164" fontId="5" fillId="0" borderId="0" xfId="0" applyFont="true" applyBorder="false" applyAlignment="true" applyProtection="false">
      <alignment horizontal="general" vertical="bottom" textRotation="0" wrapText="false" indent="0" shrinkToFit="false"/>
      <protection locked="true" hidden="false"/>
    </xf>
    <xf numFmtId="164" fontId="11" fillId="0" borderId="0" xfId="0" applyFont="true" applyBorder="false" applyAlignment="true" applyProtection="false">
      <alignment horizontal="general" vertical="center" textRotation="0" wrapText="false" indent="0" shrinkToFit="false"/>
      <protection locked="true" hidden="false"/>
    </xf>
    <xf numFmtId="164" fontId="11" fillId="0" borderId="0" xfId="0" applyFont="true" applyBorder="false" applyAlignment="true" applyProtection="false">
      <alignment horizontal="center" vertical="center" textRotation="0" wrapText="false" indent="0" shrinkToFit="false"/>
      <protection locked="true" hidden="false"/>
    </xf>
    <xf numFmtId="164" fontId="12" fillId="0" borderId="0" xfId="0" applyFont="true" applyBorder="false" applyAlignment="true" applyProtection="false">
      <alignment horizontal="general" vertical="center" textRotation="0" wrapText="false" indent="0" shrinkToFit="false"/>
      <protection locked="true" hidden="false"/>
    </xf>
    <xf numFmtId="164" fontId="8" fillId="0" borderId="0" xfId="0" applyFont="true" applyBorder="false" applyAlignment="true" applyProtection="false">
      <alignment horizontal="center" vertical="center" textRotation="0" wrapText="false" indent="0" shrinkToFit="false"/>
      <protection locked="true" hidden="false"/>
    </xf>
    <xf numFmtId="164" fontId="8" fillId="0" borderId="0" xfId="0" applyFont="true" applyBorder="false" applyAlignment="true" applyProtection="false">
      <alignment horizontal="general" vertical="center" textRotation="0" wrapText="false" indent="0" shrinkToFit="false"/>
      <protection locked="true" hidden="false"/>
    </xf>
    <xf numFmtId="164" fontId="13" fillId="0" borderId="2" xfId="0" applyFont="true" applyBorder="true" applyAlignment="true" applyProtection="false">
      <alignment horizontal="left" vertical="center" textRotation="0" wrapText="false" indent="0" shrinkToFit="false"/>
      <protection locked="true" hidden="false"/>
    </xf>
    <xf numFmtId="164" fontId="14" fillId="0" borderId="0" xfId="0" applyFont="true" applyBorder="false" applyAlignment="true" applyProtection="false">
      <alignment horizontal="center" vertical="center" textRotation="0" wrapText="false" indent="0" shrinkToFit="false"/>
      <protection locked="true" hidden="false"/>
    </xf>
    <xf numFmtId="164" fontId="8" fillId="4" borderId="3" xfId="0" applyFont="true" applyBorder="true" applyAlignment="true" applyProtection="false">
      <alignment horizontal="center" vertical="center" textRotation="0" wrapText="false" indent="0" shrinkToFit="false"/>
      <protection locked="true" hidden="false"/>
    </xf>
    <xf numFmtId="164" fontId="8" fillId="4" borderId="4" xfId="0" applyFont="true" applyBorder="true" applyAlignment="true" applyProtection="false">
      <alignment horizontal="center" vertical="center" textRotation="0" wrapText="false" indent="0" shrinkToFit="false"/>
      <protection locked="true" hidden="false"/>
    </xf>
    <xf numFmtId="164" fontId="16" fillId="4" borderId="3" xfId="0" applyFont="true" applyBorder="true" applyAlignment="true" applyProtection="false">
      <alignment horizontal="center" vertical="center" textRotation="0" wrapText="true" indent="0" shrinkToFit="false"/>
      <protection locked="true" hidden="false"/>
    </xf>
    <xf numFmtId="164" fontId="17" fillId="5" borderId="3" xfId="0" applyFont="true" applyBorder="true" applyAlignment="true" applyProtection="false">
      <alignment horizontal="center" vertical="center" textRotation="0" wrapText="true" indent="0" shrinkToFit="false"/>
      <protection locked="true" hidden="false"/>
    </xf>
    <xf numFmtId="164" fontId="8" fillId="0" borderId="1" xfId="0" applyFont="true" applyBorder="true" applyAlignment="true" applyProtection="false">
      <alignment horizontal="left" vertical="center" textRotation="0" wrapText="true" indent="0" shrinkToFit="false"/>
      <protection locked="true" hidden="false"/>
    </xf>
    <xf numFmtId="164" fontId="10" fillId="3" borderId="1" xfId="0" applyFont="true" applyBorder="true" applyAlignment="true" applyProtection="true">
      <alignment horizontal="center" vertical="center" textRotation="0" wrapText="false" indent="0" shrinkToFit="false"/>
      <protection locked="false" hidden="false"/>
    </xf>
    <xf numFmtId="165" fontId="8" fillId="0" borderId="1" xfId="0" applyFont="true" applyBorder="true" applyAlignment="true" applyProtection="false">
      <alignment horizontal="center" vertical="center" textRotation="0" wrapText="false" indent="0" shrinkToFit="false"/>
      <protection locked="true" hidden="false"/>
    </xf>
    <xf numFmtId="165" fontId="8" fillId="6" borderId="1" xfId="0" applyFont="true" applyBorder="true" applyAlignment="true" applyProtection="false">
      <alignment horizontal="center" vertical="center" textRotation="0" wrapText="false" indent="0" shrinkToFit="false"/>
      <protection locked="true" hidden="false"/>
    </xf>
    <xf numFmtId="164" fontId="16" fillId="0" borderId="3" xfId="0" applyFont="true" applyBorder="true" applyAlignment="true" applyProtection="false">
      <alignment horizontal="left" vertical="top" textRotation="0" wrapText="true" indent="0" shrinkToFit="false"/>
      <protection locked="true" hidden="false"/>
    </xf>
    <xf numFmtId="164" fontId="16" fillId="0" borderId="3" xfId="0" applyFont="true" applyBorder="true" applyAlignment="true" applyProtection="false">
      <alignment horizontal="center" vertical="top" textRotation="0" wrapText="true" indent="0" shrinkToFit="false"/>
      <protection locked="true" hidden="false"/>
    </xf>
    <xf numFmtId="164" fontId="19" fillId="0" borderId="3" xfId="0" applyFont="true" applyBorder="true" applyAlignment="true" applyProtection="false">
      <alignment horizontal="left" vertical="top" textRotation="0" wrapText="true" indent="0" shrinkToFit="false"/>
      <protection locked="true" hidden="false"/>
    </xf>
    <xf numFmtId="164" fontId="19" fillId="0" borderId="3" xfId="0" applyFont="true" applyBorder="true" applyAlignment="true" applyProtection="false">
      <alignment horizontal="center" vertical="top" textRotation="0" wrapText="true" indent="0" shrinkToFit="false"/>
      <protection locked="true" hidden="false"/>
    </xf>
    <xf numFmtId="164" fontId="0" fillId="0" borderId="0" xfId="0" applyFont="false" applyBorder="false" applyAlignment="tru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17" fillId="5" borderId="5" xfId="0" applyFont="true" applyBorder="true" applyAlignment="true" applyProtection="false">
      <alignment horizontal="center" vertical="center" textRotation="0" wrapText="true" indent="0" shrinkToFit="false"/>
      <protection locked="true" hidden="false"/>
    </xf>
    <xf numFmtId="164" fontId="21" fillId="7" borderId="6" xfId="0" applyFont="true" applyBorder="true" applyAlignment="true" applyProtection="false">
      <alignment horizontal="general" vertical="top" textRotation="0" wrapText="true" indent="0" shrinkToFit="false"/>
      <protection locked="true" hidden="false"/>
    </xf>
    <xf numFmtId="164" fontId="22" fillId="0" borderId="6" xfId="0" applyFont="true" applyBorder="true" applyAlignment="true" applyProtection="false">
      <alignment horizontal="general" vertical="top" textRotation="0" wrapText="true" indent="0" shrinkToFit="false"/>
      <protection locked="true" hidden="false"/>
    </xf>
    <xf numFmtId="164" fontId="5" fillId="0" borderId="0" xfId="0" applyFont="true" applyBorder="false" applyAlignment="true" applyProtection="false">
      <alignment horizontal="general" vertical="top" textRotation="0" wrapText="true" indent="0" shrinkToFit="false"/>
      <protection locked="true" hidden="false"/>
    </xf>
    <xf numFmtId="164" fontId="23" fillId="7" borderId="6" xfId="0" applyFont="true" applyBorder="true" applyAlignment="true" applyProtection="false">
      <alignment horizontal="general" vertical="top" textRotation="0" wrapText="true" indent="0" shrinkToFit="false"/>
      <protection locked="true" hidden="false"/>
    </xf>
    <xf numFmtId="164" fontId="25" fillId="7" borderId="6" xfId="0" applyFont="true" applyBorder="true" applyAlignment="true" applyProtection="false">
      <alignment horizontal="general" vertical="top" textRotation="0" wrapText="true" indent="0" shrinkToFit="false"/>
      <protection locked="true" hidden="false"/>
    </xf>
    <xf numFmtId="164" fontId="5" fillId="0" borderId="6" xfId="0" applyFont="true" applyBorder="true" applyAlignment="true" applyProtection="false">
      <alignment horizontal="general" vertical="top" textRotation="0" wrapText="true" indent="0" shrinkToFit="false"/>
      <protection locked="true" hidden="false"/>
    </xf>
    <xf numFmtId="164" fontId="5" fillId="0" borderId="0" xfId="0" applyFont="true" applyBorder="false" applyAlignment="true" applyProtection="false">
      <alignment horizontal="general" vertical="bottom" textRotation="0" wrapText="true" indent="0" shrinkToFit="false"/>
      <protection locked="true" hidden="false"/>
    </xf>
    <xf numFmtId="164" fontId="21" fillId="0" borderId="7" xfId="0" applyFont="true" applyBorder="true" applyAlignment="true" applyProtection="false">
      <alignment horizontal="general" vertical="bottom" textRotation="0" wrapText="false" indent="0" shrinkToFit="false"/>
      <protection locked="true" hidden="false"/>
    </xf>
    <xf numFmtId="164" fontId="0" fillId="0" borderId="7" xfId="0" applyFont="true" applyBorder="true" applyAlignment="true" applyProtection="false">
      <alignment horizontal="general" vertical="top" textRotation="0" wrapText="true" indent="0" shrinkToFit="false"/>
      <protection locked="true" hidden="false"/>
    </xf>
    <xf numFmtId="164" fontId="0" fillId="0" borderId="8" xfId="0" applyFont="true" applyBorder="true" applyAlignment="true" applyProtection="false">
      <alignment horizontal="general" vertical="top" textRotation="0" wrapText="true" indent="0" shrinkToFit="false"/>
      <protection locked="true" hidden="false"/>
    </xf>
    <xf numFmtId="164" fontId="0" fillId="0" borderId="0" xfId="0" applyFont="false" applyBorder="true" applyAlignment="true" applyProtection="false">
      <alignment horizontal="general" vertical="bottom" textRotation="0" wrapText="false" indent="0" shrinkToFit="false"/>
      <protection locked="true" hidden="false"/>
    </xf>
    <xf numFmtId="164" fontId="5" fillId="0" borderId="0" xfId="0" applyFont="true" applyBorder="true" applyAlignment="true" applyProtection="false">
      <alignment horizontal="general" vertical="bottom" textRotation="0" wrapText="false" indent="0" shrinkToFit="false"/>
      <protection locked="true" hidden="false"/>
    </xf>
    <xf numFmtId="164" fontId="22" fillId="8" borderId="6" xfId="0" applyFont="true" applyBorder="true" applyAlignment="true" applyProtection="false">
      <alignment horizontal="center" vertical="bottom" textRotation="0" wrapText="true" indent="0" shrinkToFit="false"/>
      <protection locked="true" hidden="false"/>
    </xf>
    <xf numFmtId="164" fontId="22" fillId="8" borderId="6" xfId="0" applyFont="true" applyBorder="true" applyAlignment="true" applyProtection="false">
      <alignment horizontal="center" vertical="bottom" textRotation="0" wrapText="false" indent="0" shrinkToFit="false"/>
      <protection locked="true" hidden="false"/>
    </xf>
    <xf numFmtId="164" fontId="5" fillId="0" borderId="6" xfId="0" applyFont="true" applyBorder="true" applyAlignment="true" applyProtection="false">
      <alignment horizontal="general" vertical="center" textRotation="0" wrapText="true" indent="0" shrinkToFit="false"/>
      <protection locked="true" hidden="false"/>
    </xf>
    <xf numFmtId="164" fontId="5" fillId="0" borderId="6" xfId="0" applyFont="true" applyBorder="true" applyAlignment="true" applyProtection="false">
      <alignment horizontal="general" vertical="center" textRotation="0" wrapText="false" indent="0" shrinkToFit="false"/>
      <protection locked="true" hidden="false"/>
    </xf>
    <xf numFmtId="164" fontId="7" fillId="0" borderId="6" xfId="0" applyFont="true" applyBorder="true" applyAlignment="true" applyProtection="false">
      <alignment horizontal="left" vertical="center" textRotation="0" wrapText="true" indent="0" shrinkToFit="false"/>
      <protection locked="true" hidden="false"/>
    </xf>
    <xf numFmtId="164" fontId="0" fillId="0" borderId="9" xfId="0" applyFont="false" applyBorder="true" applyAlignment="true" applyProtection="false">
      <alignment horizontal="general" vertical="bottom" textRotation="0" wrapText="false" indent="0" shrinkToFit="false"/>
      <protection locked="true" hidden="false"/>
    </xf>
    <xf numFmtId="164" fontId="0" fillId="0" borderId="10" xfId="0" applyFont="false" applyBorder="true" applyAlignment="true" applyProtection="false">
      <alignment horizontal="general" vertical="bottom" textRotation="0" wrapText="false" indent="0" shrinkToFit="false"/>
      <protection locked="true" hidden="false"/>
    </xf>
    <xf numFmtId="164" fontId="8" fillId="0" borderId="6" xfId="0" applyFont="true" applyBorder="true" applyAlignment="true" applyProtection="false">
      <alignment horizontal="left" vertical="center" textRotation="0" wrapText="true" indent="0" shrinkToFit="false"/>
      <protection locked="true" hidden="false"/>
    </xf>
    <xf numFmtId="164" fontId="5" fillId="0" borderId="6" xfId="0" applyFont="true" applyBorder="true" applyAlignment="true" applyProtection="false">
      <alignment horizontal="general" vertical="bottom" textRotation="0" wrapText="true" indent="0" shrinkToFit="false"/>
      <protection locked="true" hidden="false"/>
    </xf>
    <xf numFmtId="164" fontId="5" fillId="0" borderId="6" xfId="0" applyFont="true" applyBorder="true" applyAlignment="true" applyProtection="false">
      <alignment horizontal="general" vertical="bottom" textRotation="0" wrapText="false" indent="0" shrinkToFit="false"/>
      <protection locked="true" hidden="false"/>
    </xf>
    <xf numFmtId="164" fontId="7" fillId="0" borderId="6" xfId="0" applyFont="true" applyBorder="true" applyAlignment="true" applyProtection="false">
      <alignment horizontal="left" vertical="bottom" textRotation="0" wrapText="true" indent="0" shrinkToFit="false"/>
      <protection locked="true" hidden="false"/>
    </xf>
    <xf numFmtId="164" fontId="27" fillId="0" borderId="0" xfId="0" applyFont="true" applyBorder="false" applyAlignment="true" applyProtection="false">
      <alignment horizontal="general" vertical="bottom" textRotation="0" wrapText="false" indent="0" shrinkToFit="false"/>
      <protection locked="true" hidden="false"/>
    </xf>
    <xf numFmtId="164" fontId="17" fillId="5" borderId="7" xfId="0" applyFont="true" applyBorder="true" applyAlignment="true" applyProtection="false">
      <alignment horizontal="center" vertical="center" textRotation="0" wrapText="true" indent="0" shrinkToFit="false"/>
      <protection locked="true" hidden="false"/>
    </xf>
    <xf numFmtId="164" fontId="8" fillId="0" borderId="0" xfId="0" applyFont="true" applyBorder="false" applyAlignment="true" applyProtection="false">
      <alignment horizontal="general" vertical="bottom" textRotation="0" wrapText="false" indent="0" shrinkToFit="false"/>
      <protection locked="true" hidden="false"/>
    </xf>
    <xf numFmtId="164" fontId="7" fillId="0" borderId="7" xfId="0" applyFont="true" applyBorder="true" applyAlignment="true" applyProtection="false">
      <alignment horizontal="general" vertical="bottom" textRotation="0" wrapText="false" indent="0" shrinkToFit="false"/>
      <protection locked="true" hidden="false"/>
    </xf>
    <xf numFmtId="166" fontId="8" fillId="0" borderId="7" xfId="0" applyFont="true" applyBorder="true" applyAlignment="true" applyProtection="false">
      <alignment horizontal="general" vertical="bottom" textRotation="0" wrapText="false" indent="0" shrinkToFit="false"/>
      <protection locked="true" hidden="false"/>
    </xf>
    <xf numFmtId="164" fontId="28" fillId="0" borderId="7" xfId="0" applyFont="true" applyBorder="true" applyAlignment="true" applyProtection="false">
      <alignment horizontal="general" vertical="bottom" textRotation="0" wrapText="false" indent="0" shrinkToFit="false"/>
      <protection locked="true" hidden="false"/>
    </xf>
    <xf numFmtId="166" fontId="0" fillId="0" borderId="7" xfId="0" applyFont="false" applyBorder="true" applyAlignment="true" applyProtection="false">
      <alignment horizontal="general" vertical="bottom" textRotation="0" wrapText="false" indent="0" shrinkToFit="false"/>
      <protection locked="true" hidden="false"/>
    </xf>
    <xf numFmtId="164" fontId="29" fillId="0" borderId="7" xfId="0" applyFont="true" applyBorder="true" applyAlignment="true" applyProtection="false">
      <alignment horizontal="general" vertical="bottom" textRotation="0" wrapText="false" indent="0" shrinkToFit="false"/>
      <protection locked="true" hidden="false"/>
    </xf>
    <xf numFmtId="164" fontId="21" fillId="0" borderId="0" xfId="0" applyFont="true" applyBorder="true" applyAlignment="true" applyProtection="false">
      <alignment horizontal="general" vertical="bottom" textRotation="0" wrapText="false" indent="0" shrinkToFit="false"/>
      <protection locked="true" hidden="false"/>
    </xf>
    <xf numFmtId="164" fontId="30" fillId="5" borderId="7" xfId="0" applyFont="true" applyBorder="true" applyAlignment="true" applyProtection="false">
      <alignment horizontal="center" vertical="center" textRotation="0" wrapText="true" indent="0" shrinkToFit="false"/>
      <protection locked="true" hidden="false"/>
    </xf>
    <xf numFmtId="164" fontId="16" fillId="0" borderId="7" xfId="0" applyFont="true" applyBorder="true" applyAlignment="true" applyProtection="false">
      <alignment horizontal="center" vertical="center" textRotation="0" wrapText="false" indent="0" shrinkToFit="false"/>
      <protection locked="true" hidden="false"/>
    </xf>
    <xf numFmtId="164" fontId="32" fillId="0" borderId="7" xfId="0" applyFont="true" applyBorder="true" applyAlignment="true" applyProtection="false">
      <alignment horizontal="center" vertical="center" textRotation="0" wrapText="false" indent="0" shrinkToFit="false"/>
      <protection locked="true" hidden="false"/>
    </xf>
    <xf numFmtId="164" fontId="19" fillId="0" borderId="7" xfId="0" applyFont="true" applyBorder="true" applyAlignment="true" applyProtection="false">
      <alignment horizontal="general" vertical="center" textRotation="0" wrapText="false" indent="0" shrinkToFit="false"/>
      <protection locked="true" hidden="false"/>
    </xf>
    <xf numFmtId="167" fontId="16" fillId="0" borderId="7" xfId="0" applyFont="true" applyBorder="true" applyAlignment="true" applyProtection="false">
      <alignment horizontal="general" vertical="center" textRotation="0" wrapText="false" indent="0" shrinkToFit="false"/>
      <protection locked="true" hidden="false"/>
    </xf>
    <xf numFmtId="164" fontId="19" fillId="0" borderId="7" xfId="0" applyFont="true" applyBorder="true" applyAlignment="true" applyProtection="false">
      <alignment horizontal="center" vertical="center" textRotation="0" wrapText="false" indent="0" shrinkToFit="false"/>
      <protection locked="true" hidden="false"/>
    </xf>
    <xf numFmtId="165" fontId="7" fillId="0" borderId="7" xfId="0" applyFont="true" applyBorder="true" applyAlignment="true" applyProtection="false">
      <alignment horizontal="general" vertical="top" textRotation="0" wrapText="true" indent="0" shrinkToFit="false"/>
      <protection locked="true" hidden="false"/>
    </xf>
    <xf numFmtId="164" fontId="21" fillId="0" borderId="0" xfId="0" applyFont="true" applyBorder="false" applyAlignment="true" applyProtection="false">
      <alignment horizontal="general" vertical="bottom" textRotation="0" wrapText="false" indent="0" shrinkToFit="false"/>
      <protection locked="true" hidden="false"/>
    </xf>
    <xf numFmtId="164" fontId="19" fillId="0" borderId="7" xfId="0" applyFont="true" applyBorder="true" applyAlignment="true" applyProtection="false">
      <alignment horizontal="general" vertical="bottom" textRotation="0" wrapText="false" indent="0" shrinkToFit="false"/>
      <protection locked="true" hidden="false"/>
    </xf>
    <xf numFmtId="164" fontId="7" fillId="0" borderId="0" xfId="0" applyFont="true" applyBorder="true" applyAlignment="true" applyProtection="false">
      <alignment horizontal="general" vertical="top" textRotation="0" wrapText="true" indent="0" shrinkToFit="false"/>
      <protection locked="true" hidden="false"/>
    </xf>
    <xf numFmtId="164" fontId="16" fillId="9" borderId="7" xfId="0" applyFont="true" applyBorder="true" applyAlignment="true" applyProtection="false">
      <alignment horizontal="general" vertical="bottom" textRotation="0" wrapText="false" indent="0" shrinkToFit="false"/>
      <protection locked="true" hidden="false"/>
    </xf>
    <xf numFmtId="164" fontId="19" fillId="9" borderId="7" xfId="0" applyFont="true" applyBorder="true" applyAlignment="true" applyProtection="false">
      <alignment horizontal="general" vertical="top" textRotation="0" wrapText="true" indent="0" shrinkToFit="false"/>
      <protection locked="true" hidden="false"/>
    </xf>
    <xf numFmtId="164" fontId="19" fillId="9" borderId="7" xfId="0" applyFont="true" applyBorder="true" applyAlignment="true" applyProtection="false">
      <alignment horizontal="general" vertical="bottom" textRotation="0" wrapText="false" indent="0" shrinkToFit="false"/>
      <protection locked="true" hidden="false"/>
    </xf>
    <xf numFmtId="164" fontId="16" fillId="10" borderId="7" xfId="0" applyFont="true" applyBorder="true" applyAlignment="true" applyProtection="false">
      <alignment horizontal="general" vertical="bottom" textRotation="0" wrapText="false" indent="0" shrinkToFit="false"/>
      <protection locked="true" hidden="false"/>
    </xf>
    <xf numFmtId="168" fontId="16" fillId="9" borderId="7" xfId="0" applyFont="true" applyBorder="true" applyAlignment="true" applyProtection="false">
      <alignment horizontal="general" vertical="bottom" textRotation="0" wrapText="false" indent="0" shrinkToFit="false"/>
      <protection locked="true" hidden="false"/>
    </xf>
    <xf numFmtId="169" fontId="16" fillId="9" borderId="7" xfId="0" applyFont="true" applyBorder="true" applyAlignment="true" applyProtection="false">
      <alignment horizontal="general" vertical="bottom" textRotation="0" wrapText="false" indent="0" shrinkToFit="false"/>
      <protection locked="true" hidden="false"/>
    </xf>
    <xf numFmtId="164" fontId="16" fillId="11" borderId="7" xfId="0" applyFont="true" applyBorder="true" applyAlignment="true" applyProtection="false">
      <alignment horizontal="general" vertical="bottom" textRotation="0" wrapText="false" indent="0" shrinkToFit="false"/>
      <protection locked="true" hidden="false"/>
    </xf>
    <xf numFmtId="164" fontId="19" fillId="11" borderId="7" xfId="0" applyFont="true" applyBorder="true" applyAlignment="true" applyProtection="false">
      <alignment horizontal="general" vertical="top" textRotation="0" wrapText="true" indent="0" shrinkToFit="false"/>
      <protection locked="true" hidden="false"/>
    </xf>
    <xf numFmtId="164" fontId="19" fillId="11" borderId="7" xfId="0" applyFont="true" applyBorder="true" applyAlignment="true" applyProtection="false">
      <alignment horizontal="general" vertical="bottom" textRotation="0" wrapText="false" indent="0" shrinkToFit="false"/>
      <protection locked="true" hidden="false"/>
    </xf>
    <xf numFmtId="168" fontId="16" fillId="11" borderId="7" xfId="0" applyFont="true" applyBorder="true" applyAlignment="true" applyProtection="false">
      <alignment horizontal="general" vertical="bottom" textRotation="0" wrapText="false" indent="0" shrinkToFit="false"/>
      <protection locked="true" hidden="false"/>
    </xf>
    <xf numFmtId="169" fontId="16" fillId="11" borderId="7" xfId="0" applyFont="true" applyBorder="true" applyAlignment="true" applyProtection="false">
      <alignment horizontal="general" vertical="bottom" textRotation="0" wrapText="false" indent="0" shrinkToFit="false"/>
      <protection locked="true" hidden="false"/>
    </xf>
    <xf numFmtId="164" fontId="16" fillId="12" borderId="7" xfId="0" applyFont="true" applyBorder="true" applyAlignment="true" applyProtection="false">
      <alignment horizontal="general" vertical="bottom" textRotation="0" wrapText="false" indent="0" shrinkToFit="false"/>
      <protection locked="true" hidden="false"/>
    </xf>
    <xf numFmtId="164" fontId="19" fillId="12" borderId="7" xfId="0" applyFont="true" applyBorder="true" applyAlignment="true" applyProtection="false">
      <alignment horizontal="general" vertical="top" textRotation="0" wrapText="true" indent="0" shrinkToFit="false"/>
      <protection locked="true" hidden="false"/>
    </xf>
    <xf numFmtId="164" fontId="19" fillId="12" borderId="7" xfId="0" applyFont="true" applyBorder="true" applyAlignment="true" applyProtection="false">
      <alignment horizontal="general" vertical="bottom" textRotation="0" wrapText="false" indent="0" shrinkToFit="false"/>
      <protection locked="true" hidden="false"/>
    </xf>
    <xf numFmtId="168" fontId="16" fillId="12" borderId="7" xfId="0" applyFont="true" applyBorder="true" applyAlignment="true" applyProtection="false">
      <alignment horizontal="general" vertical="bottom" textRotation="0" wrapText="false" indent="0" shrinkToFit="false"/>
      <protection locked="true" hidden="false"/>
    </xf>
    <xf numFmtId="169" fontId="16" fillId="12" borderId="7" xfId="0" applyFont="true" applyBorder="true" applyAlignment="true" applyProtection="false">
      <alignment horizontal="general" vertical="bottom" textRotation="0" wrapText="false" indent="0" shrinkToFit="false"/>
      <protection locked="true" hidden="false"/>
    </xf>
    <xf numFmtId="164" fontId="16" fillId="12" borderId="7" xfId="0" applyFont="true" applyBorder="true" applyAlignment="true" applyProtection="false">
      <alignment horizontal="general" vertical="top" textRotation="0" wrapText="true" indent="0" shrinkToFit="false"/>
      <protection locked="true" hidden="false"/>
    </xf>
    <xf numFmtId="164" fontId="16" fillId="11" borderId="7" xfId="0" applyFont="true" applyBorder="true" applyAlignment="true" applyProtection="false">
      <alignment horizontal="general" vertical="top" textRotation="0" wrapText="true" indent="0" shrinkToFit="false"/>
      <protection locked="true" hidden="false"/>
    </xf>
    <xf numFmtId="164" fontId="28" fillId="0" borderId="0" xfId="0" applyFont="true" applyBorder="false" applyAlignment="true" applyProtection="false">
      <alignment horizontal="general" vertical="bottom" textRotation="0" wrapText="false" indent="0" shrinkToFit="false"/>
      <protection locked="true" hidden="false"/>
    </xf>
    <xf numFmtId="168" fontId="33" fillId="0" borderId="0" xfId="0" applyFont="true" applyBorder="false" applyAlignment="true" applyProtection="false">
      <alignment horizontal="general" vertical="bottom" textRotation="0" wrapText="false" indent="0" shrinkToFit="false"/>
      <protection locked="true" hidden="false"/>
    </xf>
    <xf numFmtId="164" fontId="34" fillId="11" borderId="7" xfId="0" applyFont="true" applyBorder="true" applyAlignment="true" applyProtection="false">
      <alignment horizontal="general" vertical="bottom" textRotation="0" wrapText="false" indent="0" shrinkToFit="false"/>
      <protection locked="true" hidden="false"/>
    </xf>
    <xf numFmtId="164" fontId="34" fillId="11" borderId="7" xfId="0" applyFont="true" applyBorder="true" applyAlignment="true" applyProtection="false">
      <alignment horizontal="center" vertical="bottom" textRotation="0" wrapText="false" indent="0" shrinkToFit="false"/>
      <protection locked="true" hidden="false"/>
    </xf>
    <xf numFmtId="164" fontId="35" fillId="11" borderId="7" xfId="0" applyFont="true" applyBorder="true" applyAlignment="true" applyProtection="false">
      <alignment horizontal="general" vertical="bottom" textRotation="0" wrapText="false" indent="0" shrinkToFit="false"/>
      <protection locked="true" hidden="false"/>
    </xf>
    <xf numFmtId="164" fontId="34" fillId="11" borderId="7" xfId="0" applyFont="true" applyBorder="true" applyAlignment="true" applyProtection="false">
      <alignment horizontal="general" vertical="top" textRotation="0" wrapText="true" indent="0" shrinkToFit="false"/>
      <protection locked="true" hidden="false"/>
    </xf>
    <xf numFmtId="166" fontId="34" fillId="11" borderId="7" xfId="0" applyFont="true" applyBorder="true" applyAlignment="true" applyProtection="false">
      <alignment horizontal="center" vertical="bottom" textRotation="0" wrapText="false" indent="0" shrinkToFit="false"/>
      <protection locked="true" hidden="false"/>
    </xf>
    <xf numFmtId="166" fontId="34" fillId="13" borderId="7" xfId="0" applyFont="true" applyBorder="true" applyAlignment="true" applyProtection="false">
      <alignment horizontal="center" vertical="bottom" textRotation="0" wrapText="false" indent="0" shrinkToFit="false"/>
      <protection locked="true" hidden="false"/>
    </xf>
    <xf numFmtId="164" fontId="36" fillId="13" borderId="7" xfId="0" applyFont="true" applyBorder="true" applyAlignment="true" applyProtection="false">
      <alignment horizontal="center" vertical="bottom" textRotation="0" wrapText="false" indent="0" shrinkToFit="false"/>
      <protection locked="true" hidden="false"/>
    </xf>
    <xf numFmtId="164" fontId="34" fillId="13" borderId="7" xfId="0" applyFont="true" applyBorder="true" applyAlignment="true" applyProtection="false">
      <alignment horizontal="general" vertical="bottom" textRotation="0" wrapText="false" indent="0" shrinkToFit="false"/>
      <protection locked="true" hidden="false"/>
    </xf>
    <xf numFmtId="164" fontId="34" fillId="12" borderId="7" xfId="0" applyFont="true" applyBorder="true" applyAlignment="true" applyProtection="false">
      <alignment horizontal="general" vertical="bottom" textRotation="0" wrapText="false" indent="0" shrinkToFit="false"/>
      <protection locked="true" hidden="false"/>
    </xf>
    <xf numFmtId="164" fontId="34" fillId="12" borderId="7" xfId="0" applyFont="true" applyBorder="true" applyAlignment="true" applyProtection="false">
      <alignment horizontal="center" vertical="bottom" textRotation="0" wrapText="false" indent="0" shrinkToFit="false"/>
      <protection locked="true" hidden="false"/>
    </xf>
    <xf numFmtId="164" fontId="35" fillId="12" borderId="7" xfId="0" applyFont="true" applyBorder="true" applyAlignment="true" applyProtection="false">
      <alignment horizontal="general" vertical="bottom" textRotation="0" wrapText="false" indent="0" shrinkToFit="false"/>
      <protection locked="true" hidden="false"/>
    </xf>
    <xf numFmtId="164" fontId="34" fillId="12" borderId="7" xfId="0" applyFont="true" applyBorder="true" applyAlignment="true" applyProtection="false">
      <alignment horizontal="general" vertical="top" textRotation="0" wrapText="true" indent="0" shrinkToFit="false"/>
      <protection locked="true" hidden="false"/>
    </xf>
    <xf numFmtId="164" fontId="16" fillId="0" borderId="7" xfId="0" applyFont="true" applyBorder="true" applyAlignment="true" applyProtection="false">
      <alignment horizontal="general" vertical="bottom" textRotation="0" wrapText="false" indent="0" shrinkToFit="false"/>
      <protection locked="true" hidden="false"/>
    </xf>
    <xf numFmtId="170" fontId="16" fillId="0" borderId="7" xfId="0" applyFont="true" applyBorder="true" applyAlignment="true" applyProtection="false">
      <alignment horizontal="general" vertical="bottom" textRotation="0" wrapText="false" indent="0" shrinkToFit="false"/>
      <protection locked="true" hidden="false"/>
    </xf>
    <xf numFmtId="170" fontId="37" fillId="0" borderId="7" xfId="0" applyFont="true" applyBorder="true" applyAlignment="true" applyProtection="false">
      <alignment horizontal="general" vertical="bottom" textRotation="0" wrapText="false" indent="0" shrinkToFit="false"/>
      <protection locked="true" hidden="false"/>
    </xf>
    <xf numFmtId="168" fontId="37" fillId="0" borderId="7" xfId="0" applyFont="true" applyBorder="true" applyAlignment="true" applyProtection="false">
      <alignment horizontal="general" vertical="bottom" textRotation="0" wrapText="false" indent="0" shrinkToFit="false"/>
      <protection locked="true" hidden="false"/>
    </xf>
    <xf numFmtId="171" fontId="37" fillId="0" borderId="7" xfId="0" applyFont="true" applyBorder="true" applyAlignment="true" applyProtection="false">
      <alignment horizontal="general" vertical="bottom" textRotation="0" wrapText="false" indent="0" shrinkToFit="false"/>
      <protection locked="true" hidden="false"/>
    </xf>
    <xf numFmtId="164" fontId="22" fillId="0" borderId="7" xfId="0" applyFont="true" applyBorder="true" applyAlignment="true" applyProtection="false">
      <alignment horizontal="general" vertical="top" textRotation="0" wrapText="true" indent="0" shrinkToFit="false"/>
      <protection locked="true" hidden="false"/>
    </xf>
    <xf numFmtId="164" fontId="22" fillId="0" borderId="7" xfId="0" applyFont="true" applyBorder="true" applyAlignment="true" applyProtection="false">
      <alignment horizontal="general" vertical="bottom" textRotation="0" wrapText="false" indent="0" shrinkToFit="false"/>
      <protection locked="true" hidden="false"/>
    </xf>
    <xf numFmtId="164" fontId="22" fillId="0" borderId="0" xfId="0" applyFont="true" applyBorder="false" applyAlignment="true" applyProtection="false">
      <alignment horizontal="general" vertical="bottom" textRotation="0" wrapText="false" indent="0" shrinkToFit="false"/>
      <protection locked="true" hidden="false"/>
    </xf>
    <xf numFmtId="165" fontId="38" fillId="0" borderId="0" xfId="0" applyFont="true" applyBorder="false" applyAlignment="true" applyProtection="false">
      <alignment horizontal="general" vertical="bottom" textRotation="0" wrapText="false" indent="0" shrinkToFit="false"/>
      <protection locked="true" hidden="false"/>
    </xf>
    <xf numFmtId="164" fontId="39" fillId="0" borderId="0" xfId="0" applyFont="true" applyBorder="true" applyAlignment="true" applyProtection="false">
      <alignment horizontal="general" vertical="top" textRotation="0" wrapText="true" indent="0" shrinkToFit="false"/>
      <protection locked="true" hidden="false"/>
    </xf>
    <xf numFmtId="164" fontId="19" fillId="0" borderId="7" xfId="0" applyFont="true" applyBorder="true" applyAlignment="true" applyProtection="false">
      <alignment horizontal="general" vertical="top" textRotation="0" wrapText="true" indent="0" shrinkToFit="false"/>
      <protection locked="true" hidden="false"/>
    </xf>
    <xf numFmtId="164" fontId="16" fillId="0" borderId="7" xfId="0" applyFont="true" applyBorder="true" applyAlignment="true" applyProtection="false">
      <alignment horizontal="general" vertical="top" textRotation="0" wrapText="true" indent="0" shrinkToFit="false"/>
      <protection locked="true" hidden="false"/>
    </xf>
    <xf numFmtId="164" fontId="16" fillId="10" borderId="7" xfId="0" applyFont="true" applyBorder="true" applyAlignment="true" applyProtection="false">
      <alignment horizontal="general" vertical="top" textRotation="0" wrapText="true" indent="0" shrinkToFit="false"/>
      <protection locked="true" hidden="false"/>
    </xf>
    <xf numFmtId="164" fontId="28" fillId="0" borderId="0" xfId="0" applyFont="true" applyBorder="false" applyAlignment="true" applyProtection="false">
      <alignment horizontal="general" vertical="center" textRotation="0" wrapText="false" indent="0" shrinkToFit="false"/>
      <protection locked="true" hidden="false"/>
    </xf>
    <xf numFmtId="164" fontId="28" fillId="10" borderId="7" xfId="0" applyFont="true" applyBorder="true" applyAlignment="true" applyProtection="false">
      <alignment horizontal="general" vertical="bottom" textRotation="0" wrapText="false" indent="0" shrinkToFit="false"/>
      <protection locked="true" hidden="false"/>
    </xf>
    <xf numFmtId="164" fontId="41" fillId="0" borderId="0" xfId="0" applyFont="true" applyBorder="true" applyAlignment="true" applyProtection="false">
      <alignment horizontal="general" vertical="bottom" textRotation="0" wrapText="false" indent="0" shrinkToFit="false"/>
      <protection locked="true" hidden="false"/>
    </xf>
    <xf numFmtId="166" fontId="16" fillId="10" borderId="7" xfId="0" applyFont="true" applyBorder="true" applyAlignment="true" applyProtection="false">
      <alignment horizontal="general" vertical="bottom" textRotation="0" wrapText="false" indent="0" shrinkToFit="false"/>
      <protection locked="true" hidden="false"/>
    </xf>
    <xf numFmtId="166" fontId="16" fillId="0" borderId="7" xfId="0" applyFont="true" applyBorder="true" applyAlignment="true" applyProtection="false">
      <alignment horizontal="general" vertical="bottom" textRotation="0" wrapText="false" indent="0" shrinkToFit="false"/>
      <protection locked="true" hidden="false"/>
    </xf>
    <xf numFmtId="164" fontId="42" fillId="0" borderId="7" xfId="0" applyFont="true" applyBorder="true" applyAlignment="true" applyProtection="false">
      <alignment horizontal="general" vertical="top" textRotation="0" wrapText="true" indent="0" shrinkToFit="false"/>
      <protection locked="true" hidden="false"/>
    </xf>
    <xf numFmtId="164" fontId="5" fillId="0" borderId="7" xfId="0" applyFont="true" applyBorder="true" applyAlignment="true" applyProtection="false">
      <alignment horizontal="general" vertical="top" textRotation="0" wrapText="true" indent="0" shrinkToFit="false"/>
      <protection locked="true" hidden="false"/>
    </xf>
    <xf numFmtId="164" fontId="43" fillId="0" borderId="7" xfId="0" applyFont="true" applyBorder="true" applyAlignment="true" applyProtection="false">
      <alignment horizontal="general" vertical="top" textRotation="0" wrapText="true" indent="0" shrinkToFit="false"/>
      <protection locked="true" hidden="false"/>
    </xf>
    <xf numFmtId="164" fontId="23" fillId="0" borderId="7" xfId="0" applyFont="true" applyBorder="true" applyAlignment="true" applyProtection="false">
      <alignment horizontal="general" vertical="bottom" textRotation="0" wrapText="false" indent="0" shrinkToFit="false"/>
      <protection locked="true" hidden="false"/>
    </xf>
    <xf numFmtId="164" fontId="37" fillId="0" borderId="7" xfId="0" applyFont="true" applyBorder="true" applyAlignment="true" applyProtection="false">
      <alignment horizontal="general" vertical="bottom" textRotation="0" wrapText="false" indent="0" shrinkToFit="false"/>
      <protection locked="true" hidden="false"/>
    </xf>
    <xf numFmtId="164" fontId="37" fillId="0" borderId="7" xfId="0" applyFont="true" applyBorder="true" applyAlignment="true" applyProtection="false">
      <alignment horizontal="general" vertical="top" textRotation="0" wrapText="true" indent="0" shrinkToFit="false"/>
      <protection locked="true" hidden="false"/>
    </xf>
    <xf numFmtId="172" fontId="37" fillId="10" borderId="7" xfId="0" applyFont="true" applyBorder="true" applyAlignment="true" applyProtection="false">
      <alignment horizontal="general" vertical="bottom" textRotation="0" wrapText="false" indent="0" shrinkToFit="false"/>
      <protection locked="true" hidden="false"/>
    </xf>
    <xf numFmtId="164" fontId="37" fillId="10" borderId="7" xfId="0" applyFont="true" applyBorder="true" applyAlignment="true" applyProtection="false">
      <alignment horizontal="general" vertical="bottom" textRotation="0" wrapText="false" indent="0" shrinkToFit="false"/>
      <protection locked="true" hidden="false"/>
    </xf>
    <xf numFmtId="172" fontId="37" fillId="0" borderId="7" xfId="0" applyFont="true" applyBorder="true" applyAlignment="true" applyProtection="false">
      <alignment horizontal="general" vertical="bottom" textRotation="0" wrapText="false" indent="0" shrinkToFit="false"/>
      <protection locked="true" hidden="false"/>
    </xf>
    <xf numFmtId="164" fontId="17" fillId="5" borderId="7" xfId="0" applyFont="true" applyBorder="true" applyAlignment="true" applyProtection="false">
      <alignment horizontal="general" vertical="bottom" textRotation="0" wrapText="false" indent="0" shrinkToFit="false"/>
      <protection locked="true" hidden="false"/>
    </xf>
    <xf numFmtId="166" fontId="37" fillId="10" borderId="7" xfId="0" applyFont="true" applyBorder="true" applyAlignment="true" applyProtection="false">
      <alignment horizontal="general" vertical="bottom" textRotation="0" wrapText="false" indent="0" shrinkToFit="false"/>
      <protection locked="true" hidden="false"/>
    </xf>
    <xf numFmtId="164" fontId="30" fillId="5" borderId="7" xfId="0" applyFont="true" applyBorder="true" applyAlignment="true" applyProtection="false">
      <alignment horizontal="general" vertical="bottom" textRotation="0" wrapText="false" indent="0" shrinkToFit="false"/>
      <protection locked="true" hidden="false"/>
    </xf>
    <xf numFmtId="164" fontId="34" fillId="0" borderId="7" xfId="0" applyFont="true" applyBorder="true" applyAlignment="true" applyProtection="false">
      <alignment horizontal="general" vertical="bottom" textRotation="0" wrapText="false" indent="0" shrinkToFit="false"/>
      <protection locked="true" hidden="false"/>
    </xf>
    <xf numFmtId="166" fontId="34" fillId="0" borderId="7" xfId="0" applyFont="true" applyBorder="true" applyAlignment="true" applyProtection="false">
      <alignment horizontal="general" vertical="bottom" textRotation="0" wrapText="false" indent="0" shrinkToFit="false"/>
      <protection locked="true" hidden="false"/>
    </xf>
    <xf numFmtId="164" fontId="43" fillId="0" borderId="7" xfId="0" applyFont="true" applyBorder="true" applyAlignment="true" applyProtection="false">
      <alignment horizontal="general" vertical="bottom" textRotation="0" wrapText="false" indent="0" shrinkToFit="false"/>
      <protection locked="true" hidden="false"/>
    </xf>
    <xf numFmtId="165" fontId="45" fillId="0" borderId="7" xfId="0" applyFont="true" applyBorder="true" applyAlignment="true" applyProtection="false">
      <alignment horizontal="general" vertical="bottom" textRotation="0" wrapText="false" indent="0" shrinkToFit="false"/>
      <protection locked="true" hidden="false"/>
    </xf>
    <xf numFmtId="166" fontId="45" fillId="0" borderId="7" xfId="0" applyFont="true" applyBorder="true" applyAlignment="true" applyProtection="false">
      <alignment horizontal="general" vertical="bottom" textRotation="0" wrapText="false" indent="0" shrinkToFit="false"/>
      <protection locked="true" hidden="false"/>
    </xf>
    <xf numFmtId="168" fontId="45" fillId="0" borderId="7" xfId="0" applyFont="true" applyBorder="true" applyAlignment="true" applyProtection="false">
      <alignment horizontal="general" vertical="bottom" textRotation="0" wrapText="false" indent="0" shrinkToFit="false"/>
      <protection locked="true" hidden="false"/>
    </xf>
    <xf numFmtId="169" fontId="33" fillId="0" borderId="7" xfId="0" applyFont="true" applyBorder="true" applyAlignment="true" applyProtection="false">
      <alignment horizontal="general" vertical="bottom" textRotation="0" wrapText="false" indent="0" shrinkToFit="false"/>
      <protection locked="true" hidden="false"/>
    </xf>
    <xf numFmtId="166" fontId="33" fillId="0" borderId="7" xfId="0" applyFont="true" applyBorder="true" applyAlignment="true" applyProtection="false">
      <alignment horizontal="general" vertical="bottom" textRotation="0" wrapText="false" indent="0" shrinkToFit="false"/>
      <protection locked="true" hidden="false"/>
    </xf>
    <xf numFmtId="164" fontId="46" fillId="0" borderId="0" xfId="0" applyFont="true" applyBorder="false" applyAlignment="true" applyProtection="false">
      <alignment horizontal="general" vertical="bottom" textRotation="0" wrapText="false" indent="0" shrinkToFit="false"/>
      <protection locked="true" hidden="false"/>
    </xf>
    <xf numFmtId="166" fontId="47" fillId="0" borderId="7" xfId="0" applyFont="true" applyBorder="true" applyAlignment="true" applyProtection="false">
      <alignment horizontal="general" vertical="bottom" textRotation="0" wrapText="false" indent="0" shrinkToFit="false"/>
      <protection locked="true" hidden="false"/>
    </xf>
    <xf numFmtId="168" fontId="45" fillId="13" borderId="7" xfId="0" applyFont="true" applyBorder="true" applyAlignment="true" applyProtection="false">
      <alignment horizontal="general" vertical="bottom" textRotation="0" wrapText="false" indent="0" shrinkToFit="false"/>
      <protection locked="true" hidden="false"/>
    </xf>
    <xf numFmtId="164" fontId="28" fillId="0" borderId="0" xfId="0" applyFont="true" applyBorder="false" applyAlignment="true" applyProtection="false">
      <alignment horizontal="center" vertical="center" textRotation="0" wrapText="true" indent="0" shrinkToFit="false"/>
      <protection locked="true" hidden="false"/>
    </xf>
    <xf numFmtId="164" fontId="48" fillId="14" borderId="7" xfId="0" applyFont="true" applyBorder="true" applyAlignment="true" applyProtection="false">
      <alignment horizontal="general" vertical="bottom" textRotation="0" wrapText="false" indent="0" shrinkToFit="false"/>
      <protection locked="true" hidden="false"/>
    </xf>
    <xf numFmtId="164" fontId="41" fillId="3" borderId="0" xfId="0" applyFont="true" applyBorder="false" applyAlignment="true" applyProtection="false">
      <alignment horizontal="center" vertical="center" textRotation="0" wrapText="true" indent="0" shrinkToFit="false"/>
      <protection locked="true" hidden="false"/>
    </xf>
    <xf numFmtId="164" fontId="49" fillId="5" borderId="7" xfId="0" applyFont="true" applyBorder="true" applyAlignment="true" applyProtection="false">
      <alignment horizontal="center" vertical="center" textRotation="0" wrapText="true" indent="0" shrinkToFit="false"/>
      <protection locked="true" hidden="false"/>
    </xf>
    <xf numFmtId="168" fontId="34" fillId="0" borderId="7" xfId="0" applyFont="true" applyBorder="true" applyAlignment="true" applyProtection="false">
      <alignment horizontal="general" vertical="bottom" textRotation="0" wrapText="false" indent="0" shrinkToFit="false"/>
      <protection locked="true" hidden="false"/>
    </xf>
    <xf numFmtId="172" fontId="50" fillId="0" borderId="7" xfId="0" applyFont="true" applyBorder="true" applyAlignment="true" applyProtection="false">
      <alignment horizontal="general" vertical="bottom" textRotation="0" wrapText="false" indent="0" shrinkToFit="false"/>
      <protection locked="true" hidden="false"/>
    </xf>
    <xf numFmtId="168" fontId="33" fillId="0" borderId="7" xfId="0" applyFont="true" applyBorder="true" applyAlignment="true" applyProtection="false">
      <alignment horizontal="general" vertical="bottom" textRotation="0" wrapText="false" indent="0" shrinkToFit="false"/>
      <protection locked="true" hidden="false"/>
    </xf>
    <xf numFmtId="172" fontId="51" fillId="0" borderId="7" xfId="0" applyFont="true" applyBorder="true" applyAlignment="true" applyProtection="false">
      <alignment horizontal="general" vertical="bottom" textRotation="0" wrapText="false" indent="0" shrinkToFit="false"/>
      <protection locked="true" hidden="false"/>
    </xf>
    <xf numFmtId="164" fontId="28" fillId="0" borderId="0" xfId="0" applyFont="true" applyBorder="true" applyAlignment="true" applyProtection="false">
      <alignment horizontal="general" vertical="bottom" textRotation="0" wrapText="false" indent="0" shrinkToFit="false"/>
      <protection locked="true" hidden="false"/>
    </xf>
    <xf numFmtId="164" fontId="34" fillId="0" borderId="7" xfId="0" applyFont="true" applyBorder="true" applyAlignment="true" applyProtection="false">
      <alignment horizontal="center" vertical="bottom" textRotation="0" wrapText="false" indent="0" shrinkToFit="false"/>
      <protection locked="true" hidden="false"/>
    </xf>
    <xf numFmtId="164" fontId="34" fillId="0" borderId="7" xfId="0" applyFont="true" applyBorder="true" applyAlignment="true" applyProtection="false">
      <alignment horizontal="general" vertical="top" textRotation="0" wrapText="true" indent="0" shrinkToFit="false"/>
      <protection locked="true" hidden="false"/>
    </xf>
    <xf numFmtId="164" fontId="34" fillId="13" borderId="7" xfId="0" applyFont="true" applyBorder="true" applyAlignment="true" applyProtection="false">
      <alignment horizontal="center" vertical="bottom" textRotation="0" wrapText="false" indent="0" shrinkToFit="false"/>
      <protection locked="true" hidden="false"/>
    </xf>
    <xf numFmtId="164" fontId="35" fillId="0" borderId="7" xfId="0" applyFont="true" applyBorder="true" applyAlignment="true" applyProtection="false">
      <alignment horizontal="general" vertical="bottom" textRotation="0" wrapText="false" indent="0" shrinkToFit="false"/>
      <protection locked="true" hidden="false"/>
    </xf>
    <xf numFmtId="164" fontId="34" fillId="14" borderId="7" xfId="0" applyFont="true" applyBorder="true" applyAlignment="true" applyProtection="false">
      <alignment horizontal="general" vertical="bottom" textRotation="0" wrapText="false" indent="0" shrinkToFit="false"/>
      <protection locked="true" hidden="false"/>
    </xf>
    <xf numFmtId="164" fontId="36" fillId="14" borderId="7" xfId="0" applyFont="true" applyBorder="true" applyAlignment="true" applyProtection="false">
      <alignment horizontal="general" vertical="bottom" textRotation="0" wrapText="false" indent="0" shrinkToFit="false"/>
      <protection locked="true" hidden="false"/>
    </xf>
    <xf numFmtId="165" fontId="48" fillId="0" borderId="7" xfId="0" applyFont="true" applyBorder="true" applyAlignment="true" applyProtection="false">
      <alignment horizontal="general" vertical="bottom" textRotation="0" wrapText="false" indent="0" shrinkToFit="false"/>
      <protection locked="true" hidden="false"/>
    </xf>
    <xf numFmtId="164" fontId="22" fillId="0" borderId="0" xfId="0" applyFont="true" applyBorder="true" applyAlignment="true" applyProtection="false">
      <alignment horizontal="general" vertical="top" textRotation="0" wrapText="true" indent="0" shrinkToFit="false"/>
      <protection locked="true" hidden="false"/>
    </xf>
    <xf numFmtId="173" fontId="34" fillId="14" borderId="7" xfId="0" applyFont="true" applyBorder="true" applyAlignment="true" applyProtection="false">
      <alignment horizontal="general" vertical="bottom" textRotation="0" wrapText="false" indent="0" shrinkToFit="false"/>
      <protection locked="true" hidden="false"/>
    </xf>
    <xf numFmtId="164" fontId="18" fillId="14" borderId="7" xfId="0" applyFont="true" applyBorder="true" applyAlignment="true" applyProtection="false">
      <alignment horizontal="general" vertical="bottom" textRotation="0" wrapText="false" indent="0" shrinkToFit="false"/>
      <protection locked="true" hidden="false"/>
    </xf>
    <xf numFmtId="164" fontId="18" fillId="0" borderId="7" xfId="0" applyFont="true" applyBorder="true" applyAlignment="true" applyProtection="false">
      <alignment horizontal="general" vertical="bottom" textRotation="0" wrapText="false" indent="0" shrinkToFit="false"/>
      <protection locked="true" hidden="false"/>
    </xf>
    <xf numFmtId="166" fontId="37" fillId="0" borderId="7" xfId="0" applyFont="true" applyBorder="true" applyAlignment="true" applyProtection="false">
      <alignment horizontal="general" vertical="bottom" textRotation="0" wrapText="false" indent="0" shrinkToFit="false"/>
      <protection locked="true" hidden="false"/>
    </xf>
    <xf numFmtId="172" fontId="37" fillId="14" borderId="7" xfId="0" applyFont="true" applyBorder="true" applyAlignment="true" applyProtection="false">
      <alignment horizontal="general" vertical="bottom" textRotation="0" wrapText="false" indent="0" shrinkToFit="false"/>
      <protection locked="true" hidden="false"/>
    </xf>
    <xf numFmtId="166" fontId="51" fillId="0" borderId="7" xfId="0" applyFont="true" applyBorder="true" applyAlignment="true" applyProtection="false">
      <alignment horizontal="general" vertical="bottom" textRotation="0" wrapText="false" indent="0" shrinkToFit="false"/>
      <protection locked="true" hidden="false"/>
    </xf>
  </cellXfs>
  <cellStyles count="9">
    <cellStyle name="Normal" xfId="0" builtinId="0"/>
    <cellStyle name="Comma" xfId="15" builtinId="3"/>
    <cellStyle name="Comma [0]" xfId="16" builtinId="6"/>
    <cellStyle name="Currency" xfId="17" builtinId="4"/>
    <cellStyle name="Currency [0]" xfId="18" builtinId="7"/>
    <cellStyle name="Percent" xfId="19" builtinId="5"/>
    <cellStyle name="표준 2" xfId="20"/>
    <cellStyle name="표준 2 2" xfId="21"/>
    <cellStyle name="표준 3" xfId="22"/>
  </cellStyles>
  <dxfs count="4">
    <dxf>
      <fill>
        <patternFill>
          <bgColor rgb="FFC6E0B4"/>
        </patternFill>
      </fill>
    </dxf>
    <dxf>
      <fill>
        <patternFill>
          <bgColor rgb="FFFFE699"/>
        </patternFill>
      </fill>
    </dxf>
    <dxf>
      <fill>
        <patternFill>
          <bgColor rgb="FFF8696B"/>
        </patternFill>
      </fill>
    </dxf>
    <dxf>
      <fill>
        <patternFill>
          <bgColor rgb="FFD9D9D9"/>
        </patternFill>
      </fill>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88888"/>
      <rgbColor rgb="FFC6E0B4"/>
      <rgbColor rgb="FF993366"/>
      <rgbColor rgb="FFEBF1DE"/>
      <rgbColor rgb="FFDDEBF7"/>
      <rgbColor rgb="FF660066"/>
      <rgbColor rgb="FFF8696B"/>
      <rgbColor rgb="FF0066CC"/>
      <rgbColor rgb="FFBDD7EE"/>
      <rgbColor rgb="FF000080"/>
      <rgbColor rgb="FFFF00FF"/>
      <rgbColor rgb="FFE6E6E6"/>
      <rgbColor rgb="FF00FFFF"/>
      <rgbColor rgb="FF800080"/>
      <rgbColor rgb="FF800000"/>
      <rgbColor rgb="FF008080"/>
      <rgbColor rgb="FF0000FF"/>
      <rgbColor rgb="FF00CCFF"/>
      <rgbColor rgb="FFDCE6F2"/>
      <rgbColor rgb="FFE2EFDA"/>
      <rgbColor rgb="FFFFE699"/>
      <rgbColor rgb="FFC8C8C8"/>
      <rgbColor rgb="FFF2DCDB"/>
      <rgbColor rgb="FFD9D9D9"/>
      <rgbColor rgb="FFF8CBAD"/>
      <rgbColor rgb="FF3366FF"/>
      <rgbColor rgb="FF33CCCC"/>
      <rgbColor rgb="FFF2F2F2"/>
      <rgbColor rgb="FFFCE4D6"/>
      <rgbColor rgb="FFFF9900"/>
      <rgbColor rgb="FFFF6600"/>
      <rgbColor rgb="FF777777"/>
      <rgbColor rgb="FFA6A6A6"/>
      <rgbColor rgb="FF003366"/>
      <rgbColor rgb="FF339966"/>
      <rgbColor rgb="FF003300"/>
      <rgbColor rgb="FF333300"/>
      <rgbColor rgb="FF993300"/>
      <rgbColor rgb="FF993366"/>
      <rgbColor rgb="FF1F4E78"/>
      <rgbColor rgb="FF555555"/>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theme" Target="theme/theme1.xml"/><Relationship Id="rId3" Type="http://schemas.openxmlformats.org/officeDocument/2006/relationships/styles" Target="styles.xml"/><Relationship Id="rId4" Type="http://schemas.openxmlformats.org/officeDocument/2006/relationships/worksheet" Target="worksheets/sheet1.xml"/><Relationship Id="rId5" Type="http://schemas.openxmlformats.org/officeDocument/2006/relationships/worksheet" Target="worksheets/sheet2.xml"/><Relationship Id="rId6" Type="http://schemas.openxmlformats.org/officeDocument/2006/relationships/worksheet" Target="worksheets/sheet3.xml"/><Relationship Id="rId7" Type="http://schemas.openxmlformats.org/officeDocument/2006/relationships/worksheet" Target="worksheets/sheet4.xml"/><Relationship Id="rId8" Type="http://schemas.openxmlformats.org/officeDocument/2006/relationships/worksheet" Target="worksheets/sheet5.xml"/><Relationship Id="rId9" Type="http://schemas.openxmlformats.org/officeDocument/2006/relationships/worksheet" Target="worksheets/sheet6.xml"/><Relationship Id="rId10" Type="http://schemas.openxmlformats.org/officeDocument/2006/relationships/worksheet" Target="worksheets/sheet7.xml"/><Relationship Id="rId11" Type="http://schemas.openxmlformats.org/officeDocument/2006/relationships/worksheet" Target="worksheets/sheet8.xml"/><Relationship Id="rId12" Type="http://schemas.openxmlformats.org/officeDocument/2006/relationships/worksheet" Target="worksheets/sheet9.xml"/><Relationship Id="rId13" Type="http://schemas.openxmlformats.org/officeDocument/2006/relationships/worksheet" Target="worksheets/sheet10.xml"/><Relationship Id="rId14" Type="http://schemas.openxmlformats.org/officeDocument/2006/relationships/worksheet" Target="worksheets/sheet11.xml"/><Relationship Id="rId15" Type="http://schemas.openxmlformats.org/officeDocument/2006/relationships/worksheet" Target="worksheets/sheet12.xml"/><Relationship Id="rId16" Type="http://schemas.openxmlformats.org/officeDocument/2006/relationships/worksheet" Target="worksheets/sheet13.xml"/><Relationship Id="rId17" Type="http://schemas.openxmlformats.org/officeDocument/2006/relationships/worksheet" Target="worksheets/sheet14.xml"/><Relationship Id="rId18" Type="http://schemas.openxmlformats.org/officeDocument/2006/relationships/worksheet" Target="worksheets/sheet15.xml"/><Relationship Id="rId19" Type="http://schemas.openxmlformats.org/officeDocument/2006/relationships/worksheet" Target="worksheets/sheet16.xml"/><Relationship Id="rId20" Type="http://schemas.openxmlformats.org/officeDocument/2006/relationships/worksheet" Target="worksheets/sheet17.xml"/><Relationship Id="rId21" Type="http://schemas.openxmlformats.org/officeDocument/2006/relationships/worksheet" Target="worksheets/sheet18.xml"/><Relationship Id="rId22" Type="http://schemas.openxmlformats.org/officeDocument/2006/relationships/sharedStrings" Target="sharedStrings.xml"/>
</Relationships>
</file>

<file path=xl/theme/theme1.xml><?xml version="1.0" encoding="utf-8"?>
<a:theme xmlns:a="http://schemas.openxmlformats.org/drawingml/2006/main" xmlns:r="http://schemas.openxmlformats.org/officeDocument/2006/relationships"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itchFamily="0" charset="1"/>
        <a:ea typeface=""/>
        <a:cs typeface=""/>
      </a:majorFont>
      <a:minorFont>
        <a:latin typeface="Calibri" pitchFamily="0" charset="1"/>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l="0" t="0" r="0" b="0"/>
        </a:gradFill>
        <a:gradFill>
          <a:gsLst>
            <a:gs pos="0">
              <a:schemeClr val="phClr">
                <a:shade val="51000"/>
              </a:schemeClr>
            </a:gs>
            <a:gs pos="80000">
              <a:schemeClr val="phClr">
                <a:shade val="93000"/>
              </a:schemeClr>
            </a:gs>
            <a:gs pos="100000">
              <a:schemeClr val="phClr">
                <a:shade val="94000"/>
              </a:schemeClr>
            </a:gs>
          </a:gsLst>
          <a:lin ang="16200000" scaled="0"/>
          <a:tileRect l="0" t="0" r="0" b="0"/>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l="0" t="0" r="0" b="0"/>
        </a:gradFill>
        <a:gradFill>
          <a:gsLst>
            <a:gs pos="0">
              <a:schemeClr val="phClr">
                <a:tint val="80000"/>
              </a:schemeClr>
            </a:gs>
            <a:gs pos="100000">
              <a:schemeClr val="phClr">
                <a:shade val="30000"/>
              </a:schemeClr>
            </a:gs>
          </a:gsLst>
          <a:path path="circle">
            <a:fillToRect l="50000" t="50000" r="50000" b="50000"/>
          </a:path>
          <a:tileRect l="0" t="0" r="0" b="0"/>
        </a:gradFill>
      </a:bgFillStyleLst>
    </a:fmtScheme>
  </a:themeElements>
</a:theme>
</file>

<file path=xl/worksheets/_rels/sheet2.xml.rels><?xml version="1.0" encoding="UTF-8"?>
<Relationships xmlns="http://schemas.openxmlformats.org/package/2006/relationships"><Relationship Id="rId1" Type="http://schemas.openxmlformats.org/officeDocument/2006/relationships/comments" Target="../comments2.xml"/><Relationship Id="rId2" Type="http://schemas.openxmlformats.org/officeDocument/2006/relationships/vmlDrawing" Target="../drawings/vmlDrawing1.v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M20"/>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73046875" defaultRowHeight="16.5" zeroHeight="false" outlineLevelRow="0" outlineLevelCol="0"/>
  <cols>
    <col collapsed="false" customWidth="false" hidden="false" outlineLevel="0" max="1" min="1" style="1" width="8.73"/>
    <col collapsed="false" customWidth="true" hidden="false" outlineLevel="0" max="2" min="2" style="1" width="8.09"/>
    <col collapsed="false" customWidth="true" hidden="false" outlineLevel="0" max="3" min="3" style="1" width="35.63"/>
    <col collapsed="false" customWidth="true" hidden="false" outlineLevel="0" max="4" min="4" style="1" width="50.63"/>
    <col collapsed="false" customWidth="true" hidden="false" outlineLevel="0" max="5" min="5" style="1" width="10.63"/>
    <col collapsed="false" customWidth="false" hidden="false" outlineLevel="0" max="10" min="6" style="1" width="8.73"/>
    <col collapsed="false" customWidth="true" hidden="false" outlineLevel="0" max="12" min="11" style="1" width="16.63"/>
    <col collapsed="false" customWidth="false" hidden="false" outlineLevel="0" max="16384" min="13" style="1" width="8.73"/>
  </cols>
  <sheetData>
    <row r="1" customFormat="false" ht="16.5" hidden="false" customHeight="true" outlineLevel="0" collapsed="false">
      <c r="B1" s="2"/>
      <c r="C1" s="2"/>
      <c r="D1" s="3" t="s">
        <v>0</v>
      </c>
      <c r="E1" s="2"/>
      <c r="F1" s="2"/>
      <c r="G1" s="2"/>
      <c r="H1" s="2"/>
      <c r="I1" s="2"/>
      <c r="J1" s="2"/>
      <c r="K1" s="2"/>
      <c r="L1" s="4" t="s">
        <v>1</v>
      </c>
      <c r="M1" s="4"/>
    </row>
    <row r="2" customFormat="false" ht="16.5" hidden="false" customHeight="true" outlineLevel="0" collapsed="false">
      <c r="B2" s="2"/>
      <c r="C2" s="2"/>
      <c r="D2" s="3" t="s">
        <v>2</v>
      </c>
      <c r="E2" s="2"/>
      <c r="F2" s="2"/>
      <c r="G2" s="2"/>
      <c r="H2" s="2"/>
      <c r="I2" s="2"/>
      <c r="J2" s="2"/>
      <c r="K2" s="2"/>
      <c r="L2" s="5" t="s">
        <v>3</v>
      </c>
      <c r="M2" s="4"/>
    </row>
    <row r="3" customFormat="false" ht="16.5" hidden="false" customHeight="true" outlineLevel="0" collapsed="false">
      <c r="B3" s="6" t="s">
        <v>4</v>
      </c>
      <c r="C3" s="5" t="s">
        <v>5</v>
      </c>
      <c r="D3" s="4"/>
      <c r="E3" s="4"/>
      <c r="F3" s="2"/>
      <c r="G3" s="2"/>
      <c r="H3" s="2"/>
      <c r="I3" s="2"/>
      <c r="J3" s="2"/>
      <c r="K3" s="2"/>
      <c r="L3" s="4" t="n">
        <v>10</v>
      </c>
      <c r="M3" s="5" t="s">
        <v>6</v>
      </c>
    </row>
    <row r="4" customFormat="false" ht="16.5" hidden="false" customHeight="true" outlineLevel="0" collapsed="false">
      <c r="B4" s="7" t="s">
        <v>7</v>
      </c>
      <c r="C4" s="7" t="s">
        <v>8</v>
      </c>
      <c r="D4" s="7" t="s">
        <v>9</v>
      </c>
      <c r="E4" s="7" t="s">
        <v>10</v>
      </c>
      <c r="F4" s="2"/>
      <c r="G4" s="2"/>
      <c r="H4" s="2"/>
      <c r="I4" s="2"/>
      <c r="J4" s="2"/>
      <c r="K4" s="2"/>
      <c r="L4" s="2"/>
      <c r="M4" s="2"/>
    </row>
    <row r="5" customFormat="false" ht="16.5" hidden="false" customHeight="true" outlineLevel="0" collapsed="false">
      <c r="B5" s="5" t="n">
        <v>1</v>
      </c>
      <c r="C5" s="5" t="s">
        <v>11</v>
      </c>
      <c r="D5" s="4" t="s">
        <v>12</v>
      </c>
      <c r="E5" s="8"/>
      <c r="F5" s="9"/>
      <c r="G5" s="2"/>
      <c r="H5" s="2"/>
      <c r="I5" s="2"/>
      <c r="J5" s="2"/>
      <c r="K5" s="2"/>
      <c r="L5" s="2"/>
      <c r="M5" s="2"/>
    </row>
    <row r="6" customFormat="false" ht="16.5" hidden="false" customHeight="true" outlineLevel="0" collapsed="false">
      <c r="B6" s="4" t="n">
        <v>2</v>
      </c>
      <c r="C6" s="5" t="s">
        <v>13</v>
      </c>
      <c r="D6" s="4" t="s">
        <v>14</v>
      </c>
      <c r="E6" s="8"/>
      <c r="F6" s="9"/>
      <c r="G6" s="2"/>
      <c r="H6" s="2"/>
      <c r="I6" s="2"/>
      <c r="J6" s="2"/>
      <c r="K6" s="2"/>
      <c r="L6" s="2"/>
      <c r="M6" s="2"/>
    </row>
    <row r="7" customFormat="false" ht="16.5" hidden="false" customHeight="true" outlineLevel="0" collapsed="false">
      <c r="B7" s="4" t="n">
        <v>3</v>
      </c>
      <c r="C7" s="4" t="s">
        <v>15</v>
      </c>
      <c r="D7" s="4" t="s">
        <v>16</v>
      </c>
      <c r="E7" s="8"/>
      <c r="F7" s="9"/>
      <c r="G7" s="2"/>
      <c r="H7" s="2"/>
      <c r="I7" s="2"/>
      <c r="J7" s="2"/>
      <c r="K7" s="2"/>
      <c r="L7" s="2"/>
      <c r="M7" s="2"/>
    </row>
    <row r="8" customFormat="false" ht="16.5" hidden="false" customHeight="true" outlineLevel="0" collapsed="false">
      <c r="B8" s="4" t="n">
        <v>4</v>
      </c>
      <c r="C8" s="5" t="s">
        <v>17</v>
      </c>
      <c r="D8" s="4" t="s">
        <v>16</v>
      </c>
      <c r="E8" s="8"/>
      <c r="F8" s="9"/>
      <c r="G8" s="2"/>
      <c r="H8" s="2"/>
      <c r="I8" s="2"/>
      <c r="J8" s="2"/>
      <c r="K8" s="2"/>
      <c r="L8" s="2"/>
      <c r="M8" s="2"/>
    </row>
    <row r="9" customFormat="false" ht="16.5" hidden="false" customHeight="true" outlineLevel="0" collapsed="false">
      <c r="B9" s="4" t="n">
        <v>5</v>
      </c>
      <c r="C9" s="5" t="s">
        <v>18</v>
      </c>
      <c r="D9" s="4" t="s">
        <v>16</v>
      </c>
      <c r="E9" s="8"/>
      <c r="F9" s="9"/>
      <c r="G9" s="2"/>
      <c r="H9" s="2"/>
      <c r="I9" s="2"/>
      <c r="J9" s="2"/>
      <c r="K9" s="2"/>
      <c r="L9" s="2"/>
      <c r="M9" s="2"/>
    </row>
    <row r="10" customFormat="false" ht="16.5" hidden="false" customHeight="true" outlineLevel="0" collapsed="false">
      <c r="B10" s="4" t="n">
        <v>6</v>
      </c>
      <c r="C10" s="4" t="s">
        <v>19</v>
      </c>
      <c r="D10" s="4" t="s">
        <v>16</v>
      </c>
      <c r="E10" s="8"/>
      <c r="F10" s="2"/>
      <c r="G10" s="2"/>
      <c r="H10" s="2"/>
      <c r="I10" s="2"/>
      <c r="J10" s="2"/>
      <c r="K10" s="2"/>
      <c r="L10" s="2"/>
      <c r="M10" s="2"/>
    </row>
    <row r="11" customFormat="false" ht="16.5" hidden="false" customHeight="true" outlineLevel="0" collapsed="false">
      <c r="B11" s="4" t="n">
        <v>7</v>
      </c>
      <c r="C11" s="5" t="s">
        <v>20</v>
      </c>
      <c r="D11" s="4" t="s">
        <v>16</v>
      </c>
      <c r="E11" s="8"/>
      <c r="F11" s="2"/>
      <c r="G11" s="2"/>
      <c r="H11" s="2"/>
      <c r="I11" s="2"/>
      <c r="J11" s="2"/>
      <c r="K11" s="2"/>
      <c r="L11" s="2"/>
      <c r="M11" s="2"/>
    </row>
    <row r="12" customFormat="false" ht="16.5" hidden="false" customHeight="true" outlineLevel="0" collapsed="false">
      <c r="B12" s="4" t="n">
        <v>8</v>
      </c>
      <c r="C12" s="4" t="s">
        <v>21</v>
      </c>
      <c r="D12" s="4" t="s">
        <v>16</v>
      </c>
      <c r="E12" s="8"/>
      <c r="F12" s="2"/>
      <c r="G12" s="2"/>
      <c r="H12" s="2"/>
      <c r="I12" s="2"/>
      <c r="J12" s="2"/>
      <c r="K12" s="2"/>
      <c r="L12" s="2"/>
      <c r="M12" s="2"/>
    </row>
    <row r="13" customFormat="false" ht="16.5" hidden="false" customHeight="true" outlineLevel="0" collapsed="false">
      <c r="B13" s="4" t="n">
        <v>9</v>
      </c>
      <c r="C13" s="4" t="s">
        <v>22</v>
      </c>
      <c r="D13" s="4" t="s">
        <v>16</v>
      </c>
      <c r="E13" s="8"/>
      <c r="F13" s="2"/>
      <c r="G13" s="2"/>
      <c r="H13" s="2"/>
      <c r="I13" s="2"/>
      <c r="J13" s="2"/>
      <c r="K13" s="2"/>
      <c r="L13" s="2"/>
      <c r="M13" s="2"/>
    </row>
    <row r="14" customFormat="false" ht="16.5" hidden="false" customHeight="true" outlineLevel="0" collapsed="false">
      <c r="B14" s="4" t="n">
        <v>10</v>
      </c>
      <c r="C14" s="4" t="s">
        <v>23</v>
      </c>
      <c r="D14" s="4" t="s">
        <v>16</v>
      </c>
      <c r="E14" s="8"/>
      <c r="F14" s="2"/>
      <c r="G14" s="2"/>
      <c r="H14" s="2"/>
      <c r="I14" s="2"/>
      <c r="J14" s="2"/>
      <c r="K14" s="2"/>
      <c r="L14" s="2"/>
      <c r="M14" s="2"/>
    </row>
    <row r="15" customFormat="false" ht="16.5" hidden="false" customHeight="true" outlineLevel="0" collapsed="false">
      <c r="B15" s="4" t="n">
        <v>11</v>
      </c>
      <c r="C15" s="4" t="s">
        <v>24</v>
      </c>
      <c r="D15" s="4" t="s">
        <v>16</v>
      </c>
      <c r="E15" s="8"/>
      <c r="F15" s="2"/>
      <c r="G15" s="2"/>
      <c r="H15" s="2"/>
      <c r="I15" s="2"/>
      <c r="J15" s="2"/>
      <c r="K15" s="2"/>
      <c r="L15" s="2"/>
      <c r="M15" s="2"/>
    </row>
    <row r="16" customFormat="false" ht="16.5" hidden="false" customHeight="true" outlineLevel="0" collapsed="false">
      <c r="B16" s="4" t="n">
        <v>12</v>
      </c>
      <c r="C16" s="5" t="s">
        <v>25</v>
      </c>
      <c r="D16" s="4" t="s">
        <v>16</v>
      </c>
      <c r="E16" s="8"/>
      <c r="F16" s="2"/>
      <c r="G16" s="2"/>
      <c r="H16" s="2"/>
      <c r="I16" s="2"/>
      <c r="J16" s="2"/>
      <c r="K16" s="2"/>
      <c r="L16" s="2"/>
      <c r="M16" s="2"/>
    </row>
    <row r="17" customFormat="false" ht="16.5" hidden="false" customHeight="true" outlineLevel="0" collapsed="false">
      <c r="B17" s="4" t="n">
        <v>13</v>
      </c>
      <c r="C17" s="5" t="s">
        <v>26</v>
      </c>
      <c r="D17" s="4" t="s">
        <v>16</v>
      </c>
      <c r="E17" s="8"/>
      <c r="F17" s="2"/>
      <c r="G17" s="2"/>
      <c r="H17" s="2"/>
      <c r="I17" s="2"/>
      <c r="J17" s="2"/>
      <c r="K17" s="2"/>
      <c r="L17" s="2"/>
      <c r="M17" s="2"/>
    </row>
    <row r="18" customFormat="false" ht="16.5" hidden="false" customHeight="true" outlineLevel="0" collapsed="false">
      <c r="B18" s="4" t="n">
        <v>14</v>
      </c>
      <c r="C18" s="4" t="s">
        <v>27</v>
      </c>
      <c r="D18" s="4" t="s">
        <v>16</v>
      </c>
      <c r="E18" s="8"/>
      <c r="F18" s="2"/>
      <c r="G18" s="2"/>
      <c r="H18" s="2"/>
      <c r="I18" s="2"/>
      <c r="J18" s="2"/>
      <c r="K18" s="2"/>
      <c r="L18" s="2"/>
      <c r="M18" s="2"/>
    </row>
    <row r="19" customFormat="false" ht="16.5" hidden="false" customHeight="true" outlineLevel="0" collapsed="false">
      <c r="B19" s="4" t="n">
        <v>15</v>
      </c>
      <c r="C19" s="4" t="s">
        <v>28</v>
      </c>
      <c r="D19" s="4" t="s">
        <v>16</v>
      </c>
      <c r="E19" s="8"/>
      <c r="F19" s="2"/>
      <c r="G19" s="2"/>
      <c r="H19" s="2"/>
      <c r="I19" s="2"/>
      <c r="J19" s="2"/>
      <c r="K19" s="2"/>
      <c r="L19" s="2"/>
      <c r="M19" s="2"/>
    </row>
    <row r="20" customFormat="false" ht="16.5" hidden="false" customHeight="true" outlineLevel="0" collapsed="false">
      <c r="B20" s="4" t="n">
        <v>16</v>
      </c>
      <c r="C20" s="4" t="s">
        <v>29</v>
      </c>
      <c r="D20" s="4" t="s">
        <v>16</v>
      </c>
      <c r="E20" s="8"/>
      <c r="F20" s="2"/>
      <c r="G20" s="2"/>
      <c r="H20" s="2"/>
      <c r="I20" s="2"/>
      <c r="J20" s="2"/>
      <c r="K20" s="2"/>
      <c r="L20" s="2"/>
      <c r="M20" s="2"/>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1:W29"/>
  <sheetViews>
    <sheetView showFormulas="false" showGridLines="fals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73046875" defaultRowHeight="15.75" zeroHeight="false" outlineLevelRow="0" outlineLevelCol="0"/>
  <cols>
    <col collapsed="false" customWidth="false" hidden="false" outlineLevel="0" max="1" min="1" style="10" width="8.73"/>
    <col collapsed="false" customWidth="true" hidden="false" outlineLevel="0" max="2" min="2" style="11" width="11.54"/>
    <col collapsed="false" customWidth="true" hidden="false" outlineLevel="0" max="3" min="3" style="10" width="11.54"/>
    <col collapsed="false" customWidth="true" hidden="false" outlineLevel="0" max="4" min="4" style="12" width="14.82"/>
    <col collapsed="false" customWidth="true" hidden="false" outlineLevel="0" max="5" min="5" style="10" width="12.82"/>
    <col collapsed="false" customWidth="true" hidden="false" outlineLevel="0" max="6" min="6" style="10" width="23"/>
    <col collapsed="false" customWidth="true" hidden="false" outlineLevel="0" max="7" min="7" style="10" width="14.63"/>
    <col collapsed="false" customWidth="true" hidden="false" outlineLevel="0" max="8" min="8" style="10" width="13.82"/>
    <col collapsed="false" customWidth="true" hidden="false" outlineLevel="0" max="9" min="9" style="10" width="12.18"/>
    <col collapsed="false" customWidth="true" hidden="false" outlineLevel="0" max="10" min="10" style="10" width="12.09"/>
    <col collapsed="false" customWidth="true" hidden="false" outlineLevel="0" max="11" min="11" style="10" width="11.09"/>
    <col collapsed="false" customWidth="true" hidden="false" outlineLevel="0" max="12" min="12" style="10" width="12.18"/>
    <col collapsed="false" customWidth="true" hidden="false" outlineLevel="0" max="13" min="13" style="10" width="9.91"/>
    <col collapsed="false" customWidth="true" hidden="false" outlineLevel="0" max="14" min="14" style="10" width="13.91"/>
    <col collapsed="false" customWidth="false" hidden="false" outlineLevel="0" max="17" min="15" style="10" width="8.73"/>
    <col collapsed="false" customWidth="true" hidden="false" outlineLevel="0" max="18" min="18" style="10" width="24.27"/>
    <col collapsed="false" customWidth="true" hidden="false" outlineLevel="0" max="19" min="19" style="11" width="9.36"/>
    <col collapsed="false" customWidth="true" hidden="false" outlineLevel="0" max="20" min="20" style="11" width="6.73"/>
    <col collapsed="false" customWidth="true" hidden="false" outlineLevel="0" max="21" min="21" style="11" width="8.54"/>
    <col collapsed="false" customWidth="true" hidden="false" outlineLevel="0" max="22" min="22" style="10" width="84.45"/>
    <col collapsed="false" customWidth="true" hidden="false" outlineLevel="0" max="23" min="23" style="10" width="44.09"/>
    <col collapsed="false" customWidth="false" hidden="false" outlineLevel="0" max="16384" min="24" style="10" width="8.73"/>
  </cols>
  <sheetData>
    <row r="1" customFormat="false" ht="15.75" hidden="false" customHeight="true" outlineLevel="0" collapsed="false">
      <c r="B1" s="13"/>
      <c r="C1" s="14"/>
      <c r="D1" s="14"/>
      <c r="E1" s="14"/>
      <c r="F1" s="14"/>
      <c r="G1" s="14"/>
      <c r="H1" s="14"/>
      <c r="I1" s="14"/>
      <c r="J1" s="14"/>
      <c r="K1" s="14"/>
      <c r="L1" s="14"/>
      <c r="M1" s="14"/>
      <c r="N1" s="14"/>
      <c r="O1" s="14"/>
      <c r="P1" s="14"/>
      <c r="Q1" s="14"/>
      <c r="R1" s="14"/>
      <c r="S1" s="13"/>
      <c r="T1" s="13"/>
      <c r="U1" s="13"/>
      <c r="V1" s="14"/>
      <c r="W1" s="14"/>
    </row>
    <row r="2" customFormat="false" ht="15.75" hidden="false" customHeight="true" outlineLevel="0" collapsed="false">
      <c r="B2" s="13"/>
      <c r="C2" s="14"/>
      <c r="D2" s="14"/>
      <c r="E2" s="14"/>
      <c r="F2" s="14"/>
      <c r="G2" s="14"/>
      <c r="H2" s="15" t="s">
        <v>30</v>
      </c>
      <c r="I2" s="15"/>
      <c r="J2" s="15"/>
      <c r="K2" s="15"/>
      <c r="L2" s="15"/>
      <c r="M2" s="15"/>
      <c r="N2" s="15"/>
      <c r="O2" s="14"/>
      <c r="P2" s="14"/>
      <c r="Q2" s="14"/>
      <c r="R2" s="14"/>
      <c r="S2" s="13"/>
      <c r="T2" s="13"/>
      <c r="U2" s="13"/>
      <c r="V2" s="14"/>
      <c r="W2" s="14"/>
    </row>
    <row r="3" customFormat="false" ht="15.75" hidden="false" customHeight="true" outlineLevel="0" collapsed="false">
      <c r="B3" s="13"/>
      <c r="C3" s="14"/>
      <c r="D3" s="16" t="s">
        <v>31</v>
      </c>
      <c r="E3" s="17" t="s">
        <v>32</v>
      </c>
      <c r="F3" s="17" t="s">
        <v>33</v>
      </c>
      <c r="G3" s="17" t="s">
        <v>33</v>
      </c>
      <c r="H3" s="17" t="s">
        <v>33</v>
      </c>
      <c r="I3" s="17" t="s">
        <v>33</v>
      </c>
      <c r="J3" s="17" t="s">
        <v>33</v>
      </c>
      <c r="K3" s="17" t="s">
        <v>33</v>
      </c>
      <c r="L3" s="17" t="s">
        <v>33</v>
      </c>
      <c r="M3" s="17" t="s">
        <v>33</v>
      </c>
      <c r="N3" s="17" t="s">
        <v>33</v>
      </c>
      <c r="O3" s="14"/>
      <c r="P3" s="14"/>
      <c r="Q3" s="14"/>
      <c r="R3" s="14"/>
      <c r="S3" s="13"/>
      <c r="T3" s="13"/>
      <c r="U3" s="13"/>
      <c r="V3" s="14"/>
      <c r="W3" s="14"/>
    </row>
    <row r="4" s="11" customFormat="true" ht="15.75" hidden="false" customHeight="true" outlineLevel="0" collapsed="false">
      <c r="B4" s="17" t="s">
        <v>34</v>
      </c>
      <c r="C4" s="17" t="s">
        <v>35</v>
      </c>
      <c r="D4" s="18" t="s">
        <v>13</v>
      </c>
      <c r="E4" s="17" t="s">
        <v>36</v>
      </c>
      <c r="F4" s="17" t="s">
        <v>37</v>
      </c>
      <c r="G4" s="17" t="s">
        <v>38</v>
      </c>
      <c r="H4" s="19" t="s">
        <v>39</v>
      </c>
      <c r="I4" s="19" t="s">
        <v>40</v>
      </c>
      <c r="J4" s="19" t="s">
        <v>41</v>
      </c>
      <c r="K4" s="19" t="s">
        <v>42</v>
      </c>
      <c r="L4" s="19" t="s">
        <v>43</v>
      </c>
      <c r="M4" s="19" t="s">
        <v>44</v>
      </c>
      <c r="N4" s="19" t="s">
        <v>45</v>
      </c>
      <c r="O4" s="13"/>
      <c r="P4" s="13"/>
      <c r="Q4" s="13"/>
      <c r="R4" s="20" t="s">
        <v>46</v>
      </c>
      <c r="S4" s="20" t="s">
        <v>47</v>
      </c>
      <c r="T4" s="20" t="s">
        <v>48</v>
      </c>
      <c r="U4" s="20" t="s">
        <v>49</v>
      </c>
      <c r="V4" s="20" t="s">
        <v>50</v>
      </c>
      <c r="W4" s="20" t="s">
        <v>51</v>
      </c>
    </row>
    <row r="5" customFormat="false" ht="15.75" hidden="false" customHeight="true" outlineLevel="0" collapsed="false">
      <c r="B5" s="4" t="n">
        <v>1</v>
      </c>
      <c r="C5" s="21" t="s">
        <v>11</v>
      </c>
      <c r="D5" s="22"/>
      <c r="E5" s="4" t="n">
        <v>65535</v>
      </c>
      <c r="F5" s="23" t="b">
        <f aca="false">FALSE()</f>
        <v>0</v>
      </c>
      <c r="G5" s="23" t="b">
        <f aca="false">FALSE()</f>
        <v>0</v>
      </c>
      <c r="H5" s="24" t="b">
        <f aca="false">TRUE()</f>
        <v>1</v>
      </c>
      <c r="I5" s="23" t="b">
        <f aca="false">FALSE()</f>
        <v>0</v>
      </c>
      <c r="J5" s="23" t="b">
        <f aca="false">FALSE()</f>
        <v>0</v>
      </c>
      <c r="K5" s="23" t="b">
        <f aca="false">FALSE()</f>
        <v>0</v>
      </c>
      <c r="L5" s="23" t="b">
        <f aca="false">FALSE()</f>
        <v>0</v>
      </c>
      <c r="M5" s="23" t="b">
        <f aca="false">TRUE()</f>
        <v>1</v>
      </c>
      <c r="N5" s="23" t="b">
        <f aca="false">TRUE()</f>
        <v>1</v>
      </c>
      <c r="O5" s="14"/>
      <c r="P5" s="14"/>
      <c r="Q5" s="14"/>
      <c r="R5" s="25" t="s">
        <v>52</v>
      </c>
      <c r="S5" s="26" t="s">
        <v>53</v>
      </c>
      <c r="T5" s="26" t="s">
        <v>54</v>
      </c>
      <c r="U5" s="26"/>
      <c r="V5" s="27" t="s">
        <v>55</v>
      </c>
      <c r="W5" s="25" t="s">
        <v>56</v>
      </c>
    </row>
    <row r="6" customFormat="false" ht="15.75" hidden="false" customHeight="true" outlineLevel="0" collapsed="false">
      <c r="B6" s="4" t="n">
        <v>2</v>
      </c>
      <c r="C6" s="21" t="s">
        <v>13</v>
      </c>
      <c r="D6" s="22"/>
      <c r="E6" s="4" t="n">
        <v>65535</v>
      </c>
      <c r="F6" s="23" t="b">
        <f aca="false">FALSE()</f>
        <v>0</v>
      </c>
      <c r="G6" s="23" t="b">
        <f aca="false">FALSE()</f>
        <v>0</v>
      </c>
      <c r="H6" s="24" t="b">
        <f aca="false">TRUE()</f>
        <v>1</v>
      </c>
      <c r="I6" s="23" t="b">
        <f aca="false">FALSE()</f>
        <v>0</v>
      </c>
      <c r="J6" s="23" t="b">
        <f aca="false">FALSE()</f>
        <v>0</v>
      </c>
      <c r="K6" s="23" t="b">
        <f aca="false">FALSE()</f>
        <v>0</v>
      </c>
      <c r="L6" s="23" t="b">
        <f aca="false">FALSE()</f>
        <v>0</v>
      </c>
      <c r="M6" s="23" t="b">
        <f aca="false">TRUE()</f>
        <v>1</v>
      </c>
      <c r="N6" s="23" t="b">
        <f aca="false">TRUE()</f>
        <v>1</v>
      </c>
      <c r="O6" s="14"/>
      <c r="P6" s="14"/>
      <c r="Q6" s="14"/>
      <c r="R6" s="25" t="s">
        <v>57</v>
      </c>
      <c r="S6" s="26" t="s">
        <v>58</v>
      </c>
      <c r="T6" s="26" t="s">
        <v>54</v>
      </c>
      <c r="U6" s="26" t="s">
        <v>59</v>
      </c>
      <c r="V6" s="27" t="s">
        <v>60</v>
      </c>
      <c r="W6" s="25" t="s">
        <v>61</v>
      </c>
    </row>
    <row r="7" customFormat="false" ht="25.5" hidden="false" customHeight="true" outlineLevel="0" collapsed="false">
      <c r="B7" s="4"/>
      <c r="C7" s="21"/>
      <c r="D7" s="22"/>
      <c r="E7" s="4"/>
      <c r="F7" s="5"/>
      <c r="G7" s="5"/>
      <c r="H7" s="5"/>
      <c r="I7" s="5"/>
      <c r="J7" s="5"/>
      <c r="K7" s="5"/>
      <c r="L7" s="5"/>
      <c r="M7" s="5"/>
      <c r="N7" s="5"/>
      <c r="O7" s="14"/>
      <c r="P7" s="14"/>
      <c r="Q7" s="14"/>
      <c r="R7" s="25" t="s">
        <v>36</v>
      </c>
      <c r="S7" s="26" t="s">
        <v>32</v>
      </c>
      <c r="T7" s="26" t="s">
        <v>62</v>
      </c>
      <c r="U7" s="28" t="s">
        <v>63</v>
      </c>
      <c r="V7" s="27" t="s">
        <v>64</v>
      </c>
      <c r="W7" s="25" t="s">
        <v>65</v>
      </c>
    </row>
    <row r="8" customFormat="false" ht="25.5" hidden="false" customHeight="true" outlineLevel="0" collapsed="false">
      <c r="B8" s="4"/>
      <c r="C8" s="21"/>
      <c r="D8" s="8"/>
      <c r="E8" s="4"/>
      <c r="F8" s="5"/>
      <c r="G8" s="5"/>
      <c r="H8" s="5"/>
      <c r="I8" s="5"/>
      <c r="J8" s="5"/>
      <c r="K8" s="5"/>
      <c r="L8" s="5"/>
      <c r="M8" s="5"/>
      <c r="N8" s="5"/>
      <c r="O8" s="14"/>
      <c r="P8" s="14"/>
      <c r="Q8" s="14"/>
      <c r="R8" s="25" t="s">
        <v>37</v>
      </c>
      <c r="S8" s="26" t="s">
        <v>33</v>
      </c>
      <c r="T8" s="26" t="s">
        <v>66</v>
      </c>
      <c r="U8" s="28" t="s">
        <v>63</v>
      </c>
      <c r="V8" s="25" t="s">
        <v>67</v>
      </c>
      <c r="W8" s="25" t="s">
        <v>68</v>
      </c>
    </row>
    <row r="9" customFormat="false" ht="25.5" hidden="false" customHeight="true" outlineLevel="0" collapsed="false">
      <c r="B9" s="4"/>
      <c r="C9" s="21"/>
      <c r="D9" s="8"/>
      <c r="E9" s="4"/>
      <c r="F9" s="5"/>
      <c r="G9" s="5"/>
      <c r="H9" s="5"/>
      <c r="I9" s="5"/>
      <c r="J9" s="5"/>
      <c r="K9" s="5"/>
      <c r="L9" s="5"/>
      <c r="M9" s="5"/>
      <c r="N9" s="5"/>
      <c r="O9" s="14"/>
      <c r="P9" s="14"/>
      <c r="Q9" s="14"/>
      <c r="R9" s="25" t="s">
        <v>38</v>
      </c>
      <c r="S9" s="26" t="s">
        <v>33</v>
      </c>
      <c r="T9" s="26" t="s">
        <v>66</v>
      </c>
      <c r="U9" s="28" t="s">
        <v>63</v>
      </c>
      <c r="V9" s="25" t="s">
        <v>69</v>
      </c>
      <c r="W9" s="25" t="s">
        <v>70</v>
      </c>
    </row>
    <row r="10" customFormat="false" ht="15.75" hidden="false" customHeight="true" outlineLevel="0" collapsed="false">
      <c r="B10" s="13"/>
      <c r="C10" s="14"/>
      <c r="D10" s="14"/>
      <c r="E10" s="14"/>
      <c r="F10" s="14"/>
      <c r="G10" s="14"/>
      <c r="H10" s="14"/>
      <c r="I10" s="14"/>
      <c r="J10" s="14"/>
      <c r="K10" s="14"/>
      <c r="L10" s="14"/>
      <c r="M10" s="14"/>
      <c r="N10" s="14"/>
      <c r="O10" s="14"/>
      <c r="P10" s="14"/>
      <c r="Q10" s="14"/>
      <c r="R10" s="25" t="s">
        <v>39</v>
      </c>
      <c r="S10" s="26" t="s">
        <v>33</v>
      </c>
      <c r="T10" s="26" t="s">
        <v>66</v>
      </c>
      <c r="U10" s="28" t="s">
        <v>63</v>
      </c>
      <c r="V10" s="27" t="s">
        <v>71</v>
      </c>
      <c r="W10" s="25" t="s">
        <v>72</v>
      </c>
    </row>
    <row r="11" customFormat="false" ht="15.75" hidden="false" customHeight="true" outlineLevel="0" collapsed="false">
      <c r="B11" s="13"/>
      <c r="C11" s="14"/>
      <c r="D11" s="14"/>
      <c r="E11" s="14"/>
      <c r="F11" s="14"/>
      <c r="G11" s="14"/>
      <c r="H11" s="14"/>
      <c r="I11" s="14"/>
      <c r="J11" s="14"/>
      <c r="K11" s="14"/>
      <c r="L11" s="14"/>
      <c r="M11" s="14"/>
      <c r="N11" s="14"/>
      <c r="O11" s="14"/>
      <c r="P11" s="14"/>
      <c r="Q11" s="14"/>
      <c r="R11" s="25" t="s">
        <v>40</v>
      </c>
      <c r="S11" s="26" t="s">
        <v>33</v>
      </c>
      <c r="T11" s="26" t="s">
        <v>66</v>
      </c>
      <c r="U11" s="28" t="s">
        <v>63</v>
      </c>
      <c r="V11" s="27" t="s">
        <v>73</v>
      </c>
      <c r="W11" s="25" t="s">
        <v>74</v>
      </c>
    </row>
    <row r="12" customFormat="false" ht="15.75" hidden="false" customHeight="true" outlineLevel="0" collapsed="false">
      <c r="B12" s="13"/>
      <c r="C12" s="14"/>
      <c r="D12" s="14"/>
      <c r="E12" s="14"/>
      <c r="F12" s="14"/>
      <c r="G12" s="14"/>
      <c r="H12" s="14"/>
      <c r="I12" s="14"/>
      <c r="J12" s="14"/>
      <c r="K12" s="14"/>
      <c r="L12" s="14"/>
      <c r="M12" s="14"/>
      <c r="N12" s="14"/>
      <c r="O12" s="14"/>
      <c r="P12" s="14"/>
      <c r="Q12" s="14"/>
      <c r="R12" s="25" t="s">
        <v>41</v>
      </c>
      <c r="S12" s="26" t="s">
        <v>33</v>
      </c>
      <c r="T12" s="26" t="s">
        <v>66</v>
      </c>
      <c r="U12" s="28" t="s">
        <v>63</v>
      </c>
      <c r="V12" s="27" t="s">
        <v>75</v>
      </c>
      <c r="W12" s="25" t="s">
        <v>76</v>
      </c>
    </row>
    <row r="13" customFormat="false" ht="15.75" hidden="false" customHeight="true" outlineLevel="0" collapsed="false">
      <c r="B13" s="13"/>
      <c r="C13" s="14"/>
      <c r="D13" s="14"/>
      <c r="E13" s="14"/>
      <c r="F13" s="14"/>
      <c r="G13" s="14"/>
      <c r="H13" s="14"/>
      <c r="I13" s="14"/>
      <c r="J13" s="14"/>
      <c r="K13" s="14"/>
      <c r="L13" s="14"/>
      <c r="M13" s="14"/>
      <c r="N13" s="14"/>
      <c r="O13" s="14"/>
      <c r="P13" s="14"/>
      <c r="Q13" s="14"/>
      <c r="R13" s="25" t="s">
        <v>42</v>
      </c>
      <c r="S13" s="26" t="s">
        <v>33</v>
      </c>
      <c r="T13" s="26" t="s">
        <v>66</v>
      </c>
      <c r="U13" s="28" t="s">
        <v>63</v>
      </c>
      <c r="V13" s="27" t="s">
        <v>77</v>
      </c>
      <c r="W13" s="25" t="s">
        <v>78</v>
      </c>
    </row>
    <row r="14" customFormat="false" ht="15.75" hidden="false" customHeight="true" outlineLevel="0" collapsed="false">
      <c r="B14" s="13"/>
      <c r="C14" s="14"/>
      <c r="D14" s="14"/>
      <c r="E14" s="14"/>
      <c r="F14" s="14"/>
      <c r="G14" s="14"/>
      <c r="H14" s="14"/>
      <c r="I14" s="14"/>
      <c r="J14" s="14"/>
      <c r="K14" s="14"/>
      <c r="L14" s="14"/>
      <c r="M14" s="14"/>
      <c r="N14" s="14"/>
      <c r="O14" s="14"/>
      <c r="P14" s="14"/>
      <c r="Q14" s="14"/>
      <c r="R14" s="25" t="s">
        <v>43</v>
      </c>
      <c r="S14" s="26" t="s">
        <v>33</v>
      </c>
      <c r="T14" s="26" t="s">
        <v>66</v>
      </c>
      <c r="U14" s="28" t="s">
        <v>63</v>
      </c>
      <c r="V14" s="27" t="s">
        <v>79</v>
      </c>
      <c r="W14" s="25" t="s">
        <v>80</v>
      </c>
    </row>
    <row r="15" customFormat="false" ht="25.5" hidden="false" customHeight="true" outlineLevel="0" collapsed="false">
      <c r="B15" s="13"/>
      <c r="C15" s="14"/>
      <c r="D15" s="14"/>
      <c r="E15" s="14"/>
      <c r="F15" s="14"/>
      <c r="G15" s="14"/>
      <c r="H15" s="14"/>
      <c r="I15" s="14"/>
      <c r="J15" s="14"/>
      <c r="K15" s="14"/>
      <c r="L15" s="14"/>
      <c r="M15" s="14"/>
      <c r="N15" s="14"/>
      <c r="O15" s="14"/>
      <c r="P15" s="14"/>
      <c r="Q15" s="14"/>
      <c r="R15" s="25" t="s">
        <v>44</v>
      </c>
      <c r="S15" s="26" t="s">
        <v>33</v>
      </c>
      <c r="T15" s="26" t="s">
        <v>81</v>
      </c>
      <c r="U15" s="28" t="s">
        <v>63</v>
      </c>
      <c r="V15" s="27" t="s">
        <v>82</v>
      </c>
      <c r="W15" s="25" t="s">
        <v>83</v>
      </c>
    </row>
    <row r="16" customFormat="false" ht="15.75" hidden="false" customHeight="true" outlineLevel="0" collapsed="false">
      <c r="B16" s="13"/>
      <c r="C16" s="14"/>
      <c r="D16" s="14"/>
      <c r="E16" s="14"/>
      <c r="F16" s="14"/>
      <c r="G16" s="14"/>
      <c r="H16" s="14"/>
      <c r="I16" s="14"/>
      <c r="J16" s="14"/>
      <c r="K16" s="14"/>
      <c r="L16" s="14"/>
      <c r="M16" s="14"/>
      <c r="N16" s="14"/>
      <c r="O16" s="14"/>
      <c r="P16" s="14"/>
      <c r="Q16" s="14"/>
      <c r="R16" s="25" t="s">
        <v>45</v>
      </c>
      <c r="S16" s="26" t="s">
        <v>33</v>
      </c>
      <c r="T16" s="26" t="s">
        <v>81</v>
      </c>
      <c r="U16" s="28" t="s">
        <v>63</v>
      </c>
      <c r="V16" s="27" t="s">
        <v>84</v>
      </c>
      <c r="W16" s="25" t="s">
        <v>85</v>
      </c>
    </row>
    <row r="17" customFormat="false" ht="15.75" hidden="false" customHeight="true" outlineLevel="0" collapsed="false">
      <c r="B17" s="13"/>
      <c r="C17" s="14"/>
      <c r="D17" s="14"/>
      <c r="E17" s="14"/>
      <c r="F17" s="14"/>
      <c r="G17" s="14"/>
      <c r="H17" s="14"/>
      <c r="I17" s="14"/>
      <c r="J17" s="14"/>
      <c r="K17" s="14"/>
      <c r="L17" s="14"/>
      <c r="M17" s="14"/>
      <c r="N17" s="14"/>
      <c r="O17" s="14"/>
      <c r="P17" s="14"/>
      <c r="Q17" s="14"/>
      <c r="R17" s="14"/>
      <c r="S17" s="13"/>
      <c r="T17" s="13"/>
      <c r="U17" s="13"/>
      <c r="V17" s="14"/>
      <c r="W17" s="14"/>
    </row>
    <row r="18" customFormat="false" ht="15.75" hidden="false" customHeight="true" outlineLevel="0" collapsed="false">
      <c r="B18" s="13"/>
      <c r="C18" s="14"/>
      <c r="D18" s="14"/>
      <c r="E18" s="14"/>
      <c r="F18" s="14"/>
      <c r="G18" s="14"/>
      <c r="H18" s="14"/>
      <c r="I18" s="14"/>
      <c r="J18" s="14"/>
      <c r="K18" s="14"/>
      <c r="L18" s="14"/>
      <c r="M18" s="14"/>
      <c r="N18" s="14"/>
      <c r="O18" s="14"/>
      <c r="P18" s="14"/>
      <c r="Q18" s="14"/>
      <c r="R18" s="14"/>
      <c r="S18" s="13"/>
      <c r="T18" s="13"/>
      <c r="U18" s="13"/>
      <c r="V18" s="14"/>
      <c r="W18" s="14"/>
    </row>
    <row r="19" customFormat="false" ht="15.75" hidden="false" customHeight="true" outlineLevel="0" collapsed="false">
      <c r="B19" s="13"/>
      <c r="C19" s="14"/>
      <c r="D19" s="14"/>
      <c r="E19" s="14"/>
      <c r="F19" s="14"/>
      <c r="G19" s="14"/>
      <c r="H19" s="14"/>
      <c r="I19" s="14"/>
      <c r="J19" s="14"/>
      <c r="K19" s="14"/>
      <c r="L19" s="14"/>
      <c r="M19" s="14"/>
      <c r="N19" s="14"/>
      <c r="O19" s="14"/>
      <c r="P19" s="13"/>
      <c r="Q19" s="13"/>
      <c r="R19" s="14"/>
      <c r="S19" s="13"/>
      <c r="T19" s="13"/>
      <c r="U19" s="13"/>
      <c r="V19" s="14"/>
      <c r="W19" s="14"/>
    </row>
    <row r="20" customFormat="false" ht="15.75" hidden="false" customHeight="true" outlineLevel="0" collapsed="false">
      <c r="B20" s="13"/>
      <c r="C20" s="14"/>
      <c r="D20" s="14"/>
      <c r="E20" s="14"/>
      <c r="F20" s="14"/>
      <c r="G20" s="14"/>
      <c r="H20" s="14"/>
      <c r="I20" s="14"/>
      <c r="J20" s="14"/>
      <c r="K20" s="14"/>
      <c r="L20" s="14"/>
      <c r="M20" s="14"/>
      <c r="N20" s="14"/>
      <c r="O20" s="14"/>
      <c r="P20" s="13"/>
      <c r="Q20" s="13"/>
      <c r="R20" s="14"/>
      <c r="S20" s="13"/>
      <c r="T20" s="13"/>
      <c r="U20" s="13"/>
      <c r="V20" s="14"/>
      <c r="W20" s="14"/>
    </row>
    <row r="21" customFormat="false" ht="15.75" hidden="false" customHeight="true" outlineLevel="0" collapsed="false">
      <c r="B21" s="13"/>
      <c r="C21" s="14"/>
      <c r="D21" s="14"/>
      <c r="E21" s="14"/>
      <c r="F21" s="14"/>
      <c r="G21" s="14"/>
      <c r="H21" s="14"/>
      <c r="I21" s="14"/>
      <c r="J21" s="14"/>
      <c r="K21" s="14"/>
      <c r="L21" s="14"/>
      <c r="M21" s="14"/>
      <c r="N21" s="14"/>
      <c r="O21" s="14"/>
      <c r="P21" s="13"/>
      <c r="Q21" s="13"/>
      <c r="R21" s="14"/>
      <c r="S21" s="13"/>
      <c r="T21" s="13"/>
      <c r="U21" s="13"/>
      <c r="V21" s="14"/>
      <c r="W21" s="14"/>
    </row>
    <row r="22" customFormat="false" ht="15.75" hidden="false" customHeight="true" outlineLevel="0" collapsed="false">
      <c r="B22" s="13"/>
      <c r="C22" s="14"/>
      <c r="D22" s="14"/>
      <c r="E22" s="14"/>
      <c r="F22" s="14"/>
      <c r="G22" s="14"/>
      <c r="H22" s="14"/>
      <c r="I22" s="14"/>
      <c r="J22" s="14"/>
      <c r="K22" s="14"/>
      <c r="L22" s="14"/>
      <c r="M22" s="14"/>
      <c r="N22" s="14"/>
      <c r="O22" s="14"/>
      <c r="P22" s="13"/>
      <c r="Q22" s="13"/>
      <c r="R22" s="14"/>
      <c r="S22" s="13"/>
      <c r="T22" s="13"/>
      <c r="U22" s="13"/>
      <c r="V22" s="14"/>
      <c r="W22" s="14"/>
    </row>
    <row r="23" customFormat="false" ht="15.75" hidden="false" customHeight="true" outlineLevel="0" collapsed="false">
      <c r="B23" s="13"/>
      <c r="C23" s="14"/>
      <c r="D23" s="14"/>
      <c r="E23" s="14"/>
      <c r="F23" s="14"/>
      <c r="G23" s="14"/>
      <c r="H23" s="14"/>
      <c r="I23" s="14"/>
      <c r="J23" s="14"/>
      <c r="K23" s="14"/>
      <c r="L23" s="14"/>
      <c r="M23" s="14"/>
      <c r="N23" s="14"/>
      <c r="O23" s="14"/>
      <c r="P23" s="13"/>
      <c r="Q23" s="13"/>
      <c r="R23" s="14"/>
      <c r="S23" s="13"/>
      <c r="T23" s="13"/>
      <c r="U23" s="13"/>
      <c r="V23" s="14"/>
      <c r="W23" s="14"/>
    </row>
    <row r="24" customFormat="false" ht="15.75" hidden="false" customHeight="true" outlineLevel="0" collapsed="false">
      <c r="B24" s="13"/>
      <c r="C24" s="14"/>
      <c r="D24" s="14"/>
      <c r="E24" s="14"/>
      <c r="F24" s="14"/>
      <c r="G24" s="14"/>
      <c r="H24" s="14"/>
      <c r="I24" s="14"/>
      <c r="J24" s="14"/>
      <c r="K24" s="14"/>
      <c r="L24" s="14"/>
      <c r="M24" s="14"/>
      <c r="N24" s="14"/>
      <c r="O24" s="14"/>
      <c r="P24" s="13"/>
      <c r="Q24" s="13"/>
      <c r="R24" s="14"/>
      <c r="S24" s="13"/>
      <c r="T24" s="13"/>
      <c r="U24" s="13"/>
      <c r="V24" s="14"/>
      <c r="W24" s="14"/>
    </row>
    <row r="25" customFormat="false" ht="15.75" hidden="false" customHeight="true" outlineLevel="0" collapsed="false">
      <c r="B25" s="13"/>
      <c r="C25" s="14"/>
      <c r="D25" s="14"/>
      <c r="E25" s="14"/>
      <c r="F25" s="14"/>
      <c r="G25" s="14"/>
      <c r="H25" s="14"/>
      <c r="I25" s="14"/>
      <c r="J25" s="14"/>
      <c r="K25" s="14"/>
      <c r="L25" s="14"/>
      <c r="M25" s="14"/>
      <c r="N25" s="14"/>
      <c r="O25" s="14"/>
      <c r="P25" s="13"/>
      <c r="Q25" s="13"/>
      <c r="R25" s="14"/>
      <c r="S25" s="13"/>
      <c r="T25" s="13"/>
      <c r="U25" s="13"/>
      <c r="V25" s="14"/>
      <c r="W25" s="14"/>
    </row>
    <row r="26" customFormat="false" ht="15.75" hidden="false" customHeight="true" outlineLevel="0" collapsed="false">
      <c r="B26" s="13"/>
      <c r="C26" s="14"/>
      <c r="D26" s="14"/>
      <c r="E26" s="14"/>
      <c r="F26" s="14"/>
      <c r="G26" s="14"/>
      <c r="H26" s="14"/>
      <c r="I26" s="14"/>
      <c r="J26" s="14"/>
      <c r="K26" s="14"/>
      <c r="L26" s="14"/>
      <c r="M26" s="14"/>
      <c r="N26" s="14"/>
      <c r="O26" s="14"/>
      <c r="P26" s="13"/>
      <c r="Q26" s="13"/>
      <c r="R26" s="14"/>
      <c r="S26" s="13"/>
      <c r="T26" s="13"/>
      <c r="U26" s="13"/>
      <c r="V26" s="14"/>
      <c r="W26" s="14"/>
    </row>
    <row r="27" customFormat="false" ht="15.75" hidden="false" customHeight="true" outlineLevel="0" collapsed="false">
      <c r="B27" s="13"/>
      <c r="C27" s="14"/>
      <c r="D27" s="14"/>
      <c r="E27" s="14"/>
      <c r="F27" s="14"/>
      <c r="G27" s="14"/>
      <c r="H27" s="14"/>
      <c r="I27" s="14"/>
      <c r="J27" s="14"/>
      <c r="K27" s="14"/>
      <c r="L27" s="14"/>
      <c r="M27" s="14"/>
      <c r="N27" s="14"/>
      <c r="O27" s="14"/>
      <c r="P27" s="13"/>
      <c r="Q27" s="13"/>
      <c r="R27" s="14"/>
      <c r="S27" s="13"/>
      <c r="T27" s="13"/>
      <c r="U27" s="13"/>
      <c r="V27" s="14"/>
      <c r="W27" s="14"/>
    </row>
    <row r="28" customFormat="false" ht="15.75" hidden="false" customHeight="true" outlineLevel="0" collapsed="false">
      <c r="B28" s="13"/>
      <c r="C28" s="14"/>
      <c r="D28" s="14"/>
      <c r="E28" s="14"/>
      <c r="F28" s="14"/>
      <c r="G28" s="14"/>
      <c r="H28" s="14"/>
      <c r="I28" s="14"/>
      <c r="J28" s="14"/>
      <c r="K28" s="14"/>
      <c r="L28" s="14"/>
      <c r="M28" s="14"/>
      <c r="N28" s="14"/>
      <c r="O28" s="14"/>
      <c r="P28" s="13"/>
      <c r="Q28" s="13"/>
      <c r="R28" s="14"/>
      <c r="S28" s="13"/>
      <c r="T28" s="13"/>
      <c r="U28" s="13"/>
      <c r="V28" s="14"/>
      <c r="W28" s="14"/>
    </row>
    <row r="29" customFormat="false" ht="15.75" hidden="false" customHeight="true" outlineLevel="0" collapsed="false">
      <c r="B29" s="13"/>
      <c r="C29" s="14"/>
      <c r="D29" s="14"/>
      <c r="E29" s="14"/>
      <c r="F29" s="14"/>
      <c r="G29" s="14"/>
      <c r="H29" s="14"/>
      <c r="I29" s="14"/>
      <c r="J29" s="14"/>
      <c r="K29" s="14"/>
      <c r="L29" s="14"/>
      <c r="M29" s="14"/>
      <c r="N29" s="14"/>
      <c r="O29" s="14"/>
      <c r="P29" s="14"/>
      <c r="Q29" s="14"/>
      <c r="R29" s="14"/>
      <c r="S29" s="13"/>
      <c r="T29" s="13"/>
      <c r="U29" s="13"/>
      <c r="V29" s="14"/>
      <c r="W29" s="14"/>
    </row>
  </sheetData>
  <mergeCells count="1">
    <mergeCell ref="H2:N2"/>
  </mergeCells>
  <dataValidations count="1">
    <dataValidation allowBlank="true" errorStyle="stop" operator="between" showDropDown="false" showErrorMessage="true" showInputMessage="true" sqref="F5:N9" type="list">
      <formula1>"True,False"</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4:H48"/>
  <sheetViews>
    <sheetView showFormulas="false" showGridLines="false" showRowColHeaders="true" showZeros="true" rightToLeft="false" tabSelected="false" showOutlineSymbols="true" defaultGridColor="true" view="normal" topLeftCell="A28" colorId="64" zoomScale="100" zoomScaleNormal="100" zoomScalePageLayoutView="100" workbookViewId="0">
      <selection pane="topLeft" activeCell="J25" activeCellId="0" sqref="J25"/>
    </sheetView>
  </sheetViews>
  <sheetFormatPr defaultColWidth="8.6328125" defaultRowHeight="14.25" zeroHeight="false" outlineLevelRow="0" outlineLevelCol="0"/>
  <cols>
    <col collapsed="false" customWidth="true" hidden="false" outlineLevel="0" max="1" min="1" style="29" width="3"/>
    <col collapsed="false" customWidth="true" hidden="false" outlineLevel="0" max="2" min="2" style="30" width="16"/>
    <col collapsed="false" customWidth="true" hidden="false" outlineLevel="0" max="3" min="3" style="29" width="26.91"/>
    <col collapsed="false" customWidth="true" hidden="false" outlineLevel="0" max="8" min="4" style="29" width="10"/>
  </cols>
  <sheetData>
    <row r="4" customFormat="false" ht="15" hidden="false" customHeight="true" outlineLevel="0" collapsed="false">
      <c r="B4" s="31" t="s">
        <v>86</v>
      </c>
      <c r="C4" s="31" t="s">
        <v>9</v>
      </c>
      <c r="D4" s="9"/>
      <c r="E4" s="9"/>
      <c r="F4" s="9"/>
      <c r="G4" s="9"/>
      <c r="H4" s="9"/>
    </row>
    <row r="5" customFormat="false" ht="42" hidden="false" customHeight="true" outlineLevel="0" collapsed="false">
      <c r="B5" s="32" t="s">
        <v>87</v>
      </c>
      <c r="C5" s="33" t="s">
        <v>88</v>
      </c>
      <c r="D5" s="33"/>
      <c r="E5" s="33"/>
      <c r="F5" s="33"/>
      <c r="G5" s="33"/>
      <c r="H5" s="33"/>
    </row>
    <row r="6" customFormat="false" ht="14.25" hidden="false" customHeight="true" outlineLevel="0" collapsed="false">
      <c r="B6" s="34"/>
      <c r="C6" s="9"/>
      <c r="D6" s="9"/>
      <c r="E6" s="9"/>
      <c r="F6" s="9"/>
      <c r="G6" s="9"/>
      <c r="H6" s="9"/>
    </row>
    <row r="7" customFormat="false" ht="42" hidden="false" customHeight="true" outlineLevel="0" collapsed="false">
      <c r="B7" s="35" t="s">
        <v>89</v>
      </c>
      <c r="C7" s="33" t="s">
        <v>90</v>
      </c>
      <c r="D7" s="33"/>
      <c r="E7" s="33"/>
      <c r="F7" s="33"/>
      <c r="G7" s="33"/>
      <c r="H7" s="33"/>
    </row>
    <row r="8" customFormat="false" ht="14.25" hidden="false" customHeight="true" outlineLevel="0" collapsed="false">
      <c r="B8" s="34"/>
      <c r="C8" s="9"/>
      <c r="D8" s="9"/>
      <c r="E8" s="9"/>
      <c r="F8" s="9"/>
      <c r="G8" s="9"/>
      <c r="H8" s="9"/>
    </row>
    <row r="9" customFormat="false" ht="42" hidden="false" customHeight="true" outlineLevel="0" collapsed="false">
      <c r="B9" s="35" t="s">
        <v>91</v>
      </c>
      <c r="C9" s="33" t="s">
        <v>92</v>
      </c>
      <c r="D9" s="33"/>
      <c r="E9" s="33"/>
      <c r="F9" s="33"/>
      <c r="G9" s="33"/>
      <c r="H9" s="33"/>
    </row>
    <row r="10" customFormat="false" ht="14.25" hidden="false" customHeight="true" outlineLevel="0" collapsed="false">
      <c r="B10" s="34"/>
      <c r="C10" s="9"/>
      <c r="D10" s="9"/>
      <c r="E10" s="9"/>
      <c r="F10" s="9"/>
      <c r="G10" s="9"/>
      <c r="H10" s="9"/>
    </row>
    <row r="11" customFormat="false" ht="42" hidden="false" customHeight="true" outlineLevel="0" collapsed="false">
      <c r="B11" s="35" t="s">
        <v>93</v>
      </c>
      <c r="C11" s="33" t="s">
        <v>94</v>
      </c>
      <c r="D11" s="33"/>
      <c r="E11" s="33"/>
      <c r="F11" s="33"/>
      <c r="G11" s="33"/>
      <c r="H11" s="33"/>
    </row>
    <row r="12" customFormat="false" ht="14.25" hidden="false" customHeight="true" outlineLevel="0" collapsed="false">
      <c r="B12" s="34"/>
      <c r="C12" s="9"/>
      <c r="D12" s="9"/>
      <c r="E12" s="9"/>
      <c r="F12" s="9"/>
      <c r="G12" s="9"/>
      <c r="H12" s="9"/>
    </row>
    <row r="13" customFormat="false" ht="42" hidden="false" customHeight="true" outlineLevel="0" collapsed="false">
      <c r="B13" s="36" t="s">
        <v>95</v>
      </c>
      <c r="C13" s="33" t="s">
        <v>96</v>
      </c>
      <c r="D13" s="33"/>
      <c r="E13" s="33"/>
      <c r="F13" s="33"/>
      <c r="G13" s="33"/>
      <c r="H13" s="33"/>
    </row>
    <row r="14" customFormat="false" ht="14.25" hidden="false" customHeight="true" outlineLevel="0" collapsed="false">
      <c r="B14" s="34"/>
      <c r="C14" s="9"/>
      <c r="D14" s="9"/>
      <c r="E14" s="9"/>
      <c r="F14" s="9"/>
      <c r="G14" s="9"/>
      <c r="H14" s="9"/>
    </row>
    <row r="15" customFormat="false" ht="42" hidden="false" customHeight="true" outlineLevel="0" collapsed="false">
      <c r="B15" s="32" t="s">
        <v>97</v>
      </c>
      <c r="C15" s="33" t="s">
        <v>98</v>
      </c>
      <c r="D15" s="33"/>
      <c r="E15" s="33"/>
      <c r="F15" s="33"/>
      <c r="G15" s="33"/>
      <c r="H15" s="33"/>
    </row>
    <row r="16" customFormat="false" ht="14.25" hidden="false" customHeight="true" outlineLevel="0" collapsed="false">
      <c r="B16" s="34"/>
      <c r="C16" s="9"/>
      <c r="D16" s="9"/>
      <c r="E16" s="9"/>
      <c r="F16" s="9"/>
      <c r="G16" s="9"/>
      <c r="H16" s="9"/>
    </row>
    <row r="17" customFormat="false" ht="42" hidden="false" customHeight="true" outlineLevel="0" collapsed="false">
      <c r="B17" s="32" t="s">
        <v>99</v>
      </c>
      <c r="C17" s="37" t="s">
        <v>100</v>
      </c>
      <c r="D17" s="37"/>
      <c r="E17" s="37"/>
      <c r="F17" s="37"/>
      <c r="G17" s="37"/>
      <c r="H17" s="37"/>
    </row>
    <row r="18" customFormat="false" ht="14.25" hidden="false" customHeight="true" outlineLevel="0" collapsed="false">
      <c r="B18" s="34"/>
      <c r="C18" s="9"/>
      <c r="D18" s="9"/>
      <c r="E18" s="9"/>
      <c r="F18" s="9"/>
      <c r="G18" s="9"/>
      <c r="H18" s="9"/>
    </row>
    <row r="19" customFormat="false" ht="42" hidden="false" customHeight="true" outlineLevel="0" collapsed="false">
      <c r="B19" s="32" t="s">
        <v>101</v>
      </c>
      <c r="C19" s="33" t="s">
        <v>102</v>
      </c>
      <c r="D19" s="33"/>
      <c r="E19" s="33"/>
      <c r="F19" s="33"/>
      <c r="G19" s="33"/>
      <c r="H19" s="33"/>
    </row>
    <row r="20" customFormat="false" ht="14.25" hidden="false" customHeight="true" outlineLevel="0" collapsed="false">
      <c r="B20" s="38"/>
      <c r="C20" s="9"/>
      <c r="D20" s="9"/>
      <c r="E20" s="9"/>
      <c r="F20" s="9"/>
      <c r="G20" s="9"/>
      <c r="H20" s="9"/>
    </row>
    <row r="21" customFormat="false" ht="42" hidden="false" customHeight="true" outlineLevel="0" collapsed="false">
      <c r="B21" s="39" t="s">
        <v>103</v>
      </c>
      <c r="C21" s="40" t="s">
        <v>104</v>
      </c>
      <c r="D21" s="40"/>
      <c r="E21" s="40"/>
      <c r="F21" s="40"/>
      <c r="G21" s="40"/>
      <c r="H21" s="40"/>
    </row>
    <row r="22" customFormat="false" ht="14.25" hidden="false" customHeight="true" outlineLevel="0" collapsed="false"/>
    <row r="23" customFormat="false" ht="42" hidden="false" customHeight="true" outlineLevel="0" collapsed="false">
      <c r="B23" s="39" t="s">
        <v>105</v>
      </c>
      <c r="C23" s="41" t="s">
        <v>106</v>
      </c>
      <c r="D23" s="41"/>
      <c r="E23" s="41"/>
      <c r="F23" s="41"/>
      <c r="G23" s="41"/>
      <c r="H23" s="41"/>
    </row>
    <row r="24" customFormat="false" ht="28.5" hidden="false" customHeight="true" outlineLevel="0" collapsed="false">
      <c r="D24" s="42"/>
      <c r="E24" s="42"/>
      <c r="F24" s="42"/>
      <c r="G24" s="42"/>
      <c r="H24" s="42"/>
    </row>
    <row r="25" customFormat="false" ht="28.5" hidden="false" customHeight="true" outlineLevel="0" collapsed="false">
      <c r="B25" s="38"/>
      <c r="C25" s="9"/>
      <c r="D25" s="43"/>
      <c r="E25" s="43"/>
      <c r="F25" s="43"/>
      <c r="G25" s="43"/>
      <c r="H25" s="43"/>
    </row>
    <row r="26" customFormat="false" ht="28.5" hidden="false" customHeight="true" outlineLevel="0" collapsed="false">
      <c r="B26" s="38"/>
      <c r="C26" s="9"/>
      <c r="D26" s="43"/>
      <c r="E26" s="43"/>
      <c r="F26" s="43"/>
      <c r="G26" s="43"/>
      <c r="H26" s="43"/>
    </row>
    <row r="27" customFormat="false" ht="28.5" hidden="false" customHeight="true" outlineLevel="0" collapsed="false">
      <c r="B27" s="44" t="s">
        <v>107</v>
      </c>
      <c r="C27" s="45" t="s">
        <v>108</v>
      </c>
      <c r="D27" s="45" t="s">
        <v>109</v>
      </c>
      <c r="E27" s="45"/>
      <c r="F27" s="45"/>
      <c r="G27" s="45"/>
      <c r="H27" s="45"/>
    </row>
    <row r="28" customFormat="false" ht="28.5" hidden="false" customHeight="true" outlineLevel="0" collapsed="false">
      <c r="B28" s="46" t="s">
        <v>110</v>
      </c>
      <c r="C28" s="47" t="s">
        <v>111</v>
      </c>
      <c r="D28" s="48" t="s">
        <v>112</v>
      </c>
      <c r="E28" s="48"/>
      <c r="F28" s="48"/>
      <c r="G28" s="48"/>
      <c r="H28" s="48"/>
    </row>
    <row r="29" customFormat="false" ht="28.5" hidden="false" customHeight="true" outlineLevel="0" collapsed="false">
      <c r="B29" s="46" t="s">
        <v>113</v>
      </c>
      <c r="C29" s="47" t="s">
        <v>114</v>
      </c>
      <c r="D29" s="48" t="s">
        <v>115</v>
      </c>
      <c r="E29" s="48"/>
      <c r="F29" s="48"/>
      <c r="G29" s="48"/>
      <c r="H29" s="48"/>
    </row>
    <row r="30" customFormat="false" ht="28.5" hidden="false" customHeight="true" outlineLevel="0" collapsed="false">
      <c r="B30" s="46" t="s">
        <v>116</v>
      </c>
      <c r="C30" s="47" t="s">
        <v>117</v>
      </c>
      <c r="D30" s="48" t="s">
        <v>118</v>
      </c>
      <c r="E30" s="48"/>
      <c r="F30" s="48"/>
      <c r="G30" s="48"/>
      <c r="H30" s="48"/>
    </row>
    <row r="31" customFormat="false" ht="28.5" hidden="false" customHeight="true" outlineLevel="0" collapsed="false">
      <c r="B31" s="46" t="s">
        <v>119</v>
      </c>
      <c r="C31" s="47" t="s">
        <v>120</v>
      </c>
      <c r="D31" s="48" t="s">
        <v>121</v>
      </c>
      <c r="E31" s="48"/>
      <c r="F31" s="48"/>
      <c r="G31" s="48"/>
      <c r="H31" s="48"/>
    </row>
    <row r="32" customFormat="false" ht="28.5" hidden="false" customHeight="true" outlineLevel="0" collapsed="false">
      <c r="B32" s="46" t="s">
        <v>122</v>
      </c>
      <c r="C32" s="47" t="s">
        <v>123</v>
      </c>
      <c r="D32" s="48" t="s">
        <v>124</v>
      </c>
      <c r="E32" s="48"/>
      <c r="F32" s="48"/>
      <c r="G32" s="48"/>
      <c r="H32" s="48"/>
    </row>
    <row r="33" customFormat="false" ht="28.5" hidden="false" customHeight="true" outlineLevel="0" collapsed="false">
      <c r="B33" s="46" t="s">
        <v>125</v>
      </c>
      <c r="C33" s="47" t="s">
        <v>126</v>
      </c>
      <c r="D33" s="48" t="s">
        <v>127</v>
      </c>
      <c r="E33" s="48"/>
      <c r="F33" s="48"/>
      <c r="G33" s="48"/>
      <c r="H33" s="48"/>
    </row>
    <row r="34" customFormat="false" ht="28.5" hidden="false" customHeight="true" outlineLevel="0" collapsed="false">
      <c r="B34" s="46" t="s">
        <v>128</v>
      </c>
      <c r="C34" s="47" t="s">
        <v>129</v>
      </c>
      <c r="D34" s="48" t="s">
        <v>130</v>
      </c>
      <c r="E34" s="48"/>
      <c r="F34" s="48"/>
      <c r="G34" s="48"/>
      <c r="H34" s="48"/>
    </row>
    <row r="35" customFormat="false" ht="28.5" hidden="false" customHeight="true" outlineLevel="0" collapsed="false">
      <c r="B35" s="46" t="s">
        <v>131</v>
      </c>
      <c r="C35" s="47" t="s">
        <v>132</v>
      </c>
      <c r="D35" s="48" t="s">
        <v>133</v>
      </c>
      <c r="E35" s="48"/>
      <c r="F35" s="48"/>
      <c r="G35" s="48"/>
      <c r="H35" s="48"/>
    </row>
    <row r="36" customFormat="false" ht="28.5" hidden="false" customHeight="true" outlineLevel="0" collapsed="false">
      <c r="B36" s="46" t="s">
        <v>134</v>
      </c>
      <c r="C36" s="47" t="s">
        <v>135</v>
      </c>
      <c r="D36" s="48" t="s">
        <v>136</v>
      </c>
      <c r="E36" s="48"/>
      <c r="F36" s="48"/>
      <c r="G36" s="48"/>
      <c r="H36" s="48"/>
    </row>
    <row r="37" customFormat="false" ht="28.5" hidden="false" customHeight="true" outlineLevel="0" collapsed="false">
      <c r="B37" s="46" t="s">
        <v>137</v>
      </c>
      <c r="C37" s="47" t="s">
        <v>138</v>
      </c>
      <c r="D37" s="48" t="s">
        <v>139</v>
      </c>
      <c r="E37" s="48"/>
      <c r="F37" s="48"/>
      <c r="G37" s="48"/>
      <c r="H37" s="48"/>
    </row>
    <row r="38" customFormat="false" ht="28.5" hidden="false" customHeight="true" outlineLevel="0" collapsed="false">
      <c r="B38" s="46" t="s">
        <v>140</v>
      </c>
      <c r="C38" s="47" t="s">
        <v>141</v>
      </c>
      <c r="D38" s="48" t="s">
        <v>142</v>
      </c>
      <c r="E38" s="48"/>
      <c r="F38" s="48"/>
      <c r="G38" s="48"/>
      <c r="H38" s="48"/>
    </row>
    <row r="39" customFormat="false" ht="28.5" hidden="false" customHeight="true" outlineLevel="0" collapsed="false">
      <c r="B39" s="46" t="s">
        <v>143</v>
      </c>
      <c r="C39" s="47" t="s">
        <v>144</v>
      </c>
      <c r="D39" s="48" t="s">
        <v>145</v>
      </c>
      <c r="E39" s="48"/>
      <c r="F39" s="48"/>
      <c r="G39" s="48"/>
      <c r="H39" s="48"/>
    </row>
    <row r="40" customFormat="false" ht="28.5" hidden="false" customHeight="true" outlineLevel="0" collapsed="false">
      <c r="B40" s="46" t="s">
        <v>146</v>
      </c>
      <c r="C40" s="47" t="s">
        <v>147</v>
      </c>
      <c r="D40" s="48" t="s">
        <v>148</v>
      </c>
      <c r="E40" s="48"/>
      <c r="F40" s="48"/>
      <c r="G40" s="48"/>
      <c r="H40" s="48"/>
    </row>
    <row r="41" customFormat="false" ht="28.5" hidden="false" customHeight="true" outlineLevel="0" collapsed="false">
      <c r="B41" s="46" t="s">
        <v>149</v>
      </c>
      <c r="C41" s="47" t="s">
        <v>150</v>
      </c>
      <c r="D41" s="48" t="s">
        <v>151</v>
      </c>
      <c r="E41" s="48"/>
      <c r="F41" s="48"/>
      <c r="G41" s="48"/>
      <c r="H41" s="48"/>
    </row>
    <row r="42" customFormat="false" ht="28.5" hidden="false" customHeight="true" outlineLevel="0" collapsed="false">
      <c r="B42" s="46" t="s">
        <v>152</v>
      </c>
      <c r="C42" s="47" t="s">
        <v>153</v>
      </c>
      <c r="D42" s="48" t="s">
        <v>154</v>
      </c>
      <c r="E42" s="48"/>
      <c r="F42" s="48"/>
      <c r="G42" s="48"/>
      <c r="H42" s="48"/>
    </row>
    <row r="43" customFormat="false" ht="28.5" hidden="false" customHeight="true" outlineLevel="0" collapsed="false">
      <c r="B43" s="46" t="s">
        <v>155</v>
      </c>
      <c r="C43" s="47" t="s">
        <v>156</v>
      </c>
      <c r="D43" s="48" t="s">
        <v>157</v>
      </c>
      <c r="E43" s="48"/>
      <c r="F43" s="48"/>
      <c r="G43" s="48"/>
      <c r="H43" s="48"/>
    </row>
    <row r="44" customFormat="false" ht="28.5" hidden="false" customHeight="true" outlineLevel="0" collapsed="false">
      <c r="B44" s="46" t="s">
        <v>158</v>
      </c>
      <c r="C44" s="47" t="s">
        <v>159</v>
      </c>
      <c r="D44" s="48" t="s">
        <v>160</v>
      </c>
      <c r="E44" s="48"/>
      <c r="F44" s="48"/>
      <c r="G44" s="48"/>
      <c r="H44" s="48"/>
    </row>
    <row r="45" customFormat="false" ht="72" hidden="false" customHeight="true" outlineLevel="0" collapsed="false">
      <c r="B45" s="46" t="s">
        <v>161</v>
      </c>
      <c r="C45" s="47" t="s">
        <v>162</v>
      </c>
      <c r="D45" s="48" t="s">
        <v>163</v>
      </c>
      <c r="E45" s="49"/>
      <c r="F45" s="49"/>
      <c r="G45" s="49"/>
      <c r="H45" s="50"/>
    </row>
    <row r="46" customFormat="false" ht="83.25" hidden="false" customHeight="true" outlineLevel="0" collapsed="false">
      <c r="B46" s="46" t="s">
        <v>164</v>
      </c>
      <c r="C46" s="47" t="s">
        <v>165</v>
      </c>
      <c r="D46" s="51" t="s">
        <v>166</v>
      </c>
      <c r="E46" s="49"/>
      <c r="F46" s="49"/>
      <c r="G46" s="49"/>
      <c r="H46" s="50"/>
    </row>
    <row r="47" customFormat="false" ht="15" hidden="false" customHeight="true" outlineLevel="0" collapsed="false">
      <c r="B47" s="46" t="s">
        <v>167</v>
      </c>
      <c r="C47" s="47" t="s">
        <v>168</v>
      </c>
      <c r="D47" s="48" t="s">
        <v>169</v>
      </c>
      <c r="E47" s="49"/>
      <c r="F47" s="49"/>
      <c r="G47" s="49"/>
      <c r="H47" s="50"/>
    </row>
    <row r="48" customFormat="false" ht="86.25" hidden="false" customHeight="true" outlineLevel="0" collapsed="false">
      <c r="B48" s="52" t="s">
        <v>170</v>
      </c>
      <c r="C48" s="53" t="s">
        <v>171</v>
      </c>
      <c r="D48" s="54" t="s">
        <v>172</v>
      </c>
      <c r="E48" s="49"/>
      <c r="F48" s="49"/>
      <c r="G48" s="49"/>
      <c r="H48" s="50"/>
    </row>
  </sheetData>
  <mergeCells count="31">
    <mergeCell ref="C5:H5"/>
    <mergeCell ref="C7:H7"/>
    <mergeCell ref="C9:H9"/>
    <mergeCell ref="C11:H11"/>
    <mergeCell ref="C13:H13"/>
    <mergeCell ref="C15:H15"/>
    <mergeCell ref="C17:H17"/>
    <mergeCell ref="C19:H19"/>
    <mergeCell ref="C21:H21"/>
    <mergeCell ref="C23:H23"/>
    <mergeCell ref="D24:H24"/>
    <mergeCell ref="D25:H25"/>
    <mergeCell ref="D26:H26"/>
    <mergeCell ref="D27:H27"/>
    <mergeCell ref="D28:H28"/>
    <mergeCell ref="D29:H29"/>
    <mergeCell ref="D30:H30"/>
    <mergeCell ref="D31:H31"/>
    <mergeCell ref="D32:H32"/>
    <mergeCell ref="D33:H33"/>
    <mergeCell ref="D34:H34"/>
    <mergeCell ref="D35:H35"/>
    <mergeCell ref="D36:H36"/>
    <mergeCell ref="D37:H37"/>
    <mergeCell ref="D38:H38"/>
    <mergeCell ref="D39:H39"/>
    <mergeCell ref="D40:H40"/>
    <mergeCell ref="D41:H41"/>
    <mergeCell ref="D42:H42"/>
    <mergeCell ref="D43:H43"/>
    <mergeCell ref="D44:H44"/>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4:G5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328125" defaultRowHeight="12.75" zeroHeight="false" outlineLevelRow="0" outlineLevelCol="0"/>
  <cols>
    <col collapsed="false" customWidth="true" hidden="false" outlineLevel="0" max="1" min="1" style="55" width="3"/>
    <col collapsed="false" customWidth="true" hidden="false" outlineLevel="0" max="2" min="2" style="55" width="28.82"/>
    <col collapsed="false" customWidth="true" hidden="false" outlineLevel="0" max="3" min="3" style="55" width="17.73"/>
    <col collapsed="false" customWidth="true" hidden="false" outlineLevel="0" max="4" min="4" style="55" width="19.73"/>
    <col collapsed="false" customWidth="true" hidden="false" outlineLevel="0" max="5" min="5" style="55" width="14"/>
    <col collapsed="false" customWidth="true" hidden="false" outlineLevel="0" max="6" min="6" style="55" width="12"/>
    <col collapsed="false" customWidth="true" hidden="false" outlineLevel="0" max="7" min="7" style="55" width="51.27"/>
    <col collapsed="false" customWidth="false" hidden="false" outlineLevel="0" max="16384" min="8" style="55" width="8.63"/>
  </cols>
  <sheetData>
    <row r="4" customFormat="false" ht="15" hidden="false" customHeight="true" outlineLevel="0" collapsed="false">
      <c r="B4" s="56" t="s">
        <v>173</v>
      </c>
      <c r="C4" s="56" t="s">
        <v>174</v>
      </c>
      <c r="D4" s="57"/>
      <c r="E4" s="57"/>
      <c r="F4" s="57"/>
      <c r="G4" s="57"/>
    </row>
    <row r="5" customFormat="false" ht="15" hidden="false" customHeight="true" outlineLevel="0" collapsed="false">
      <c r="B5" s="39" t="s">
        <v>175</v>
      </c>
      <c r="C5" s="58" t="str">
        <f aca="false">"경과 "&amp;EVMS_대시보드!N4&amp;"개월차 기준"</f>
        <v>경과 7개월차 기준</v>
      </c>
      <c r="D5" s="57"/>
      <c r="E5" s="57"/>
      <c r="F5" s="57"/>
      <c r="G5" s="57"/>
    </row>
    <row r="6" customFormat="false" ht="12.75" hidden="false" customHeight="true" outlineLevel="0" collapsed="false">
      <c r="B6" s="39" t="s">
        <v>176</v>
      </c>
      <c r="C6" s="59" t="n">
        <f aca="false">IFERROR(EVMS_대시보드!F35/EVMS_대시보드!D35,0)</f>
        <v>0.844964286408927</v>
      </c>
      <c r="D6" s="57"/>
      <c r="E6" s="57"/>
      <c r="F6" s="57"/>
      <c r="G6" s="57"/>
    </row>
    <row r="7" customFormat="false" ht="12.75" hidden="false" customHeight="true" outlineLevel="0" collapsed="false">
      <c r="B7" s="39" t="s">
        <v>177</v>
      </c>
      <c r="C7" s="59" t="n">
        <f aca="false">IFERROR(EVMS_대시보드!G35/EVMS_대시보드!D35,0)</f>
        <v>0.590145407865562</v>
      </c>
      <c r="D7" s="57"/>
      <c r="E7" s="57"/>
      <c r="F7" s="57"/>
      <c r="G7" s="57"/>
    </row>
    <row r="8" customFormat="false" ht="15" hidden="false" customHeight="true" outlineLevel="0" collapsed="false">
      <c r="B8" s="39" t="s">
        <v>178</v>
      </c>
      <c r="C8" s="39" t="str">
        <f aca="false">IF(AND(EVMS_대시보드!J35=0,EVMS_대시보드!K35=0),"미시작",IF(OR(EVMS_대시보드!J35&lt;0.8,EVMS_대시보드!K35&lt;0.8),"위험",IF(OR(EVMS_대시보드!J35&lt;0.9,EVMS_대시보드!K35&lt;0.9),"주의","정상")))</f>
        <v>정상</v>
      </c>
      <c r="D8" s="57"/>
      <c r="E8" s="57"/>
      <c r="F8" s="57"/>
      <c r="G8" s="57"/>
    </row>
    <row r="9" customFormat="false" ht="12.75" hidden="false" customHeight="true" outlineLevel="0" collapsed="false">
      <c r="B9" s="60" t="s">
        <v>179</v>
      </c>
      <c r="C9" s="61" t="n">
        <f aca="false">IFERROR(프로젝트예산_현금성!H11/프로젝트예산_현금성!D11,0)</f>
        <v>0.675</v>
      </c>
    </row>
    <row r="10" customFormat="false" ht="15" hidden="false" customHeight="true" outlineLevel="0" collapsed="false">
      <c r="B10" s="60" t="s">
        <v>180</v>
      </c>
      <c r="C10" s="62" t="str">
        <f aca="false">IF(AND(프로젝트예산_현금성!D11=0,프로젝트예산_현금성!H11=0),"미시작",IF(OR(IFERROR(프로젝트예산_현금성!G11/프로젝트예산_현금성!K11,0)&lt;0.8,IFERROR(프로젝트예산_현금성!G11/프로젝트예산_현금성!H11,0)&lt;0.8),"위험",IF(OR(IFERROR(프로젝트예산_현금성!G11/프로젝트예산_현금성!K11,0)&lt;0.9,IFERROR(프로젝트예산_현금성!G11/프로젝트예산_현금성!H11,0)&lt;0.9),"주의","정상")))</f>
        <v>정상</v>
      </c>
    </row>
    <row r="11" customFormat="false" ht="15" hidden="false" customHeight="true" outlineLevel="0" collapsed="false">
      <c r="B11" s="60" t="s">
        <v>181</v>
      </c>
      <c r="C11" s="61" t="n">
        <f aca="false">IFERROR((EVMS_대시보드!R35+프로젝트예산_현금성!G11)/(EVMS_대시보드!P35+프로젝트예산_현금성!D11),0)</f>
        <v>0.867984261972154</v>
      </c>
    </row>
    <row r="12" customFormat="false" ht="25.5" hidden="false" customHeight="true" outlineLevel="0" collapsed="false">
      <c r="B12" s="60" t="s">
        <v>182</v>
      </c>
      <c r="C12" s="62" t="str">
        <f aca="false">IF(AND((EVMS_대시보드!Q35+프로젝트예산_현금성!K11)=0,(EVMS_대시보드!S35+프로젝트예산_현금성!H11)=0),"미시작",IF(IFERROR((EVMS_대시보드!R35+프로젝트예산_현금성!G11)/(EVMS_대시보드!S35+프로젝트예산_현금성!H11),0)&lt;0.8,"위험",IF(IFERROR((EVMS_대시보드!R35+프로젝트예산_현금성!G11)/(EVMS_대시보드!S35+프로젝트예산_현금성!H11),0)&lt;0.9,"주의","정상")))</f>
        <v>정상</v>
      </c>
    </row>
    <row r="13" customFormat="false" ht="25.5" hidden="false" customHeight="true" outlineLevel="0" collapsed="false">
      <c r="B13" s="57"/>
      <c r="C13" s="57"/>
      <c r="D13" s="57"/>
      <c r="E13" s="57"/>
      <c r="F13" s="57"/>
      <c r="G13" s="57"/>
    </row>
    <row r="14" customFormat="false" ht="25.5" hidden="false" customHeight="true" outlineLevel="0" collapsed="false">
      <c r="B14" s="63" t="s">
        <v>183</v>
      </c>
      <c r="C14" s="63"/>
      <c r="D14" s="63"/>
      <c r="E14" s="63"/>
      <c r="F14" s="63"/>
      <c r="G14" s="57"/>
    </row>
    <row r="15" customFormat="false" ht="12.75" hidden="false" customHeight="true" outlineLevel="0" collapsed="false">
      <c r="B15" s="56" t="s">
        <v>184</v>
      </c>
      <c r="C15" s="56" t="s">
        <v>185</v>
      </c>
      <c r="D15" s="64" t="s">
        <v>186</v>
      </c>
      <c r="E15" s="56" t="s">
        <v>187</v>
      </c>
      <c r="F15" s="56" t="s">
        <v>188</v>
      </c>
      <c r="G15" s="56" t="s">
        <v>189</v>
      </c>
    </row>
    <row r="16" customFormat="false" ht="15" hidden="false" customHeight="true" outlineLevel="0" collapsed="false">
      <c r="B16" s="65" t="n">
        <v>1</v>
      </c>
      <c r="C16" s="66" t="str">
        <f aca="false">INDEX(EVMS_대시보드!$B$5:$B$33,MATCH(SMALL(EVMS_대시보드!$O$5:$O$33,1),EVMS_대시보드!$O$5:$O$33,0))</f>
        <v>VAL.1</v>
      </c>
      <c r="D16" s="67" t="str">
        <f aca="false">INDEX(EVMS_대시보드!$C$5:$C$33,MATCH($C16,EVMS_대시보드!$B$5:$B$33,0))</f>
        <v>제품확인(Validation)</v>
      </c>
      <c r="E16" s="68" t="n">
        <f aca="false">IFERROR(INDEX(CA_개요!$G$5:$G$33,MATCH($C16,CA_개요!$B$5:$B$33,0)),"")</f>
        <v>0</v>
      </c>
      <c r="F16" s="69" t="str">
        <f aca="false">IF(AND(INDEX(EVMS_대시보드!$J$5:$J$33,MATCH($C16,EVMS_대시보드!$B$5:$B$33,0))=0,INDEX(EVMS_대시보드!$K$5:$K$33,MATCH($C16,EVMS_대시보드!$B$5:$B$33,0))=0),"미시작",IF(OR(INDEX(EVMS_대시보드!$J$5:$J$33,MATCH($C16,EVMS_대시보드!$B$5:$B$33,0))&lt;0.8,INDEX(EVMS_대시보드!$K$5:$K$33,MATCH($C16,EVMS_대시보드!$B$5:$B$33,0))&lt;0.8),"위험",IF(OR(INDEX(EVMS_대시보드!$J$5:$J$33,MATCH($C16,EVMS_대시보드!$B$5:$B$33,0))&lt;0.9,INDEX(EVMS_대시보드!$K$5:$K$33,MATCH($C16,EVMS_대시보드!$B$5:$B$33,0))&lt;0.9),"주의","정상")))</f>
        <v>미시작</v>
      </c>
      <c r="G16" s="70" t="n">
        <f aca="false">IFERROR(INDEX(CA_개요!$K$5:$K$33,MATCH($C16,CA_개요!$B$5:$B$33,0)),"")</f>
        <v>0</v>
      </c>
    </row>
    <row r="17" customFormat="false" ht="15" hidden="false" customHeight="true" outlineLevel="0" collapsed="false">
      <c r="B17" s="65" t="n">
        <v>2</v>
      </c>
      <c r="C17" s="66" t="str">
        <f aca="false">INDEX(EVMS_대시보드!$B$5:$B$33,MATCH(SMALL(EVMS_대시보드!$O$5:$O$33,2),EVMS_대시보드!$O$5:$O$33,0))</f>
        <v>SYS.5</v>
      </c>
      <c r="D17" s="67" t="str">
        <f aca="false">INDEX(EVMS_대시보드!$C$5:$C$33,MATCH($C17,EVMS_대시보드!$B$5:$B$33,0))</f>
        <v>시스템 검증</v>
      </c>
      <c r="E17" s="68" t="n">
        <f aca="false">IFERROR(INDEX(CA_개요!$G$5:$G$33,MATCH($C17,CA_개요!$B$5:$B$33,0)),"")</f>
        <v>0</v>
      </c>
      <c r="F17" s="69" t="str">
        <f aca="false">IF(AND(INDEX(EVMS_대시보드!$J$5:$J$33,MATCH($C17,EVMS_대시보드!$B$5:$B$33,0))=0,INDEX(EVMS_대시보드!$K$5:$K$33,MATCH($C17,EVMS_대시보드!$B$5:$B$33,0))=0),"미시작",IF(OR(INDEX(EVMS_대시보드!$J$5:$J$33,MATCH($C17,EVMS_대시보드!$B$5:$B$33,0))&lt;0.8,INDEX(EVMS_대시보드!$K$5:$K$33,MATCH($C17,EVMS_대시보드!$B$5:$B$33,0))&lt;0.8),"위험",IF(OR(INDEX(EVMS_대시보드!$J$5:$J$33,MATCH($C17,EVMS_대시보드!$B$5:$B$33,0))&lt;0.9,INDEX(EVMS_대시보드!$K$5:$K$33,MATCH($C17,EVMS_대시보드!$B$5:$B$33,0))&lt;0.9),"주의","정상")))</f>
        <v>위험</v>
      </c>
      <c r="G17" s="70" t="n">
        <f aca="false">IFERROR(INDEX(CA_개요!$K$5:$K$33,MATCH($C17,CA_개요!$B$5:$B$33,0)),"")</f>
        <v>0</v>
      </c>
    </row>
    <row r="18" customFormat="false" ht="15" hidden="false" customHeight="true" outlineLevel="0" collapsed="false">
      <c r="B18" s="65" t="n">
        <v>3</v>
      </c>
      <c r="C18" s="66" t="str">
        <f aca="false">INDEX(EVMS_대시보드!$B$5:$B$33,MATCH(SMALL(EVMS_대시보드!$O$5:$O$33,3),EVMS_대시보드!$O$5:$O$33,0))</f>
        <v>SWE.6</v>
      </c>
      <c r="D18" s="67" t="str">
        <f aca="false">INDEX(EVMS_대시보드!$C$5:$C$33,MATCH($C18,EVMS_대시보드!$B$5:$B$33,0))</f>
        <v>SW 검증</v>
      </c>
      <c r="E18" s="68" t="n">
        <f aca="false">IFERROR(INDEX(CA_개요!$G$5:$G$33,MATCH($C18,CA_개요!$B$5:$B$33,0)),"")</f>
        <v>0</v>
      </c>
      <c r="F18" s="69" t="str">
        <f aca="false">IF(AND(INDEX(EVMS_대시보드!$J$5:$J$33,MATCH($C18,EVMS_대시보드!$B$5:$B$33,0))=0,INDEX(EVMS_대시보드!$K$5:$K$33,MATCH($C18,EVMS_대시보드!$B$5:$B$33,0))=0),"미시작",IF(OR(INDEX(EVMS_대시보드!$J$5:$J$33,MATCH($C18,EVMS_대시보드!$B$5:$B$33,0))&lt;0.8,INDEX(EVMS_대시보드!$K$5:$K$33,MATCH($C18,EVMS_대시보드!$B$5:$B$33,0))&lt;0.8),"위험",IF(OR(INDEX(EVMS_대시보드!$J$5:$J$33,MATCH($C18,EVMS_대시보드!$B$5:$B$33,0))&lt;0.9,INDEX(EVMS_대시보드!$K$5:$K$33,MATCH($C18,EVMS_대시보드!$B$5:$B$33,0))&lt;0.9),"주의","정상")))</f>
        <v>위험</v>
      </c>
      <c r="G18" s="70" t="n">
        <f aca="false">IFERROR(INDEX(CA_개요!$K$5:$K$33,MATCH($C18,CA_개요!$B$5:$B$33,0)),"")</f>
        <v>0</v>
      </c>
    </row>
    <row r="19" customFormat="false" ht="15" hidden="false" customHeight="true" outlineLevel="0" collapsed="false">
      <c r="B19" s="57"/>
      <c r="C19" s="57"/>
      <c r="D19" s="57"/>
      <c r="E19" s="57"/>
      <c r="F19" s="57"/>
      <c r="G19" s="57"/>
    </row>
    <row r="20" customFormat="false" ht="15" hidden="false" customHeight="true" outlineLevel="0" collapsed="false">
      <c r="B20" s="71" t="s">
        <v>190</v>
      </c>
      <c r="C20" s="57"/>
      <c r="D20" s="57"/>
      <c r="E20" s="57"/>
      <c r="F20" s="57"/>
      <c r="G20" s="57"/>
    </row>
    <row r="21" customFormat="false" ht="15" hidden="false" customHeight="true" outlineLevel="0" collapsed="false">
      <c r="B21" s="64" t="s">
        <v>186</v>
      </c>
      <c r="C21" s="56" t="s">
        <v>191</v>
      </c>
      <c r="D21" s="56" t="s">
        <v>188</v>
      </c>
      <c r="E21" s="57"/>
      <c r="F21" s="57"/>
      <c r="G21" s="57"/>
    </row>
    <row r="22" customFormat="false" ht="15" hidden="false" customHeight="true" outlineLevel="0" collapsed="false">
      <c r="B22" s="72" t="str">
        <f aca="false">CA_개요!C5</f>
        <v>협약/공급자 모니터링</v>
      </c>
      <c r="C22" s="72" t="str">
        <f aca="false">CA_개요!E5</f>
        <v>조달</v>
      </c>
      <c r="D22" s="72" t="str">
        <f aca="false">IF(AND(EVMS_대시보드!J5=0,EVMS_대시보드!K5=0),"미시작",IF(OR(EVMS_대시보드!J5&lt;0.8,EVMS_대시보드!K5&lt;0.8),"위험",IF(OR(EVMS_대시보드!J5&lt;0.9,EVMS_대시보드!K5&lt;0.9),"주의","정상")))</f>
        <v>정상</v>
      </c>
      <c r="E22" s="57"/>
      <c r="F22" s="57"/>
      <c r="G22" s="57"/>
    </row>
    <row r="23" customFormat="false" ht="15" hidden="false" customHeight="true" outlineLevel="0" collapsed="false">
      <c r="B23" s="72" t="str">
        <f aca="false">CA_개요!C6</f>
        <v>제품 릴리스 관리</v>
      </c>
      <c r="C23" s="72" t="str">
        <f aca="false">CA_개요!E6</f>
        <v>릴리스</v>
      </c>
      <c r="D23" s="72" t="str">
        <f aca="false">IF(AND(EVMS_대시보드!J6=0,EVMS_대시보드!K6=0),"미시작",IF(OR(EVMS_대시보드!J6&lt;0.8,EVMS_대시보드!K6&lt;0.8),"위험",IF(OR(EVMS_대시보드!J6&lt;0.9,EVMS_대시보드!K6&lt;0.9),"주의","정상")))</f>
        <v>정상</v>
      </c>
      <c r="E23" s="57"/>
      <c r="F23" s="57"/>
      <c r="G23" s="57"/>
    </row>
    <row r="24" customFormat="false" ht="15" hidden="false" customHeight="true" outlineLevel="0" collapsed="false">
      <c r="B24" s="72" t="str">
        <f aca="false">CA_개요!C7</f>
        <v>프로젝트 관리</v>
      </c>
      <c r="C24" s="72" t="str">
        <f aca="false">CA_개요!E7</f>
        <v>관리/LOE</v>
      </c>
      <c r="D24" s="72" t="str">
        <f aca="false">IF(AND(EVMS_대시보드!J7=0,EVMS_대시보드!K7=0),"미시작",IF(OR(EVMS_대시보드!J7&lt;0.8,EVMS_대시보드!K7&lt;0.8),"위험",IF(OR(EVMS_대시보드!J7&lt;0.9,EVMS_대시보드!K7&lt;0.9),"주의","정상")))</f>
        <v>정상</v>
      </c>
      <c r="E24" s="57"/>
      <c r="F24" s="57"/>
      <c r="G24" s="57"/>
    </row>
    <row r="25" customFormat="false" ht="15" hidden="false" customHeight="true" outlineLevel="0" collapsed="false">
      <c r="B25" s="72" t="str">
        <f aca="false">CA_개요!C8</f>
        <v>품질보증(QA)</v>
      </c>
      <c r="C25" s="72" t="str">
        <f aca="false">CA_개요!E8</f>
        <v>관리/LOE</v>
      </c>
      <c r="D25" s="72" t="str">
        <f aca="false">IF(AND(EVMS_대시보드!J8=0,EVMS_대시보드!K8=0),"미시작",IF(OR(EVMS_대시보드!J8&lt;0.8,EVMS_대시보드!K8&lt;0.8),"위험",IF(OR(EVMS_대시보드!J8&lt;0.9,EVMS_대시보드!K8&lt;0.9),"주의","정상")))</f>
        <v>정상</v>
      </c>
      <c r="E25" s="57"/>
      <c r="F25" s="57"/>
      <c r="G25" s="57"/>
    </row>
    <row r="26" customFormat="false" ht="15" hidden="false" customHeight="true" outlineLevel="0" collapsed="false">
      <c r="B26" s="72" t="str">
        <f aca="false">CA_개요!C9</f>
        <v>형상관리(CM)</v>
      </c>
      <c r="C26" s="72" t="str">
        <f aca="false">CA_개요!E9</f>
        <v>관리/LOE</v>
      </c>
      <c r="D26" s="72" t="str">
        <f aca="false">IF(AND(EVMS_대시보드!J9=0,EVMS_대시보드!K9=0),"미시작",IF(OR(EVMS_대시보드!J9&lt;0.8,EVMS_대시보드!K9&lt;0.8),"위험",IF(OR(EVMS_대시보드!J9&lt;0.9,EVMS_대시보드!K9&lt;0.9),"주의","정상")))</f>
        <v>정상</v>
      </c>
      <c r="E26" s="57"/>
      <c r="F26" s="57"/>
      <c r="G26" s="57"/>
    </row>
    <row r="27" customFormat="false" ht="15" hidden="false" customHeight="true" outlineLevel="0" collapsed="false">
      <c r="B27" s="72" t="str">
        <f aca="false">CA_개요!C10</f>
        <v>문제해결관리</v>
      </c>
      <c r="C27" s="72" t="str">
        <f aca="false">CA_개요!E10</f>
        <v>관리/LOE</v>
      </c>
      <c r="D27" s="72" t="str">
        <f aca="false">IF(AND(EVMS_대시보드!J10=0,EVMS_대시보드!K10=0),"미시작",IF(OR(EVMS_대시보드!J10&lt;0.8,EVMS_대시보드!K10&lt;0.8),"위험",IF(OR(EVMS_대시보드!J10&lt;0.9,EVMS_대시보드!K10&lt;0.9),"주의","정상")))</f>
        <v>정상</v>
      </c>
      <c r="E27" s="57"/>
      <c r="F27" s="57"/>
      <c r="G27" s="57"/>
    </row>
    <row r="28" customFormat="false" ht="15" hidden="false" customHeight="true" outlineLevel="0" collapsed="false">
      <c r="B28" s="72" t="str">
        <f aca="false">CA_개요!C11</f>
        <v>변경요청관리</v>
      </c>
      <c r="C28" s="72" t="str">
        <f aca="false">CA_개요!E11</f>
        <v>관리/LOE</v>
      </c>
      <c r="D28" s="72" t="str">
        <f aca="false">IF(AND(EVMS_대시보드!J11=0,EVMS_대시보드!K11=0),"미시작",IF(OR(EVMS_대시보드!J11&lt;0.8,EVMS_대시보드!K11&lt;0.8),"위험",IF(OR(EVMS_대시보드!J11&lt;0.9,EVMS_대시보드!K11&lt;0.9),"주의","정상")))</f>
        <v>주의</v>
      </c>
      <c r="E28" s="57"/>
      <c r="F28" s="57"/>
      <c r="G28" s="57"/>
    </row>
    <row r="29" customFormat="false" ht="15" hidden="false" customHeight="true" outlineLevel="0" collapsed="false">
      <c r="B29" s="72" t="str">
        <f aca="false">CA_개요!C12</f>
        <v>ML 데이터관리(ASW에 포함)</v>
      </c>
      <c r="C29" s="72" t="str">
        <f aca="false">CA_개요!E12</f>
        <v>ASW</v>
      </c>
      <c r="D29" s="72" t="str">
        <f aca="false">IF(AND(EVMS_대시보드!J12=0,EVMS_대시보드!K12=0),"미시작",IF(OR(EVMS_대시보드!J12&lt;0.8,EVMS_대시보드!K12&lt;0.8),"위험",IF(OR(EVMS_대시보드!J12&lt;0.9,EVMS_대시보드!K12&lt;0.9),"주의","정상")))</f>
        <v>정상</v>
      </c>
      <c r="E29" s="57"/>
      <c r="F29" s="57"/>
      <c r="G29" s="57"/>
    </row>
    <row r="30" customFormat="false" ht="15" hidden="false" customHeight="true" outlineLevel="0" collapsed="false">
      <c r="B30" s="72" t="str">
        <f aca="false">CA_개요!C13</f>
        <v>시스템 요구사항분석</v>
      </c>
      <c r="C30" s="72" t="str">
        <f aca="false">CA_개요!E13</f>
        <v>시스템</v>
      </c>
      <c r="D30" s="72" t="str">
        <f aca="false">IF(AND(EVMS_대시보드!J13=0,EVMS_대시보드!K13=0),"미시작",IF(OR(EVMS_대시보드!J13&lt;0.8,EVMS_대시보드!K13&lt;0.8),"위험",IF(OR(EVMS_대시보드!J13&lt;0.9,EVMS_대시보드!K13&lt;0.9),"주의","정상")))</f>
        <v>정상</v>
      </c>
      <c r="E30" s="57"/>
      <c r="F30" s="57"/>
      <c r="G30" s="57"/>
    </row>
    <row r="31" customFormat="false" ht="15" hidden="false" customHeight="true" outlineLevel="0" collapsed="false">
      <c r="B31" s="72" t="str">
        <f aca="false">CA_개요!C14</f>
        <v>시스템 아키텍처설계</v>
      </c>
      <c r="C31" s="72" t="str">
        <f aca="false">CA_개요!E14</f>
        <v>시스템</v>
      </c>
      <c r="D31" s="72" t="str">
        <f aca="false">IF(AND(EVMS_대시보드!J14=0,EVMS_대시보드!K14=0),"미시작",IF(OR(EVMS_대시보드!J14&lt;0.8,EVMS_대시보드!K14&lt;0.8),"위험",IF(OR(EVMS_대시보드!J14&lt;0.9,EVMS_대시보드!K14&lt;0.9),"주의","정상")))</f>
        <v>정상</v>
      </c>
      <c r="E31" s="57"/>
      <c r="F31" s="57"/>
      <c r="G31" s="57"/>
    </row>
    <row r="32" customFormat="false" ht="15" hidden="false" customHeight="true" outlineLevel="0" collapsed="false">
      <c r="B32" s="72" t="str">
        <f aca="false">CA_개요!C15</f>
        <v>시스템 통합/통합검증</v>
      </c>
      <c r="C32" s="72" t="str">
        <f aca="false">CA_개요!E15</f>
        <v>시스템</v>
      </c>
      <c r="D32" s="72" t="str">
        <f aca="false">IF(AND(EVMS_대시보드!J15=0,EVMS_대시보드!K15=0),"미시작",IF(OR(EVMS_대시보드!J15&lt;0.8,EVMS_대시보드!K15&lt;0.8),"위험",IF(OR(EVMS_대시보드!J15&lt;0.9,EVMS_대시보드!K15&lt;0.9),"주의","정상")))</f>
        <v>정상</v>
      </c>
      <c r="E32" s="57"/>
      <c r="F32" s="57"/>
      <c r="G32" s="57"/>
    </row>
    <row r="33" customFormat="false" ht="15" hidden="false" customHeight="true" outlineLevel="0" collapsed="false">
      <c r="B33" s="72" t="str">
        <f aca="false">CA_개요!C16</f>
        <v>시스템 검증</v>
      </c>
      <c r="C33" s="72" t="str">
        <f aca="false">CA_개요!E16</f>
        <v>시스템</v>
      </c>
      <c r="D33" s="72" t="str">
        <f aca="false">IF(AND(EVMS_대시보드!J16=0,EVMS_대시보드!K16=0),"미시작",IF(OR(EVMS_대시보드!J16&lt;0.8,EVMS_대시보드!K16&lt;0.8),"위험",IF(OR(EVMS_대시보드!J16&lt;0.9,EVMS_대시보드!K16&lt;0.9),"주의","정상")))</f>
        <v>위험</v>
      </c>
      <c r="E33" s="57"/>
      <c r="F33" s="57"/>
      <c r="G33" s="57"/>
    </row>
    <row r="34" customFormat="false" ht="15" hidden="false" customHeight="true" outlineLevel="0" collapsed="false">
      <c r="B34" s="72" t="str">
        <f aca="false">CA_개요!C17</f>
        <v>SW 요구사항분석</v>
      </c>
      <c r="C34" s="72" t="str">
        <f aca="false">CA_개요!E17</f>
        <v>공통(SW설계)</v>
      </c>
      <c r="D34" s="72" t="str">
        <f aca="false">IF(AND(EVMS_대시보드!J17=0,EVMS_대시보드!K17=0),"미시작",IF(OR(EVMS_대시보드!J17&lt;0.8,EVMS_대시보드!K17&lt;0.8),"위험",IF(OR(EVMS_대시보드!J17&lt;0.9,EVMS_대시보드!K17&lt;0.9),"주의","정상")))</f>
        <v>정상</v>
      </c>
      <c r="E34" s="57"/>
      <c r="F34" s="57"/>
      <c r="G34" s="57"/>
    </row>
    <row r="35" customFormat="false" ht="15" hidden="false" customHeight="true" outlineLevel="0" collapsed="false">
      <c r="B35" s="72" t="str">
        <f aca="false">CA_개요!C18</f>
        <v>SW 아키텍처설계</v>
      </c>
      <c r="C35" s="72" t="str">
        <f aca="false">CA_개요!E18</f>
        <v>공통(SW설계)</v>
      </c>
      <c r="D35" s="72" t="str">
        <f aca="false">IF(AND(EVMS_대시보드!J18=0,EVMS_대시보드!K18=0),"미시작",IF(OR(EVMS_대시보드!J18&lt;0.8,EVMS_대시보드!K18&lt;0.8),"위험",IF(OR(EVMS_대시보드!J18&lt;0.9,EVMS_대시보드!K18&lt;0.9),"주의","정상")))</f>
        <v>정상</v>
      </c>
      <c r="E35" s="57"/>
      <c r="F35" s="57"/>
      <c r="G35" s="57"/>
    </row>
    <row r="36" customFormat="false" ht="15" hidden="false" customHeight="true" outlineLevel="0" collapsed="false">
      <c r="B36" s="72" t="str">
        <f aca="false">CA_개요!C19</f>
        <v>SW 상세설계/단위구현(ASW)</v>
      </c>
      <c r="C36" s="72" t="str">
        <f aca="false">CA_개요!E19</f>
        <v>ASW</v>
      </c>
      <c r="D36" s="72" t="str">
        <f aca="false">IF(AND(EVMS_대시보드!J19=0,EVMS_대시보드!K19=0),"미시작",IF(OR(EVMS_대시보드!J19&lt;0.8,EVMS_대시보드!K19&lt;0.8),"위험",IF(OR(EVMS_대시보드!J19&lt;0.9,EVMS_대시보드!K19&lt;0.9),"주의","정상")))</f>
        <v>정상</v>
      </c>
      <c r="E36" s="57"/>
      <c r="F36" s="57"/>
      <c r="G36" s="57"/>
    </row>
    <row r="37" customFormat="false" ht="15" hidden="false" customHeight="true" outlineLevel="0" collapsed="false">
      <c r="B37" s="72" t="str">
        <f aca="false">CA_개요!C20</f>
        <v>SW 상세설계/단위구현(BSW)</v>
      </c>
      <c r="C37" s="72" t="str">
        <f aca="false">CA_개요!E20</f>
        <v>BSW</v>
      </c>
      <c r="D37" s="72" t="str">
        <f aca="false">IF(AND(EVMS_대시보드!J20=0,EVMS_대시보드!K20=0),"미시작",IF(OR(EVMS_대시보드!J20&lt;0.8,EVMS_대시보드!K20&lt;0.8),"위험",IF(OR(EVMS_대시보드!J20&lt;0.9,EVMS_대시보드!K20&lt;0.9),"주의","정상")))</f>
        <v>정상</v>
      </c>
      <c r="E37" s="57"/>
      <c r="F37" s="57"/>
      <c r="G37" s="57"/>
    </row>
    <row r="38" customFormat="false" ht="15" hidden="false" customHeight="true" outlineLevel="0" collapsed="false">
      <c r="B38" s="72" t="str">
        <f aca="false">CA_개요!C21</f>
        <v>SW 단위검증(ASW)</v>
      </c>
      <c r="C38" s="72" t="str">
        <f aca="false">CA_개요!E21</f>
        <v>ASW</v>
      </c>
      <c r="D38" s="72" t="str">
        <f aca="false">IF(AND(EVMS_대시보드!J21=0,EVMS_대시보드!K21=0),"미시작",IF(OR(EVMS_대시보드!J21&lt;0.8,EVMS_대시보드!K21&lt;0.8),"위험",IF(OR(EVMS_대시보드!J21&lt;0.9,EVMS_대시보드!K21&lt;0.9),"주의","정상")))</f>
        <v>정상</v>
      </c>
      <c r="E38" s="57"/>
      <c r="F38" s="57"/>
      <c r="G38" s="57"/>
    </row>
    <row r="39" customFormat="false" ht="15" hidden="false" customHeight="true" outlineLevel="0" collapsed="false">
      <c r="B39" s="72" t="str">
        <f aca="false">CA_개요!C22</f>
        <v>SW 단위검증(BSW)</v>
      </c>
      <c r="C39" s="72" t="str">
        <f aca="false">CA_개요!E22</f>
        <v>BSW</v>
      </c>
      <c r="D39" s="72" t="str">
        <f aca="false">IF(AND(EVMS_대시보드!J22=0,EVMS_대시보드!K22=0),"미시작",IF(OR(EVMS_대시보드!J22&lt;0.8,EVMS_대시보드!K22&lt;0.8),"위험",IF(OR(EVMS_대시보드!J22&lt;0.9,EVMS_대시보드!K22&lt;0.9),"주의","정상")))</f>
        <v>정상</v>
      </c>
      <c r="E39" s="57"/>
      <c r="F39" s="57"/>
      <c r="G39" s="57"/>
    </row>
    <row r="40" customFormat="false" ht="15" hidden="false" customHeight="true" outlineLevel="0" collapsed="false">
      <c r="B40" s="72" t="str">
        <f aca="false">CA_개요!C23</f>
        <v>SW 통합/통합검증</v>
      </c>
      <c r="C40" s="72" t="str">
        <f aca="false">CA_개요!E23</f>
        <v>통합</v>
      </c>
      <c r="D40" s="72" t="str">
        <f aca="false">IF(AND(EVMS_대시보드!J23=0,EVMS_대시보드!K23=0),"미시작",IF(OR(EVMS_대시보드!J23&lt;0.8,EVMS_대시보드!K23&lt;0.8),"위험",IF(OR(EVMS_대시보드!J23&lt;0.9,EVMS_대시보드!K23&lt;0.9),"주의","정상")))</f>
        <v>정상</v>
      </c>
      <c r="E40" s="57"/>
      <c r="F40" s="57"/>
      <c r="G40" s="57"/>
    </row>
    <row r="41" customFormat="false" ht="15" hidden="false" customHeight="true" outlineLevel="0" collapsed="false">
      <c r="B41" s="72" t="str">
        <f aca="false">CA_개요!C24</f>
        <v>SW 검증</v>
      </c>
      <c r="C41" s="72" t="str">
        <f aca="false">CA_개요!E24</f>
        <v>검증</v>
      </c>
      <c r="D41" s="72" t="str">
        <f aca="false">IF(AND(EVMS_대시보드!J24=0,EVMS_대시보드!K24=0),"미시작",IF(OR(EVMS_대시보드!J24&lt;0.8,EVMS_대시보드!K24&lt;0.8),"위험",IF(OR(EVMS_대시보드!J24&lt;0.9,EVMS_대시보드!K24&lt;0.9),"주의","정상")))</f>
        <v>위험</v>
      </c>
      <c r="E41" s="57"/>
      <c r="F41" s="57"/>
      <c r="G41" s="57"/>
    </row>
    <row r="42" customFormat="false" ht="15" hidden="false" customHeight="true" outlineLevel="0" collapsed="false">
      <c r="B42" s="72" t="str">
        <f aca="false">CA_개요!C25</f>
        <v>제품확인(Validation)</v>
      </c>
      <c r="C42" s="72" t="str">
        <f aca="false">CA_개요!E25</f>
        <v>검증</v>
      </c>
      <c r="D42" s="72" t="str">
        <f aca="false">IF(AND(EVMS_대시보드!J25=0,EVMS_대시보드!K25=0),"미시작",IF(OR(EVMS_대시보드!J25&lt;0.8,EVMS_대시보드!K25&lt;0.8),"위험",IF(OR(EVMS_대시보드!J25&lt;0.9,EVMS_대시보드!K25&lt;0.9),"주의","정상")))</f>
        <v>미시작</v>
      </c>
      <c r="E42" s="57"/>
      <c r="F42" s="57"/>
      <c r="G42" s="57"/>
    </row>
    <row r="43" customFormat="false" ht="15" hidden="false" customHeight="true" outlineLevel="0" collapsed="false">
      <c r="B43" s="72" t="str">
        <f aca="false">CA_개요!C26</f>
        <v>ML 요구사항분석(ASW에 포함)</v>
      </c>
      <c r="C43" s="72" t="str">
        <f aca="false">CA_개요!E26</f>
        <v>ASW</v>
      </c>
      <c r="D43" s="72" t="str">
        <f aca="false">IF(AND(EVMS_대시보드!J26=0,EVMS_대시보드!K26=0),"미시작",IF(OR(EVMS_대시보드!J26&lt;0.8,EVMS_대시보드!K26&lt;0.8),"위험",IF(OR(EVMS_대시보드!J26&lt;0.9,EVMS_대시보드!K26&lt;0.9),"주의","정상")))</f>
        <v>정상</v>
      </c>
      <c r="E43" s="57"/>
      <c r="F43" s="57"/>
      <c r="G43" s="57"/>
    </row>
    <row r="44" customFormat="false" ht="15" hidden="false" customHeight="true" outlineLevel="0" collapsed="false">
      <c r="B44" s="72" t="str">
        <f aca="false">CA_개요!C27</f>
        <v>ML 아키텍처설계(ASW에 포함)</v>
      </c>
      <c r="C44" s="72" t="str">
        <f aca="false">CA_개요!E27</f>
        <v>ASW</v>
      </c>
      <c r="D44" s="72" t="str">
        <f aca="false">IF(AND(EVMS_대시보드!J27=0,EVMS_대시보드!K27=0),"미시작",IF(OR(EVMS_대시보드!J27&lt;0.8,EVMS_대시보드!K27&lt;0.8),"위험",IF(OR(EVMS_대시보드!J27&lt;0.9,EVMS_대시보드!K27&lt;0.9),"주의","정상")))</f>
        <v>정상</v>
      </c>
      <c r="E44" s="57"/>
      <c r="F44" s="57"/>
      <c r="G44" s="57"/>
    </row>
    <row r="45" customFormat="false" ht="15" hidden="false" customHeight="true" outlineLevel="0" collapsed="false">
      <c r="B45" s="72" t="str">
        <f aca="false">CA_개요!C28</f>
        <v>ML 훈련/검증(ASW에 포함)</v>
      </c>
      <c r="C45" s="72" t="str">
        <f aca="false">CA_개요!E28</f>
        <v>ASW</v>
      </c>
      <c r="D45" s="72" t="str">
        <f aca="false">IF(AND(EVMS_대시보드!J28=0,EVMS_대시보드!K28=0),"미시작",IF(OR(EVMS_대시보드!J28&lt;0.8,EVMS_대시보드!K28&lt;0.8),"위험",IF(OR(EVMS_대시보드!J28&lt;0.9,EVMS_대시보드!K28&lt;0.9),"주의","정상")))</f>
        <v>정상</v>
      </c>
      <c r="E45" s="57"/>
      <c r="F45" s="57"/>
      <c r="G45" s="57"/>
    </row>
    <row r="46" customFormat="false" ht="15" hidden="false" customHeight="true" outlineLevel="0" collapsed="false">
      <c r="B46" s="72" t="str">
        <f aca="false">CA_개요!C29</f>
        <v>ML 테스트(ASW에 포함)</v>
      </c>
      <c r="C46" s="72" t="str">
        <f aca="false">CA_개요!E29</f>
        <v>ASW</v>
      </c>
      <c r="D46" s="72" t="str">
        <f aca="false">IF(AND(EVMS_대시보드!J29=0,EVMS_대시보드!K29=0),"미시작",IF(OR(EVMS_대시보드!J29&lt;0.8,EVMS_대시보드!K29&lt;0.8),"위험",IF(OR(EVMS_대시보드!J29&lt;0.9,EVMS_대시보드!K29&lt;0.9),"주의","정상")))</f>
        <v>위험</v>
      </c>
      <c r="E46" s="57"/>
      <c r="F46" s="57"/>
      <c r="G46" s="57"/>
    </row>
    <row r="47" customFormat="false" ht="12.75" hidden="false" customHeight="true" outlineLevel="0" collapsed="false">
      <c r="B47" s="72" t="str">
        <f aca="false">CA_개요!C30</f>
        <v>HW 요구사항분석</v>
      </c>
      <c r="C47" s="72" t="str">
        <f aca="false">CA_개요!E30</f>
        <v>HW</v>
      </c>
      <c r="D47" s="72" t="str">
        <f aca="false">IF(AND(EVMS_대시보드!J30=0,EVMS_대시보드!K30=0),"미시작",IF(OR(EVMS_대시보드!J30&lt;0.8,EVMS_대시보드!K30&lt;0.8),"위험",IF(OR(EVMS_대시보드!J30&lt;0.9,EVMS_대시보드!K30&lt;0.9),"주의","정상")))</f>
        <v>정상</v>
      </c>
      <c r="E47" s="57"/>
      <c r="F47" s="57"/>
      <c r="G47" s="57"/>
    </row>
    <row r="48" customFormat="false" ht="12.75" hidden="false" customHeight="true" outlineLevel="0" collapsed="false">
      <c r="B48" s="72" t="str">
        <f aca="false">CA_개요!C31</f>
        <v>HW 아키텍처/상세설계</v>
      </c>
      <c r="C48" s="72" t="str">
        <f aca="false">CA_개요!E31</f>
        <v>HW</v>
      </c>
      <c r="D48" s="72" t="str">
        <f aca="false">IF(AND(EVMS_대시보드!J31=0,EVMS_대시보드!K31=0),"미시작",IF(OR(EVMS_대시보드!J31&lt;0.8,EVMS_대시보드!K31&lt;0.8),"위험",IF(OR(EVMS_대시보드!J31&lt;0.9,EVMS_대시보드!K31&lt;0.9),"주의","정상")))</f>
        <v>정상</v>
      </c>
      <c r="E48" s="57"/>
      <c r="F48" s="57"/>
      <c r="G48" s="57"/>
    </row>
    <row r="49" customFormat="false" ht="30" hidden="false" customHeight="true" outlineLevel="0" collapsed="false">
      <c r="B49" s="72" t="str">
        <f aca="false">CA_개요!C32</f>
        <v>HW 설계검증</v>
      </c>
      <c r="C49" s="72" t="str">
        <f aca="false">CA_개요!E32</f>
        <v>HW</v>
      </c>
      <c r="D49" s="72" t="str">
        <f aca="false">IF(AND(EVMS_대시보드!J32=0,EVMS_대시보드!K32=0),"미시작",IF(OR(EVMS_대시보드!J32&lt;0.8,EVMS_대시보드!K32&lt;0.8),"위험",IF(OR(EVMS_대시보드!J32&lt;0.9,EVMS_대시보드!K32&lt;0.9),"주의","정상")))</f>
        <v>정상</v>
      </c>
      <c r="E49" s="57"/>
      <c r="F49" s="57"/>
      <c r="G49" s="57"/>
    </row>
    <row r="50" customFormat="false" ht="30" hidden="false" customHeight="true" outlineLevel="0" collapsed="false">
      <c r="B50" s="72" t="str">
        <f aca="false">CA_개요!C33</f>
        <v>HW 요구사항검증</v>
      </c>
      <c r="C50" s="72" t="str">
        <f aca="false">CA_개요!E33</f>
        <v>HW</v>
      </c>
      <c r="D50" s="72" t="str">
        <f aca="false">IF(AND(EVMS_대시보드!J33=0,EVMS_대시보드!K33=0),"미시작",IF(OR(EVMS_대시보드!J33&lt;0.8,EVMS_대시보드!K33&lt;0.8),"위험",IF(OR(EVMS_대시보드!J33&lt;0.9,EVMS_대시보드!K33&lt;0.9),"주의","정상")))</f>
        <v>위험</v>
      </c>
      <c r="E50" s="57"/>
      <c r="F50" s="57"/>
      <c r="G50" s="57"/>
    </row>
    <row r="51" customFormat="false" ht="30" hidden="false" customHeight="true" outlineLevel="0" collapsed="false">
      <c r="B51" s="57"/>
      <c r="C51" s="57"/>
      <c r="D51" s="57"/>
      <c r="E51" s="57"/>
      <c r="F51" s="57"/>
      <c r="G51" s="57"/>
    </row>
    <row r="52" customFormat="false" ht="15" hidden="false" customHeight="true" outlineLevel="0" collapsed="false">
      <c r="B52" s="71" t="s">
        <v>192</v>
      </c>
      <c r="C52" s="57"/>
      <c r="D52" s="57"/>
      <c r="E52" s="57"/>
      <c r="F52" s="57"/>
      <c r="G52" s="57"/>
    </row>
    <row r="53" customFormat="false" ht="15" hidden="false" customHeight="true" outlineLevel="0" collapsed="false">
      <c r="B53" s="57" t="s">
        <v>193</v>
      </c>
      <c r="C53" s="73" t="s">
        <v>194</v>
      </c>
      <c r="D53" s="73"/>
      <c r="E53" s="73"/>
      <c r="F53" s="73"/>
      <c r="G53" s="73"/>
    </row>
    <row r="54" customFormat="false" ht="15" hidden="false" customHeight="true" outlineLevel="0" collapsed="false">
      <c r="B54" s="57" t="s">
        <v>193</v>
      </c>
      <c r="C54" s="73" t="s">
        <v>195</v>
      </c>
      <c r="D54" s="73"/>
      <c r="E54" s="73"/>
      <c r="F54" s="73"/>
      <c r="G54" s="73"/>
    </row>
    <row r="55" customFormat="false" ht="15" hidden="false" customHeight="true" outlineLevel="0" collapsed="false">
      <c r="B55" s="57" t="s">
        <v>193</v>
      </c>
      <c r="C55" s="73" t="s">
        <v>196</v>
      </c>
      <c r="D55" s="73"/>
      <c r="E55" s="73"/>
      <c r="F55" s="73"/>
      <c r="G55" s="73"/>
    </row>
  </sheetData>
  <mergeCells count="4">
    <mergeCell ref="B14:F14"/>
    <mergeCell ref="C53:G53"/>
    <mergeCell ref="C54:G54"/>
    <mergeCell ref="C55:G55"/>
  </mergeCells>
  <conditionalFormatting sqref="C8">
    <cfRule type="cellIs" priority="2" operator="equal" aboveAverage="0" equalAverage="0" bottom="0" percent="0" rank="0" text="" dxfId="0">
      <formula>"정상"</formula>
    </cfRule>
    <cfRule type="cellIs" priority="3" operator="equal" aboveAverage="0" equalAverage="0" bottom="0" percent="0" rank="0" text="" dxfId="1">
      <formula>"주의"</formula>
    </cfRule>
    <cfRule type="cellIs" priority="4" operator="equal" aboveAverage="0" equalAverage="0" bottom="0" percent="0" rank="0" text="" dxfId="2">
      <formula>"위험"</formula>
    </cfRule>
    <cfRule type="cellIs" priority="5" operator="equal" aboveAverage="0" equalAverage="0" bottom="0" percent="0" rank="0" text="" dxfId="3">
      <formula>"미시작"</formula>
    </cfRule>
  </conditionalFormatting>
  <conditionalFormatting sqref="F12:F14">
    <cfRule type="cellIs" priority="6" operator="equal" aboveAverage="0" equalAverage="0" bottom="0" percent="0" rank="0" text="" dxfId="0">
      <formula>"정상"</formula>
    </cfRule>
    <cfRule type="cellIs" priority="7" operator="equal" aboveAverage="0" equalAverage="0" bottom="0" percent="0" rank="0" text="" dxfId="1">
      <formula>"주의"</formula>
    </cfRule>
    <cfRule type="cellIs" priority="8" operator="equal" aboveAverage="0" equalAverage="0" bottom="0" percent="0" rank="0" text="" dxfId="2">
      <formula>"위험"</formula>
    </cfRule>
    <cfRule type="cellIs" priority="9" operator="equal" aboveAverage="0" equalAverage="0" bottom="0" percent="0" rank="0" text="" dxfId="3">
      <formula>"미시작"</formula>
    </cfRule>
  </conditionalFormatting>
  <conditionalFormatting sqref="D18:D46">
    <cfRule type="cellIs" priority="10" operator="equal" aboveAverage="0" equalAverage="0" bottom="0" percent="0" rank="0" text="" dxfId="0">
      <formula>"정상"</formula>
    </cfRule>
    <cfRule type="cellIs" priority="11" operator="equal" aboveAverage="0" equalAverage="0" bottom="0" percent="0" rank="0" text="" dxfId="1">
      <formula>"주의"</formula>
    </cfRule>
    <cfRule type="cellIs" priority="12" operator="equal" aboveAverage="0" equalAverage="0" bottom="0" percent="0" rank="0" text="" dxfId="2">
      <formula>"위험"</formula>
    </cfRule>
    <cfRule type="cellIs" priority="13" operator="equal" aboveAverage="0" equalAverage="0" bottom="0" percent="0" rank="0" text="" dxfId="3">
      <formula>"미시작"</formula>
    </cfRule>
  </conditionalFormatting>
  <conditionalFormatting sqref="C10">
    <cfRule type="cellIs" priority="14" operator="equal" aboveAverage="0" equalAverage="0" bottom="0" percent="0" rank="0" text="" dxfId="0">
      <formula>"정상"</formula>
    </cfRule>
    <cfRule type="cellIs" priority="15" operator="equal" aboveAverage="0" equalAverage="0" bottom="0" percent="0" rank="0" text="" dxfId="1">
      <formula>"주의"</formula>
    </cfRule>
    <cfRule type="cellIs" priority="16" operator="equal" aboveAverage="0" equalAverage="0" bottom="0" percent="0" rank="0" text="" dxfId="2">
      <formula>"위험"</formula>
    </cfRule>
    <cfRule type="cellIs" priority="17" operator="equal" aboveAverage="0" equalAverage="0" bottom="0" percent="0" rank="0" text="" dxfId="3">
      <formula>"미시작"</formula>
    </cfRule>
  </conditionalFormatting>
  <conditionalFormatting sqref="C12">
    <cfRule type="cellIs" priority="18" operator="equal" aboveAverage="0" equalAverage="0" bottom="0" percent="0" rank="0" text="" dxfId="0">
      <formula>"정상"</formula>
    </cfRule>
    <cfRule type="cellIs" priority="19" operator="equal" aboveAverage="0" equalAverage="0" bottom="0" percent="0" rank="0" text="" dxfId="1">
      <formula>"주의"</formula>
    </cfRule>
    <cfRule type="cellIs" priority="20" operator="equal" aboveAverage="0" equalAverage="0" bottom="0" percent="0" rank="0" text="" dxfId="2">
      <formula>"위험"</formula>
    </cfRule>
    <cfRule type="cellIs" priority="21" operator="equal" aboveAverage="0" equalAverage="0" bottom="0" percent="0" rank="0" text="" dxfId="3">
      <formula>"미시작"</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K3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328125" defaultRowHeight="14.25" zeroHeight="false" outlineLevelRow="0" outlineLevelCol="0"/>
  <cols>
    <col collapsed="false" customWidth="true" hidden="false" outlineLevel="0" max="1" min="1" style="29" width="6"/>
    <col collapsed="false" customWidth="true" hidden="false" outlineLevel="0" max="2" min="2" style="29" width="12"/>
    <col collapsed="false" customWidth="true" hidden="false" outlineLevel="0" max="3" min="3" style="29" width="20"/>
    <col collapsed="false" customWidth="true" hidden="false" outlineLevel="0" max="4" min="4" style="29" width="14"/>
    <col collapsed="false" customWidth="true" hidden="false" outlineLevel="0" max="5" min="5" style="29" width="12"/>
    <col collapsed="false" customWidth="true" hidden="false" outlineLevel="0" max="6" min="6" style="29" width="26"/>
    <col collapsed="false" customWidth="true" hidden="false" outlineLevel="0" max="8" min="7" style="29" width="14"/>
    <col collapsed="false" customWidth="true" hidden="false" outlineLevel="0" max="9" min="9" style="29" width="12"/>
    <col collapsed="false" customWidth="true" hidden="false" outlineLevel="0" max="10" min="10" style="29" width="14"/>
    <col collapsed="false" customWidth="true" hidden="false" outlineLevel="0" max="11" min="11" style="29" width="40"/>
  </cols>
  <sheetData>
    <row r="4" customFormat="false" ht="25.5" hidden="false" customHeight="true" outlineLevel="0" collapsed="false">
      <c r="A4" s="64" t="s">
        <v>197</v>
      </c>
      <c r="B4" s="64" t="s">
        <v>198</v>
      </c>
      <c r="C4" s="64" t="s">
        <v>199</v>
      </c>
      <c r="D4" s="56" t="s">
        <v>200</v>
      </c>
      <c r="E4" s="56" t="s">
        <v>191</v>
      </c>
      <c r="F4" s="56" t="s">
        <v>201</v>
      </c>
      <c r="G4" s="64" t="s">
        <v>202</v>
      </c>
      <c r="H4" s="64" t="s">
        <v>203</v>
      </c>
      <c r="I4" s="56" t="s">
        <v>204</v>
      </c>
      <c r="J4" s="64" t="s">
        <v>205</v>
      </c>
      <c r="K4" s="56" t="s">
        <v>10</v>
      </c>
    </row>
    <row r="5" customFormat="false" ht="39" hidden="false" customHeight="true" outlineLevel="0" collapsed="false">
      <c r="A5" s="74" t="n">
        <v>1</v>
      </c>
      <c r="B5" s="74" t="s">
        <v>206</v>
      </c>
      <c r="C5" s="75" t="s">
        <v>207</v>
      </c>
      <c r="D5" s="76" t="s">
        <v>208</v>
      </c>
      <c r="E5" s="76" t="s">
        <v>209</v>
      </c>
      <c r="F5" s="74" t="s">
        <v>210</v>
      </c>
      <c r="G5" s="77"/>
      <c r="H5" s="78" t="n">
        <f aca="false">INDEX(가정!$C$7:$L$9,MATCH(가정!$C$4,가정!$B$7:$B$9,0),MATCH(E5,가정!$C$6:$L$6,0))*(I5/SUMIF($E$5:$E$33,E5,$I$5:$I$33))</f>
        <v>0.08</v>
      </c>
      <c r="I5" s="74" t="n">
        <f aca="false">COUNTIF(WP_상세!$B$5:$B$500,B5)</f>
        <v>5</v>
      </c>
      <c r="J5" s="79" t="n">
        <f aca="false">IFERROR(ROUND(AVERAGEIF(WP_상세!$B$5:$B$500,B5,WP_상세!$L$5:$L$500)*100,1),0)</f>
        <v>95</v>
      </c>
      <c r="K5" s="75" t="s">
        <v>211</v>
      </c>
    </row>
    <row r="6" customFormat="false" ht="39" hidden="false" customHeight="true" outlineLevel="0" collapsed="false">
      <c r="A6" s="80" t="n">
        <v>2</v>
      </c>
      <c r="B6" s="80" t="s">
        <v>212</v>
      </c>
      <c r="C6" s="81" t="s">
        <v>213</v>
      </c>
      <c r="D6" s="80" t="s">
        <v>214</v>
      </c>
      <c r="E6" s="82" t="s">
        <v>215</v>
      </c>
      <c r="F6" s="82" t="s">
        <v>216</v>
      </c>
      <c r="G6" s="77"/>
      <c r="H6" s="83" t="n">
        <f aca="false">INDEX(가정!$C$7:$L$9,MATCH(가정!$C$4,가정!$B$7:$B$9,0),MATCH(E6,가정!$C$6:$L$6,0))*(I6/SUMIF($E$5:$E$33,E6,$I$5:$I$33))</f>
        <v>0.04</v>
      </c>
      <c r="I6" s="80" t="n">
        <f aca="false">COUNTIF(WP_상세!$B$5:$B$500,B6)</f>
        <v>8</v>
      </c>
      <c r="J6" s="84" t="n">
        <f aca="false">IFERROR(ROUND(AVERAGEIF(WP_상세!$B$5:$B$500,B6,WP_상세!$L$5:$L$500)*100,1),0)</f>
        <v>70</v>
      </c>
      <c r="K6" s="81" t="s">
        <v>217</v>
      </c>
    </row>
    <row r="7" customFormat="false" ht="25.5" hidden="false" customHeight="true" outlineLevel="0" collapsed="false">
      <c r="A7" s="85" t="n">
        <v>3</v>
      </c>
      <c r="B7" s="85" t="s">
        <v>218</v>
      </c>
      <c r="C7" s="86" t="s">
        <v>219</v>
      </c>
      <c r="D7" s="87" t="s">
        <v>220</v>
      </c>
      <c r="E7" s="87" t="s">
        <v>221</v>
      </c>
      <c r="F7" s="85" t="s">
        <v>210</v>
      </c>
      <c r="G7" s="77"/>
      <c r="H7" s="88" t="n">
        <f aca="false">INDEX(가정!$C$7:$L$9,MATCH(가정!$C$4,가정!$B$7:$B$9,0),MATCH(E7,가정!$C$6:$L$6,0))*(I7/SUMIF($E$5:$E$33,E7,$I$5:$I$33))</f>
        <v>0.0473684210526316</v>
      </c>
      <c r="I7" s="85" t="n">
        <f aca="false">COUNTIF(WP_상세!$B$5:$B$500,B7)</f>
        <v>10</v>
      </c>
      <c r="J7" s="89" t="n">
        <f aca="false">IFERROR(ROUND(AVERAGEIF(WP_상세!$B$5:$B$500,B7,WP_상세!$L$5:$L$500)*100,1),0)</f>
        <v>95</v>
      </c>
      <c r="K7" s="90" t="s">
        <v>222</v>
      </c>
    </row>
    <row r="8" customFormat="false" ht="25.5" hidden="false" customHeight="true" outlineLevel="0" collapsed="false">
      <c r="A8" s="74" t="n">
        <v>4</v>
      </c>
      <c r="B8" s="74" t="s">
        <v>223</v>
      </c>
      <c r="C8" s="75" t="s">
        <v>224</v>
      </c>
      <c r="D8" s="76" t="s">
        <v>208</v>
      </c>
      <c r="E8" s="76" t="s">
        <v>221</v>
      </c>
      <c r="F8" s="74" t="s">
        <v>210</v>
      </c>
      <c r="G8" s="77"/>
      <c r="H8" s="78" t="n">
        <f aca="false">INDEX(가정!$C$7:$L$9,MATCH(가정!$C$4,가정!$B$7:$B$9,0),MATCH(E8,가정!$C$6:$L$6,0))*(I8/SUMIF($E$5:$E$33,E8,$I$5:$I$33))</f>
        <v>0.0331578947368421</v>
      </c>
      <c r="I8" s="74" t="n">
        <f aca="false">COUNTIF(WP_상세!$B$5:$B$500,B8)</f>
        <v>7</v>
      </c>
      <c r="J8" s="79" t="n">
        <f aca="false">IFERROR(ROUND(AVERAGEIF(WP_상세!$B$5:$B$500,B8,WP_상세!$L$5:$L$500)*100,1),0)</f>
        <v>89.3</v>
      </c>
      <c r="K8" s="75" t="s">
        <v>225</v>
      </c>
    </row>
    <row r="9" customFormat="false" ht="25.5" hidden="false" customHeight="true" outlineLevel="0" collapsed="false">
      <c r="A9" s="74" t="n">
        <v>5</v>
      </c>
      <c r="B9" s="74" t="s">
        <v>226</v>
      </c>
      <c r="C9" s="75" t="s">
        <v>227</v>
      </c>
      <c r="D9" s="76" t="s">
        <v>208</v>
      </c>
      <c r="E9" s="76" t="s">
        <v>221</v>
      </c>
      <c r="F9" s="74" t="s">
        <v>210</v>
      </c>
      <c r="G9" s="77"/>
      <c r="H9" s="78" t="n">
        <f aca="false">INDEX(가정!$C$7:$L$9,MATCH(가정!$C$4,가정!$B$7:$B$9,0),MATCH(E9,가정!$C$6:$L$6,0))*(I9/SUMIF($E$5:$E$33,E9,$I$5:$I$33))</f>
        <v>0.0378947368421053</v>
      </c>
      <c r="I9" s="74" t="n">
        <f aca="false">COUNTIF(WP_상세!$B$5:$B$500,B9)</f>
        <v>8</v>
      </c>
      <c r="J9" s="79" t="n">
        <f aca="false">IFERROR(ROUND(AVERAGEIF(WP_상세!$B$5:$B$500,B9,WP_상세!$L$5:$L$500)*100,1),0)</f>
        <v>90.6</v>
      </c>
      <c r="K9" s="75" t="s">
        <v>228</v>
      </c>
    </row>
    <row r="10" customFormat="false" ht="25.5" hidden="false" customHeight="true" outlineLevel="0" collapsed="false">
      <c r="A10" s="85" t="n">
        <v>6</v>
      </c>
      <c r="B10" s="85" t="s">
        <v>229</v>
      </c>
      <c r="C10" s="86" t="s">
        <v>230</v>
      </c>
      <c r="D10" s="85" t="s">
        <v>231</v>
      </c>
      <c r="E10" s="87" t="s">
        <v>221</v>
      </c>
      <c r="F10" s="85" t="s">
        <v>232</v>
      </c>
      <c r="G10" s="77"/>
      <c r="H10" s="88" t="n">
        <f aca="false">INDEX(가정!$C$7:$L$9,MATCH(가정!$C$4,가정!$B$7:$B$9,0),MATCH(E10,가정!$C$6:$L$6,0))*(I10/SUMIF($E$5:$E$33,E10,$I$5:$I$33))</f>
        <v>0.0331578947368421</v>
      </c>
      <c r="I10" s="85" t="n">
        <f aca="false">COUNTIF(WP_상세!$B$5:$B$500,B10)</f>
        <v>7</v>
      </c>
      <c r="J10" s="89" t="n">
        <f aca="false">IFERROR(ROUND(AVERAGEIF(WP_상세!$B$5:$B$500,B10,WP_상세!$L$5:$L$500)*100,1),0)</f>
        <v>89.3</v>
      </c>
      <c r="K10" s="86" t="s">
        <v>233</v>
      </c>
    </row>
    <row r="11" customFormat="false" ht="25.5" hidden="false" customHeight="true" outlineLevel="0" collapsed="false">
      <c r="A11" s="74" t="n">
        <v>7</v>
      </c>
      <c r="B11" s="74" t="s">
        <v>234</v>
      </c>
      <c r="C11" s="75" t="s">
        <v>235</v>
      </c>
      <c r="D11" s="76" t="s">
        <v>208</v>
      </c>
      <c r="E11" s="76" t="s">
        <v>221</v>
      </c>
      <c r="F11" s="74" t="s">
        <v>236</v>
      </c>
      <c r="G11" s="77"/>
      <c r="H11" s="78" t="n">
        <f aca="false">INDEX(가정!$C$7:$L$9,MATCH(가정!$C$4,가정!$B$7:$B$9,0),MATCH(E11,가정!$C$6:$L$6,0))*(I11/SUMIF($E$5:$E$33,E11,$I$5:$I$33))</f>
        <v>0.0284210526315789</v>
      </c>
      <c r="I11" s="74" t="n">
        <f aca="false">COUNTIF(WP_상세!$B$5:$B$500,B11)</f>
        <v>6</v>
      </c>
      <c r="J11" s="79" t="n">
        <f aca="false">IFERROR(ROUND(AVERAGEIF(WP_상세!$B$5:$B$500,B11,WP_상세!$L$5:$L$500)*100,1),0)</f>
        <v>67.5</v>
      </c>
      <c r="K11" s="75" t="s">
        <v>237</v>
      </c>
    </row>
    <row r="12" customFormat="false" ht="39" hidden="false" customHeight="true" outlineLevel="0" collapsed="false">
      <c r="A12" s="80" t="n">
        <v>8</v>
      </c>
      <c r="B12" s="80" t="s">
        <v>238</v>
      </c>
      <c r="C12" s="91" t="s">
        <v>239</v>
      </c>
      <c r="D12" s="80" t="s">
        <v>214</v>
      </c>
      <c r="E12" s="80" t="s">
        <v>240</v>
      </c>
      <c r="F12" s="80" t="s">
        <v>210</v>
      </c>
      <c r="G12" s="77"/>
      <c r="H12" s="83" t="n">
        <f aca="false">INDEX(가정!$C$7:$L$9,MATCH(가정!$C$4,가정!$B$7:$B$9,0),MATCH(E12,가정!$C$6:$L$6,0))*(I12/SUMIF($E$5:$E$33,E12,$I$5:$I$33))</f>
        <v>0.0321951219512195</v>
      </c>
      <c r="I12" s="80" t="n">
        <f aca="false">COUNTIF(WP_상세!$B$5:$B$500,B12)</f>
        <v>6</v>
      </c>
      <c r="J12" s="84" t="n">
        <f aca="false">IFERROR(ROUND(AVERAGEIF(WP_상세!$B$5:$B$500,B12,WP_상세!$L$5:$L$500)*100,1),0)</f>
        <v>91.7</v>
      </c>
      <c r="K12" s="91" t="s">
        <v>241</v>
      </c>
    </row>
    <row r="13" customFormat="false" ht="15" hidden="false" customHeight="true" outlineLevel="0" collapsed="false">
      <c r="A13" s="80" t="n">
        <v>9</v>
      </c>
      <c r="B13" s="80" t="s">
        <v>242</v>
      </c>
      <c r="C13" s="81" t="s">
        <v>243</v>
      </c>
      <c r="D13" s="80" t="s">
        <v>214</v>
      </c>
      <c r="E13" s="82" t="s">
        <v>244</v>
      </c>
      <c r="F13" s="80" t="s">
        <v>245</v>
      </c>
      <c r="G13" s="77"/>
      <c r="H13" s="83" t="n">
        <f aca="false">INDEX(가정!$C$7:$L$9,MATCH(가정!$C$4,가정!$B$7:$B$9,0),MATCH(E13,가정!$C$6:$L$6,0))*(I13/SUMIF($E$5:$E$33,E13,$I$5:$I$33))</f>
        <v>0.0228571428571429</v>
      </c>
      <c r="I13" s="80" t="n">
        <f aca="false">COUNTIF(WP_상세!$B$5:$B$500,B13)</f>
        <v>6</v>
      </c>
      <c r="J13" s="84" t="n">
        <f aca="false">IFERROR(ROUND(AVERAGEIF(WP_상세!$B$5:$B$500,B13,WP_상세!$L$5:$L$500)*100,1),0)</f>
        <v>75</v>
      </c>
      <c r="K13" s="91"/>
    </row>
    <row r="14" customFormat="false" ht="15" hidden="false" customHeight="true" outlineLevel="0" collapsed="false">
      <c r="A14" s="80" t="n">
        <v>10</v>
      </c>
      <c r="B14" s="80" t="s">
        <v>246</v>
      </c>
      <c r="C14" s="81" t="s">
        <v>247</v>
      </c>
      <c r="D14" s="80" t="s">
        <v>214</v>
      </c>
      <c r="E14" s="82" t="s">
        <v>244</v>
      </c>
      <c r="F14" s="80" t="s">
        <v>245</v>
      </c>
      <c r="G14" s="77"/>
      <c r="H14" s="83" t="n">
        <f aca="false">INDEX(가정!$C$7:$L$9,MATCH(가정!$C$4,가정!$B$7:$B$9,0),MATCH(E14,가정!$C$6:$L$6,0))*(I14/SUMIF($E$5:$E$33,E14,$I$5:$I$33))</f>
        <v>0.019047619047619</v>
      </c>
      <c r="I14" s="80" t="n">
        <f aca="false">COUNTIF(WP_상세!$B$5:$B$500,B14)</f>
        <v>5</v>
      </c>
      <c r="J14" s="84" t="n">
        <f aca="false">IFERROR(ROUND(AVERAGEIF(WP_상세!$B$5:$B$500,B14,WP_상세!$L$5:$L$500)*100,1),0)</f>
        <v>100</v>
      </c>
      <c r="K14" s="91"/>
    </row>
    <row r="15" customFormat="false" ht="15" hidden="false" customHeight="true" outlineLevel="0" collapsed="false">
      <c r="A15" s="80" t="n">
        <v>11</v>
      </c>
      <c r="B15" s="80" t="s">
        <v>248</v>
      </c>
      <c r="C15" s="81" t="s">
        <v>249</v>
      </c>
      <c r="D15" s="80" t="s">
        <v>214</v>
      </c>
      <c r="E15" s="82" t="s">
        <v>244</v>
      </c>
      <c r="F15" s="80" t="s">
        <v>236</v>
      </c>
      <c r="G15" s="77"/>
      <c r="H15" s="83" t="n">
        <f aca="false">INDEX(가정!$C$7:$L$9,MATCH(가정!$C$4,가정!$B$7:$B$9,0),MATCH(E15,가정!$C$6:$L$6,0))*(I15/SUMIF($E$5:$E$33,E15,$I$5:$I$33))</f>
        <v>0.019047619047619</v>
      </c>
      <c r="I15" s="80" t="n">
        <f aca="false">COUNTIF(WP_상세!$B$5:$B$500,B15)</f>
        <v>5</v>
      </c>
      <c r="J15" s="84" t="n">
        <f aca="false">IFERROR(ROUND(AVERAGEIF(WP_상세!$B$5:$B$500,B15,WP_상세!$L$5:$L$500)*100,1),0)</f>
        <v>85</v>
      </c>
      <c r="K15" s="91"/>
    </row>
    <row r="16" customFormat="false" ht="15" hidden="false" customHeight="true" outlineLevel="0" collapsed="false">
      <c r="A16" s="80" t="n">
        <v>12</v>
      </c>
      <c r="B16" s="80" t="s">
        <v>250</v>
      </c>
      <c r="C16" s="81" t="s">
        <v>251</v>
      </c>
      <c r="D16" s="80" t="s">
        <v>214</v>
      </c>
      <c r="E16" s="82" t="s">
        <v>244</v>
      </c>
      <c r="F16" s="80" t="s">
        <v>252</v>
      </c>
      <c r="G16" s="77"/>
      <c r="H16" s="83" t="n">
        <f aca="false">INDEX(가정!$C$7:$L$9,MATCH(가정!$C$4,가정!$B$7:$B$9,0),MATCH(E16,가정!$C$6:$L$6,0))*(I16/SUMIF($E$5:$E$33,E16,$I$5:$I$33))</f>
        <v>0.019047619047619</v>
      </c>
      <c r="I16" s="80" t="n">
        <f aca="false">COUNTIF(WP_상세!$B$5:$B$500,B16)</f>
        <v>5</v>
      </c>
      <c r="J16" s="84" t="n">
        <f aca="false">IFERROR(ROUND(AVERAGEIF(WP_상세!$B$5:$B$500,B16,WP_상세!$L$5:$L$500)*100,1),0)</f>
        <v>30</v>
      </c>
      <c r="K16" s="91"/>
    </row>
    <row r="17" customFormat="false" ht="15" hidden="false" customHeight="true" outlineLevel="0" collapsed="false">
      <c r="A17" s="80" t="n">
        <v>13</v>
      </c>
      <c r="B17" s="80" t="s">
        <v>253</v>
      </c>
      <c r="C17" s="91" t="s">
        <v>254</v>
      </c>
      <c r="D17" s="80" t="s">
        <v>214</v>
      </c>
      <c r="E17" s="82" t="s">
        <v>255</v>
      </c>
      <c r="F17" s="80" t="s">
        <v>245</v>
      </c>
      <c r="G17" s="77"/>
      <c r="H17" s="83" t="n">
        <f aca="false">INDEX(가정!$C$7:$L$9,MATCH(가정!$C$4,가정!$B$7:$B$9,0),MATCH(E17,가정!$C$6:$L$6,0))*(I17/SUMIF($E$5:$E$33,E17,$I$5:$I$33))</f>
        <v>0.0327272727272727</v>
      </c>
      <c r="I17" s="80" t="n">
        <f aca="false">COUNTIF(WP_상세!$B$5:$B$500,B17)</f>
        <v>6</v>
      </c>
      <c r="J17" s="84" t="n">
        <f aca="false">IFERROR(ROUND(AVERAGEIF(WP_상세!$B$5:$B$500,B17,WP_상세!$L$5:$L$500)*100,1),0)</f>
        <v>75</v>
      </c>
      <c r="K17" s="91"/>
    </row>
    <row r="18" customFormat="false" ht="15" hidden="false" customHeight="true" outlineLevel="0" collapsed="false">
      <c r="A18" s="80" t="n">
        <v>14</v>
      </c>
      <c r="B18" s="80" t="s">
        <v>256</v>
      </c>
      <c r="C18" s="91" t="s">
        <v>257</v>
      </c>
      <c r="D18" s="80" t="s">
        <v>214</v>
      </c>
      <c r="E18" s="82" t="s">
        <v>255</v>
      </c>
      <c r="F18" s="80" t="s">
        <v>245</v>
      </c>
      <c r="G18" s="77"/>
      <c r="H18" s="83" t="n">
        <f aca="false">INDEX(가정!$C$7:$L$9,MATCH(가정!$C$4,가정!$B$7:$B$9,0),MATCH(E18,가정!$C$6:$L$6,0))*(I18/SUMIF($E$5:$E$33,E18,$I$5:$I$33))</f>
        <v>0.0272727272727273</v>
      </c>
      <c r="I18" s="80" t="n">
        <f aca="false">COUNTIF(WP_상세!$B$5:$B$500,B18)</f>
        <v>5</v>
      </c>
      <c r="J18" s="84" t="n">
        <f aca="false">IFERROR(ROUND(AVERAGEIF(WP_상세!$B$5:$B$500,B18,WP_상세!$L$5:$L$500)*100,1),0)</f>
        <v>100</v>
      </c>
      <c r="K18" s="91"/>
    </row>
    <row r="19" customFormat="false" ht="39" hidden="false" customHeight="true" outlineLevel="0" collapsed="false">
      <c r="A19" s="80" t="n">
        <v>15</v>
      </c>
      <c r="B19" s="80" t="s">
        <v>258</v>
      </c>
      <c r="C19" s="91" t="s">
        <v>259</v>
      </c>
      <c r="D19" s="80" t="s">
        <v>214</v>
      </c>
      <c r="E19" s="80" t="s">
        <v>240</v>
      </c>
      <c r="F19" s="80" t="s">
        <v>260</v>
      </c>
      <c r="G19" s="77"/>
      <c r="H19" s="83" t="n">
        <f aca="false">INDEX(가정!$C$7:$L$9,MATCH(가정!$C$4,가정!$B$7:$B$9,0),MATCH(E19,가정!$C$6:$L$6,0))*(I19/SUMIF($E$5:$E$33,E19,$I$5:$I$33))</f>
        <v>0.0268292682926829</v>
      </c>
      <c r="I19" s="80" t="n">
        <f aca="false">COUNTIF(WP_상세!$B$5:$B$500,B19)</f>
        <v>5</v>
      </c>
      <c r="J19" s="84" t="n">
        <f aca="false">IFERROR(ROUND(AVERAGEIF(WP_상세!$B$5:$B$500,B19,WP_상세!$L$5:$L$500)*100,1),0)</f>
        <v>65</v>
      </c>
      <c r="K19" s="81" t="s">
        <v>261</v>
      </c>
    </row>
    <row r="20" customFormat="false" ht="39" hidden="false" customHeight="true" outlineLevel="0" collapsed="false">
      <c r="A20" s="80" t="n">
        <v>16</v>
      </c>
      <c r="B20" s="80" t="s">
        <v>262</v>
      </c>
      <c r="C20" s="91" t="s">
        <v>263</v>
      </c>
      <c r="D20" s="80" t="s">
        <v>214</v>
      </c>
      <c r="E20" s="80" t="s">
        <v>264</v>
      </c>
      <c r="F20" s="80" t="s">
        <v>260</v>
      </c>
      <c r="G20" s="77"/>
      <c r="H20" s="83" t="n">
        <f aca="false">INDEX(가정!$C$7:$L$9,MATCH(가정!$C$4,가정!$B$7:$B$9,0),MATCH(E20,가정!$C$6:$L$6,0))*(I20/SUMIF($E$5:$E$33,E20,$I$5:$I$33))</f>
        <v>0.1</v>
      </c>
      <c r="I20" s="80" t="n">
        <f aca="false">COUNTIF(WP_상세!$B$5:$B$500,B20)</f>
        <v>5</v>
      </c>
      <c r="J20" s="84" t="n">
        <f aca="false">IFERROR(ROUND(AVERAGEIF(WP_상세!$B$5:$B$500,B20,WP_상세!$L$5:$L$500)*100,1),0)</f>
        <v>100</v>
      </c>
      <c r="K20" s="81" t="s">
        <v>265</v>
      </c>
    </row>
    <row r="21" customFormat="false" ht="39" hidden="false" customHeight="true" outlineLevel="0" collapsed="false">
      <c r="A21" s="80" t="n">
        <v>17</v>
      </c>
      <c r="B21" s="80" t="s">
        <v>266</v>
      </c>
      <c r="C21" s="91" t="s">
        <v>267</v>
      </c>
      <c r="D21" s="80" t="s">
        <v>214</v>
      </c>
      <c r="E21" s="80" t="s">
        <v>240</v>
      </c>
      <c r="F21" s="80" t="s">
        <v>260</v>
      </c>
      <c r="G21" s="77"/>
      <c r="H21" s="83" t="n">
        <f aca="false">INDEX(가정!$C$7:$L$9,MATCH(가정!$C$4,가정!$B$7:$B$9,0),MATCH(E21,가정!$C$6:$L$6,0))*(I21/SUMIF($E$5:$E$33,E21,$I$5:$I$33))</f>
        <v>0.0268292682926829</v>
      </c>
      <c r="I21" s="80" t="n">
        <f aca="false">COUNTIF(WP_상세!$B$5:$B$500,B21)</f>
        <v>5</v>
      </c>
      <c r="J21" s="84" t="n">
        <f aca="false">IFERROR(ROUND(AVERAGEIF(WP_상세!$B$5:$B$500,B21,WP_상세!$L$5:$L$500)*100,1),0)</f>
        <v>65</v>
      </c>
      <c r="K21" s="81" t="s">
        <v>268</v>
      </c>
    </row>
    <row r="22" customFormat="false" ht="39" hidden="false" customHeight="true" outlineLevel="0" collapsed="false">
      <c r="A22" s="80" t="n">
        <v>18</v>
      </c>
      <c r="B22" s="80" t="s">
        <v>269</v>
      </c>
      <c r="C22" s="91" t="s">
        <v>270</v>
      </c>
      <c r="D22" s="80" t="s">
        <v>214</v>
      </c>
      <c r="E22" s="80" t="s">
        <v>264</v>
      </c>
      <c r="F22" s="80" t="s">
        <v>260</v>
      </c>
      <c r="G22" s="77"/>
      <c r="H22" s="83" t="n">
        <f aca="false">INDEX(가정!$C$7:$L$9,MATCH(가정!$C$4,가정!$B$7:$B$9,0),MATCH(E22,가정!$C$6:$L$6,0))*(I22/SUMIF($E$5:$E$33,E22,$I$5:$I$33))</f>
        <v>0.1</v>
      </c>
      <c r="I22" s="80" t="n">
        <f aca="false">COUNTIF(WP_상세!$B$5:$B$500,B22)</f>
        <v>5</v>
      </c>
      <c r="J22" s="84" t="n">
        <f aca="false">IFERROR(ROUND(AVERAGEIF(WP_상세!$B$5:$B$500,B22,WP_상세!$L$5:$L$500)*100,1),0)</f>
        <v>100</v>
      </c>
      <c r="K22" s="81" t="s">
        <v>271</v>
      </c>
    </row>
    <row r="23" customFormat="false" ht="15" hidden="false" customHeight="true" outlineLevel="0" collapsed="false">
      <c r="A23" s="80" t="n">
        <v>19</v>
      </c>
      <c r="B23" s="80" t="s">
        <v>272</v>
      </c>
      <c r="C23" s="91" t="s">
        <v>273</v>
      </c>
      <c r="D23" s="80" t="s">
        <v>214</v>
      </c>
      <c r="E23" s="82" t="s">
        <v>274</v>
      </c>
      <c r="F23" s="80" t="s">
        <v>236</v>
      </c>
      <c r="G23" s="77"/>
      <c r="H23" s="83" t="n">
        <f aca="false">INDEX(가정!$C$7:$L$9,MATCH(가정!$C$4,가정!$B$7:$B$9,0),MATCH(E23,가정!$C$6:$L$6,0))*(I23/SUMIF($E$5:$E$33,E23,$I$5:$I$33))</f>
        <v>0.06</v>
      </c>
      <c r="I23" s="80" t="n">
        <f aca="false">COUNTIF(WP_상세!$B$5:$B$500,B23)</f>
        <v>7</v>
      </c>
      <c r="J23" s="84" t="n">
        <f aca="false">IFERROR(ROUND(AVERAGEIF(WP_상세!$B$5:$B$500,B23,WP_상세!$L$5:$L$500)*100,1),0)</f>
        <v>85.7</v>
      </c>
      <c r="K23" s="91"/>
    </row>
    <row r="24" customFormat="false" ht="15" hidden="false" customHeight="true" outlineLevel="0" collapsed="false">
      <c r="A24" s="80" t="n">
        <v>20</v>
      </c>
      <c r="B24" s="80" t="s">
        <v>275</v>
      </c>
      <c r="C24" s="91" t="s">
        <v>276</v>
      </c>
      <c r="D24" s="80" t="s">
        <v>214</v>
      </c>
      <c r="E24" s="82" t="s">
        <v>277</v>
      </c>
      <c r="F24" s="80" t="s">
        <v>252</v>
      </c>
      <c r="G24" s="77"/>
      <c r="H24" s="83" t="n">
        <f aca="false">INDEX(가정!$C$7:$L$9,MATCH(가정!$C$4,가정!$B$7:$B$9,0),MATCH(E24,가정!$C$6:$L$6,0))*(I24/SUMIF($E$5:$E$33,E24,$I$5:$I$33))</f>
        <v>0.01</v>
      </c>
      <c r="I24" s="80" t="n">
        <f aca="false">COUNTIF(WP_상세!$B$5:$B$500,B24)</f>
        <v>5</v>
      </c>
      <c r="J24" s="84" t="n">
        <f aca="false">IFERROR(ROUND(AVERAGEIF(WP_상세!$B$5:$B$500,B24,WP_상세!$L$5:$L$500)*100,1),0)</f>
        <v>30</v>
      </c>
      <c r="K24" s="91"/>
    </row>
    <row r="25" customFormat="false" ht="15" hidden="false" customHeight="true" outlineLevel="0" collapsed="false">
      <c r="A25" s="80" t="n">
        <v>21</v>
      </c>
      <c r="B25" s="80" t="s">
        <v>278</v>
      </c>
      <c r="C25" s="81" t="s">
        <v>279</v>
      </c>
      <c r="D25" s="80" t="s">
        <v>214</v>
      </c>
      <c r="E25" s="82" t="s">
        <v>277</v>
      </c>
      <c r="F25" s="80" t="s">
        <v>280</v>
      </c>
      <c r="G25" s="77"/>
      <c r="H25" s="83" t="n">
        <f aca="false">INDEX(가정!$C$7:$L$9,MATCH(가정!$C$4,가정!$B$7:$B$9,0),MATCH(E25,가정!$C$6:$L$6,0))*(I25/SUMIF($E$5:$E$33,E25,$I$5:$I$33))</f>
        <v>0.01</v>
      </c>
      <c r="I25" s="80" t="n">
        <f aca="false">COUNTIF(WP_상세!$B$5:$B$500,B25)</f>
        <v>5</v>
      </c>
      <c r="J25" s="84" t="n">
        <f aca="false">IFERROR(ROUND(AVERAGEIF(WP_상세!$B$5:$B$500,B25,WP_상세!$L$5:$L$500)*100,1),0)</f>
        <v>0</v>
      </c>
      <c r="K25" s="91"/>
    </row>
    <row r="26" customFormat="false" ht="25.5" hidden="false" customHeight="true" outlineLevel="0" collapsed="false">
      <c r="A26" s="80" t="n">
        <v>22</v>
      </c>
      <c r="B26" s="80" t="s">
        <v>281</v>
      </c>
      <c r="C26" s="91" t="s">
        <v>282</v>
      </c>
      <c r="D26" s="80" t="s">
        <v>214</v>
      </c>
      <c r="E26" s="80" t="s">
        <v>240</v>
      </c>
      <c r="F26" s="80" t="s">
        <v>245</v>
      </c>
      <c r="G26" s="77"/>
      <c r="H26" s="83" t="n">
        <f aca="false">INDEX(가정!$C$7:$L$9,MATCH(가정!$C$4,가정!$B$7:$B$9,0),MATCH(E26,가정!$C$6:$L$6,0))*(I26/SUMIF($E$5:$E$33,E26,$I$5:$I$33))</f>
        <v>0.0321951219512195</v>
      </c>
      <c r="I26" s="80" t="n">
        <f aca="false">COUNTIF(WP_상세!$B$5:$B$500,B26)</f>
        <v>6</v>
      </c>
      <c r="J26" s="84" t="n">
        <f aca="false">IFERROR(ROUND(AVERAGEIF(WP_상세!$B$5:$B$500,B26,WP_상세!$L$5:$L$500)*100,1),0)</f>
        <v>100</v>
      </c>
      <c r="K26" s="91" t="s">
        <v>283</v>
      </c>
    </row>
    <row r="27" customFormat="false" ht="25.5" hidden="false" customHeight="true" outlineLevel="0" collapsed="false">
      <c r="A27" s="80" t="n">
        <v>23</v>
      </c>
      <c r="B27" s="80" t="s">
        <v>284</v>
      </c>
      <c r="C27" s="91" t="s">
        <v>285</v>
      </c>
      <c r="D27" s="80" t="s">
        <v>214</v>
      </c>
      <c r="E27" s="80" t="s">
        <v>240</v>
      </c>
      <c r="F27" s="80" t="s">
        <v>245</v>
      </c>
      <c r="G27" s="77"/>
      <c r="H27" s="83" t="n">
        <f aca="false">INDEX(가정!$C$7:$L$9,MATCH(가정!$C$4,가정!$B$7:$B$9,0),MATCH(E27,가정!$C$6:$L$6,0))*(I27/SUMIF($E$5:$E$33,E27,$I$5:$I$33))</f>
        <v>0.0375609756097561</v>
      </c>
      <c r="I27" s="80" t="n">
        <f aca="false">COUNTIF(WP_상세!$B$5:$B$500,B27)</f>
        <v>7</v>
      </c>
      <c r="J27" s="84" t="n">
        <f aca="false">IFERROR(ROUND(AVERAGEIF(WP_상세!$B$5:$B$500,B27,WP_상세!$L$5:$L$500)*100,1),0)</f>
        <v>100</v>
      </c>
      <c r="K27" s="91" t="s">
        <v>283</v>
      </c>
    </row>
    <row r="28" customFormat="false" ht="25.5" hidden="false" customHeight="true" outlineLevel="0" collapsed="false">
      <c r="A28" s="80" t="n">
        <v>24</v>
      </c>
      <c r="B28" s="80" t="s">
        <v>286</v>
      </c>
      <c r="C28" s="91" t="s">
        <v>287</v>
      </c>
      <c r="D28" s="80" t="s">
        <v>214</v>
      </c>
      <c r="E28" s="80" t="s">
        <v>240</v>
      </c>
      <c r="F28" s="80" t="s">
        <v>236</v>
      </c>
      <c r="G28" s="77"/>
      <c r="H28" s="83" t="n">
        <f aca="false">INDEX(가정!$C$7:$L$9,MATCH(가정!$C$4,가정!$B$7:$B$9,0),MATCH(E28,가정!$C$6:$L$6,0))*(I28/SUMIF($E$5:$E$33,E28,$I$5:$I$33))</f>
        <v>0.0268292682926829</v>
      </c>
      <c r="I28" s="80" t="n">
        <f aca="false">COUNTIF(WP_상세!$B$5:$B$500,B28)</f>
        <v>5</v>
      </c>
      <c r="J28" s="84" t="n">
        <f aca="false">IFERROR(ROUND(AVERAGEIF(WP_상세!$B$5:$B$500,B28,WP_상세!$L$5:$L$500)*100,1),0)</f>
        <v>85</v>
      </c>
      <c r="K28" s="91" t="s">
        <v>283</v>
      </c>
    </row>
    <row r="29" customFormat="false" ht="25.5" hidden="false" customHeight="true" outlineLevel="0" collapsed="false">
      <c r="A29" s="80" t="n">
        <v>25</v>
      </c>
      <c r="B29" s="80" t="s">
        <v>288</v>
      </c>
      <c r="C29" s="91" t="s">
        <v>289</v>
      </c>
      <c r="D29" s="80" t="s">
        <v>214</v>
      </c>
      <c r="E29" s="80" t="s">
        <v>240</v>
      </c>
      <c r="F29" s="80" t="s">
        <v>252</v>
      </c>
      <c r="G29" s="77"/>
      <c r="H29" s="83" t="n">
        <f aca="false">INDEX(가정!$C$7:$L$9,MATCH(가정!$C$4,가정!$B$7:$B$9,0),MATCH(E29,가정!$C$6:$L$6,0))*(I29/SUMIF($E$5:$E$33,E29,$I$5:$I$33))</f>
        <v>0.0375609756097561</v>
      </c>
      <c r="I29" s="80" t="n">
        <f aca="false">COUNTIF(WP_상세!$B$5:$B$500,B29)</f>
        <v>7</v>
      </c>
      <c r="J29" s="84" t="n">
        <f aca="false">IFERROR(ROUND(AVERAGEIF(WP_상세!$B$5:$B$500,B29,WP_상세!$L$5:$L$500)*100,1),0)</f>
        <v>32.1</v>
      </c>
      <c r="K29" s="91" t="s">
        <v>283</v>
      </c>
    </row>
    <row r="30" customFormat="false" ht="25.5" hidden="false" customHeight="true" outlineLevel="0" collapsed="false">
      <c r="A30" s="80" t="n">
        <v>26</v>
      </c>
      <c r="B30" s="80" t="s">
        <v>290</v>
      </c>
      <c r="C30" s="91" t="s">
        <v>291</v>
      </c>
      <c r="D30" s="80" t="s">
        <v>214</v>
      </c>
      <c r="E30" s="80" t="s">
        <v>292</v>
      </c>
      <c r="F30" s="80" t="s">
        <v>245</v>
      </c>
      <c r="G30" s="77"/>
      <c r="H30" s="83" t="n">
        <f aca="false">INDEX(가정!$C$7:$L$9,MATCH(가정!$C$4,가정!$B$7:$B$9,0),MATCH(E30,가정!$C$6:$L$6,0))*(I30/SUMIF($E$5:$E$33,E30,$I$5:$I$33))</f>
        <v>0.015</v>
      </c>
      <c r="I30" s="80" t="n">
        <f aca="false">COUNTIF(WP_상세!$B$5:$B$500,B30)</f>
        <v>6</v>
      </c>
      <c r="J30" s="84" t="n">
        <f aca="false">IFERROR(ROUND(AVERAGEIF(WP_상세!$B$5:$B$500,B30,WP_상세!$L$5:$L$500)*100,1),0)</f>
        <v>100</v>
      </c>
      <c r="K30" s="91" t="s">
        <v>293</v>
      </c>
    </row>
    <row r="31" customFormat="false" ht="25.5" hidden="false" customHeight="true" outlineLevel="0" collapsed="false">
      <c r="A31" s="80" t="n">
        <v>27</v>
      </c>
      <c r="B31" s="80" t="s">
        <v>294</v>
      </c>
      <c r="C31" s="91" t="s">
        <v>295</v>
      </c>
      <c r="D31" s="80" t="s">
        <v>214</v>
      </c>
      <c r="E31" s="80" t="s">
        <v>292</v>
      </c>
      <c r="F31" s="80" t="s">
        <v>245</v>
      </c>
      <c r="G31" s="77"/>
      <c r="H31" s="83" t="n">
        <f aca="false">INDEX(가정!$C$7:$L$9,MATCH(가정!$C$4,가정!$B$7:$B$9,0),MATCH(E31,가정!$C$6:$L$6,0))*(I31/SUMIF($E$5:$E$33,E31,$I$5:$I$33))</f>
        <v>0.015</v>
      </c>
      <c r="I31" s="80" t="n">
        <f aca="false">COUNTIF(WP_상세!$B$5:$B$500,B31)</f>
        <v>6</v>
      </c>
      <c r="J31" s="84" t="n">
        <f aca="false">IFERROR(ROUND(AVERAGEIF(WP_상세!$B$5:$B$500,B31,WP_상세!$L$5:$L$500)*100,1),0)</f>
        <v>100</v>
      </c>
      <c r="K31" s="91" t="s">
        <v>293</v>
      </c>
    </row>
    <row r="32" customFormat="false" ht="25.5" hidden="false" customHeight="true" outlineLevel="0" collapsed="false">
      <c r="A32" s="80" t="n">
        <v>28</v>
      </c>
      <c r="B32" s="80" t="s">
        <v>296</v>
      </c>
      <c r="C32" s="91" t="s">
        <v>297</v>
      </c>
      <c r="D32" s="80" t="s">
        <v>214</v>
      </c>
      <c r="E32" s="80" t="s">
        <v>292</v>
      </c>
      <c r="F32" s="80" t="s">
        <v>236</v>
      </c>
      <c r="G32" s="77"/>
      <c r="H32" s="83" t="n">
        <f aca="false">INDEX(가정!$C$7:$L$9,MATCH(가정!$C$4,가정!$B$7:$B$9,0),MATCH(E32,가정!$C$6:$L$6,0))*(I32/SUMIF($E$5:$E$33,E32,$I$5:$I$33))</f>
        <v>0.015</v>
      </c>
      <c r="I32" s="80" t="n">
        <f aca="false">COUNTIF(WP_상세!$B$5:$B$500,B32)</f>
        <v>6</v>
      </c>
      <c r="J32" s="84" t="n">
        <f aca="false">IFERROR(ROUND(AVERAGEIF(WP_상세!$B$5:$B$500,B32,WP_상세!$L$5:$L$500)*100,1),0)</f>
        <v>90</v>
      </c>
      <c r="K32" s="91" t="s">
        <v>293</v>
      </c>
    </row>
    <row r="33" customFormat="false" ht="25.5" hidden="false" customHeight="true" outlineLevel="0" collapsed="false">
      <c r="A33" s="80" t="n">
        <v>29</v>
      </c>
      <c r="B33" s="80" t="s">
        <v>298</v>
      </c>
      <c r="C33" s="91" t="s">
        <v>299</v>
      </c>
      <c r="D33" s="80" t="s">
        <v>214</v>
      </c>
      <c r="E33" s="80" t="s">
        <v>292</v>
      </c>
      <c r="F33" s="80" t="s">
        <v>252</v>
      </c>
      <c r="G33" s="77"/>
      <c r="H33" s="83" t="n">
        <f aca="false">INDEX(가정!$C$7:$L$9,MATCH(가정!$C$4,가정!$B$7:$B$9,0),MATCH(E33,가정!$C$6:$L$6,0))*(I33/SUMIF($E$5:$E$33,E33,$I$5:$I$33))</f>
        <v>0.015</v>
      </c>
      <c r="I33" s="80" t="n">
        <f aca="false">COUNTIF(WP_상세!$B$5:$B$500,B33)</f>
        <v>6</v>
      </c>
      <c r="J33" s="84" t="n">
        <f aca="false">IFERROR(ROUND(AVERAGEIF(WP_상세!$B$5:$B$500,B33,WP_상세!$L$5:$L$500)*100,1),0)</f>
        <v>42.5</v>
      </c>
      <c r="K33" s="91" t="s">
        <v>293</v>
      </c>
    </row>
    <row r="34" customFormat="false" ht="14.25" hidden="false" customHeight="true" outlineLevel="0" collapsed="false">
      <c r="A34" s="9"/>
      <c r="B34" s="9"/>
      <c r="C34" s="9"/>
      <c r="D34" s="9"/>
      <c r="E34" s="9"/>
      <c r="F34" s="9"/>
      <c r="G34" s="9"/>
      <c r="H34" s="9"/>
      <c r="I34" s="9"/>
      <c r="J34" s="9"/>
      <c r="K34" s="9"/>
    </row>
    <row r="35" customFormat="false" ht="16.5" hidden="false" customHeight="true" outlineLevel="0" collapsed="false">
      <c r="A35" s="9"/>
      <c r="B35" s="9"/>
      <c r="C35" s="9"/>
      <c r="D35" s="9"/>
      <c r="E35" s="9"/>
      <c r="F35" s="9"/>
      <c r="G35" s="92" t="s">
        <v>300</v>
      </c>
      <c r="H35" s="93" t="n">
        <f aca="false">SUM(H5:H33)</f>
        <v>1</v>
      </c>
      <c r="I35" s="9"/>
      <c r="J35" s="9"/>
      <c r="K35" s="9"/>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O179"/>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328125" defaultRowHeight="14.25" zeroHeight="false" outlineLevelRow="0" outlineLevelCol="0"/>
  <cols>
    <col collapsed="false" customWidth="true" hidden="false" outlineLevel="0" max="1" min="1" style="29" width="5"/>
    <col collapsed="false" customWidth="true" hidden="false" outlineLevel="0" max="2" min="2" style="29" width="10"/>
    <col collapsed="false" customWidth="true" hidden="false" outlineLevel="0" max="3" min="3" style="29" width="20"/>
    <col collapsed="false" customWidth="true" hidden="false" outlineLevel="0" max="4" min="4" style="29" width="8"/>
    <col collapsed="false" customWidth="true" hidden="false" outlineLevel="0" max="5" min="5" style="29" width="6"/>
    <col collapsed="false" customWidth="true" hidden="false" outlineLevel="0" max="6" min="6" style="29" width="42"/>
    <col collapsed="false" customWidth="true" hidden="false" outlineLevel="0" max="8" min="7" style="29" width="12"/>
    <col collapsed="false" customWidth="true" hidden="false" outlineLevel="0" max="9" min="9" style="29" width="10"/>
    <col collapsed="false" customWidth="true" hidden="false" outlineLevel="0" max="10" min="10" style="29" width="12"/>
    <col collapsed="false" customWidth="true" hidden="false" outlineLevel="0" max="11" min="11" style="29" width="30"/>
    <col collapsed="false" customWidth="true" hidden="false" outlineLevel="0" max="13" min="12" style="29" width="10"/>
    <col collapsed="false" customWidth="true" hidden="false" outlineLevel="0" max="14" min="14" style="29" width="26"/>
    <col collapsed="false" customWidth="true" hidden="false" outlineLevel="0" max="15" min="15" style="29" width="18"/>
  </cols>
  <sheetData>
    <row r="4" customFormat="false" ht="25.5" hidden="false" customHeight="true" outlineLevel="0" collapsed="false">
      <c r="A4" s="64" t="s">
        <v>34</v>
      </c>
      <c r="B4" s="64" t="s">
        <v>301</v>
      </c>
      <c r="C4" s="64" t="s">
        <v>186</v>
      </c>
      <c r="D4" s="64" t="s">
        <v>302</v>
      </c>
      <c r="E4" s="64" t="s">
        <v>303</v>
      </c>
      <c r="F4" s="64" t="s">
        <v>304</v>
      </c>
      <c r="G4" s="56" t="s">
        <v>305</v>
      </c>
      <c r="H4" s="56" t="s">
        <v>306</v>
      </c>
      <c r="I4" s="56" t="s">
        <v>307</v>
      </c>
      <c r="J4" s="56" t="s">
        <v>308</v>
      </c>
      <c r="K4" s="56" t="s">
        <v>309</v>
      </c>
      <c r="L4" s="56" t="s">
        <v>310</v>
      </c>
      <c r="M4" s="56" t="s">
        <v>311</v>
      </c>
      <c r="N4" s="56" t="s">
        <v>312</v>
      </c>
      <c r="O4" s="56" t="s">
        <v>313</v>
      </c>
    </row>
    <row r="5" customFormat="false" ht="14.25" hidden="false" customHeight="true" outlineLevel="0" collapsed="false">
      <c r="A5" s="94" t="n">
        <v>1</v>
      </c>
      <c r="B5" s="95" t="s">
        <v>206</v>
      </c>
      <c r="C5" s="96" t="s">
        <v>207</v>
      </c>
      <c r="D5" s="95"/>
      <c r="E5" s="95" t="n">
        <v>1</v>
      </c>
      <c r="F5" s="97" t="s">
        <v>314</v>
      </c>
      <c r="G5" s="94" t="s">
        <v>245</v>
      </c>
      <c r="H5" s="95" t="s">
        <v>214</v>
      </c>
      <c r="I5" s="95" t="s">
        <v>315</v>
      </c>
      <c r="J5" s="98" t="n">
        <v>1</v>
      </c>
      <c r="K5" s="96" t="s">
        <v>316</v>
      </c>
      <c r="L5" s="99" t="n">
        <v>1</v>
      </c>
      <c r="M5" s="100" t="s">
        <v>317</v>
      </c>
      <c r="N5" s="94"/>
      <c r="O5" s="101"/>
    </row>
    <row r="6" customFormat="false" ht="14.25" hidden="false" customHeight="true" outlineLevel="0" collapsed="false">
      <c r="A6" s="94" t="n">
        <v>2</v>
      </c>
      <c r="B6" s="95" t="s">
        <v>206</v>
      </c>
      <c r="C6" s="96" t="s">
        <v>207</v>
      </c>
      <c r="D6" s="95"/>
      <c r="E6" s="95" t="n">
        <v>2</v>
      </c>
      <c r="F6" s="97" t="s">
        <v>318</v>
      </c>
      <c r="G6" s="94" t="s">
        <v>260</v>
      </c>
      <c r="H6" s="95" t="s">
        <v>214</v>
      </c>
      <c r="I6" s="95" t="s">
        <v>315</v>
      </c>
      <c r="J6" s="98" t="n">
        <v>1</v>
      </c>
      <c r="K6" s="96" t="s">
        <v>319</v>
      </c>
      <c r="L6" s="99" t="n">
        <v>1</v>
      </c>
      <c r="M6" s="100" t="s">
        <v>317</v>
      </c>
      <c r="N6" s="94"/>
      <c r="O6" s="101"/>
    </row>
    <row r="7" customFormat="false" ht="14.25" hidden="false" customHeight="true" outlineLevel="0" collapsed="false">
      <c r="A7" s="102" t="n">
        <v>3</v>
      </c>
      <c r="B7" s="103" t="s">
        <v>206</v>
      </c>
      <c r="C7" s="104" t="s">
        <v>207</v>
      </c>
      <c r="D7" s="103"/>
      <c r="E7" s="103" t="n">
        <v>3</v>
      </c>
      <c r="F7" s="105" t="s">
        <v>320</v>
      </c>
      <c r="G7" s="102" t="s">
        <v>260</v>
      </c>
      <c r="H7" s="103" t="s">
        <v>125</v>
      </c>
      <c r="I7" s="103"/>
      <c r="J7" s="103"/>
      <c r="K7" s="104" t="s">
        <v>321</v>
      </c>
      <c r="L7" s="99" t="n">
        <v>1</v>
      </c>
      <c r="M7" s="100" t="s">
        <v>317</v>
      </c>
      <c r="N7" s="104" t="s">
        <v>322</v>
      </c>
      <c r="O7" s="101"/>
    </row>
    <row r="8" customFormat="false" ht="14.25" hidden="false" customHeight="true" outlineLevel="0" collapsed="false">
      <c r="A8" s="102" t="n">
        <v>4</v>
      </c>
      <c r="B8" s="103" t="s">
        <v>206</v>
      </c>
      <c r="C8" s="104" t="s">
        <v>207</v>
      </c>
      <c r="D8" s="103"/>
      <c r="E8" s="103" t="n">
        <v>4</v>
      </c>
      <c r="F8" s="105" t="s">
        <v>323</v>
      </c>
      <c r="G8" s="102" t="s">
        <v>260</v>
      </c>
      <c r="H8" s="103" t="s">
        <v>125</v>
      </c>
      <c r="I8" s="103"/>
      <c r="J8" s="103"/>
      <c r="K8" s="104" t="s">
        <v>324</v>
      </c>
      <c r="L8" s="99" t="n">
        <v>1</v>
      </c>
      <c r="M8" s="100" t="s">
        <v>317</v>
      </c>
      <c r="N8" s="102"/>
      <c r="O8" s="101"/>
    </row>
    <row r="9" customFormat="false" ht="14.25" hidden="false" customHeight="true" outlineLevel="0" collapsed="false">
      <c r="A9" s="102" t="n">
        <v>5</v>
      </c>
      <c r="B9" s="103" t="s">
        <v>206</v>
      </c>
      <c r="C9" s="104" t="s">
        <v>207</v>
      </c>
      <c r="D9" s="103"/>
      <c r="E9" s="103" t="n">
        <v>5</v>
      </c>
      <c r="F9" s="105" t="s">
        <v>325</v>
      </c>
      <c r="G9" s="102" t="s">
        <v>326</v>
      </c>
      <c r="H9" s="103" t="s">
        <v>125</v>
      </c>
      <c r="I9" s="103"/>
      <c r="J9" s="103"/>
      <c r="K9" s="104" t="s">
        <v>327</v>
      </c>
      <c r="L9" s="99" t="n">
        <v>0.75</v>
      </c>
      <c r="M9" s="100" t="s">
        <v>328</v>
      </c>
      <c r="N9" s="104" t="s">
        <v>322</v>
      </c>
      <c r="O9" s="101"/>
    </row>
    <row r="10" customFormat="false" ht="14.25" hidden="false" customHeight="true" outlineLevel="0" collapsed="false">
      <c r="A10" s="94" t="n">
        <v>6</v>
      </c>
      <c r="B10" s="95" t="s">
        <v>212</v>
      </c>
      <c r="C10" s="96" t="s">
        <v>213</v>
      </c>
      <c r="D10" s="95"/>
      <c r="E10" s="95" t="n">
        <v>1</v>
      </c>
      <c r="F10" s="97" t="s">
        <v>329</v>
      </c>
      <c r="G10" s="96" t="s">
        <v>330</v>
      </c>
      <c r="H10" s="95" t="s">
        <v>214</v>
      </c>
      <c r="I10" s="95"/>
      <c r="J10" s="95"/>
      <c r="K10" s="96" t="s">
        <v>331</v>
      </c>
      <c r="L10" s="99" t="n">
        <v>1</v>
      </c>
      <c r="M10" s="100" t="s">
        <v>317</v>
      </c>
      <c r="N10" s="94"/>
      <c r="O10" s="101"/>
    </row>
    <row r="11" customFormat="false" ht="14.25" hidden="false" customHeight="true" outlineLevel="0" collapsed="false">
      <c r="A11" s="94" t="n">
        <v>7</v>
      </c>
      <c r="B11" s="95" t="s">
        <v>212</v>
      </c>
      <c r="C11" s="96" t="s">
        <v>213</v>
      </c>
      <c r="D11" s="95"/>
      <c r="E11" s="95" t="n">
        <v>2</v>
      </c>
      <c r="F11" s="97" t="s">
        <v>332</v>
      </c>
      <c r="G11" s="96" t="s">
        <v>330</v>
      </c>
      <c r="H11" s="95" t="s">
        <v>214</v>
      </c>
      <c r="I11" s="95"/>
      <c r="J11" s="95"/>
      <c r="K11" s="96" t="s">
        <v>333</v>
      </c>
      <c r="L11" s="99" t="n">
        <v>1</v>
      </c>
      <c r="M11" s="100" t="s">
        <v>317</v>
      </c>
      <c r="N11" s="94"/>
      <c r="O11" s="101"/>
    </row>
    <row r="12" customFormat="false" ht="22.5" hidden="false" customHeight="true" outlineLevel="0" collapsed="false">
      <c r="A12" s="94" t="n">
        <v>8</v>
      </c>
      <c r="B12" s="95" t="s">
        <v>212</v>
      </c>
      <c r="C12" s="96" t="s">
        <v>213</v>
      </c>
      <c r="D12" s="95"/>
      <c r="E12" s="95" t="n">
        <v>3</v>
      </c>
      <c r="F12" s="97" t="s">
        <v>334</v>
      </c>
      <c r="G12" s="96" t="s">
        <v>330</v>
      </c>
      <c r="H12" s="95" t="s">
        <v>214</v>
      </c>
      <c r="I12" s="95"/>
      <c r="J12" s="95"/>
      <c r="K12" s="96" t="s">
        <v>335</v>
      </c>
      <c r="L12" s="99" t="n">
        <v>1</v>
      </c>
      <c r="M12" s="100" t="s">
        <v>317</v>
      </c>
      <c r="N12" s="94"/>
      <c r="O12" s="101"/>
    </row>
    <row r="13" customFormat="false" ht="22.5" hidden="false" customHeight="true" outlineLevel="0" collapsed="false">
      <c r="A13" s="94" t="n">
        <v>9</v>
      </c>
      <c r="B13" s="95" t="s">
        <v>212</v>
      </c>
      <c r="C13" s="96" t="s">
        <v>213</v>
      </c>
      <c r="D13" s="95"/>
      <c r="E13" s="95" t="n">
        <v>4</v>
      </c>
      <c r="F13" s="97" t="s">
        <v>336</v>
      </c>
      <c r="G13" s="96" t="s">
        <v>330</v>
      </c>
      <c r="H13" s="95" t="s">
        <v>214</v>
      </c>
      <c r="I13" s="95"/>
      <c r="J13" s="95"/>
      <c r="K13" s="96" t="s">
        <v>337</v>
      </c>
      <c r="L13" s="99" t="n">
        <v>1</v>
      </c>
      <c r="M13" s="100" t="s">
        <v>317</v>
      </c>
      <c r="N13" s="94"/>
      <c r="O13" s="101"/>
    </row>
    <row r="14" customFormat="false" ht="14.25" hidden="false" customHeight="true" outlineLevel="0" collapsed="false">
      <c r="A14" s="94" t="n">
        <v>10</v>
      </c>
      <c r="B14" s="95" t="s">
        <v>212</v>
      </c>
      <c r="C14" s="96" t="s">
        <v>213</v>
      </c>
      <c r="D14" s="95"/>
      <c r="E14" s="95" t="n">
        <v>5</v>
      </c>
      <c r="F14" s="97" t="s">
        <v>338</v>
      </c>
      <c r="G14" s="96" t="s">
        <v>330</v>
      </c>
      <c r="H14" s="95" t="s">
        <v>214</v>
      </c>
      <c r="I14" s="95"/>
      <c r="J14" s="95"/>
      <c r="K14" s="96" t="s">
        <v>339</v>
      </c>
      <c r="L14" s="99" t="n">
        <v>0.4</v>
      </c>
      <c r="M14" s="100" t="s">
        <v>340</v>
      </c>
      <c r="N14" s="94"/>
      <c r="O14" s="101"/>
    </row>
    <row r="15" customFormat="false" ht="14.25" hidden="false" customHeight="true" outlineLevel="0" collapsed="false">
      <c r="A15" s="94" t="n">
        <v>11</v>
      </c>
      <c r="B15" s="95" t="s">
        <v>212</v>
      </c>
      <c r="C15" s="96" t="s">
        <v>213</v>
      </c>
      <c r="D15" s="95"/>
      <c r="E15" s="95" t="n">
        <v>6</v>
      </c>
      <c r="F15" s="97" t="s">
        <v>341</v>
      </c>
      <c r="G15" s="96" t="s">
        <v>330</v>
      </c>
      <c r="H15" s="95" t="s">
        <v>214</v>
      </c>
      <c r="I15" s="95"/>
      <c r="J15" s="95"/>
      <c r="K15" s="96" t="s">
        <v>342</v>
      </c>
      <c r="L15" s="99" t="n">
        <v>0.4</v>
      </c>
      <c r="M15" s="100" t="s">
        <v>340</v>
      </c>
      <c r="N15" s="94"/>
      <c r="O15" s="101"/>
    </row>
    <row r="16" customFormat="false" ht="22.5" hidden="false" customHeight="true" outlineLevel="0" collapsed="false">
      <c r="A16" s="94" t="n">
        <v>12</v>
      </c>
      <c r="B16" s="95" t="s">
        <v>212</v>
      </c>
      <c r="C16" s="96" t="s">
        <v>213</v>
      </c>
      <c r="D16" s="95"/>
      <c r="E16" s="95" t="n">
        <v>7</v>
      </c>
      <c r="F16" s="97" t="s">
        <v>343</v>
      </c>
      <c r="G16" s="96" t="s">
        <v>330</v>
      </c>
      <c r="H16" s="95" t="s">
        <v>214</v>
      </c>
      <c r="I16" s="95"/>
      <c r="J16" s="95"/>
      <c r="K16" s="96" t="s">
        <v>344</v>
      </c>
      <c r="L16" s="99" t="n">
        <v>0.4</v>
      </c>
      <c r="M16" s="100" t="s">
        <v>340</v>
      </c>
      <c r="N16" s="94"/>
      <c r="O16" s="101"/>
    </row>
    <row r="17" customFormat="false" ht="14.25" hidden="false" customHeight="true" outlineLevel="0" collapsed="false">
      <c r="A17" s="94" t="n">
        <v>13</v>
      </c>
      <c r="B17" s="95" t="s">
        <v>212</v>
      </c>
      <c r="C17" s="96" t="s">
        <v>213</v>
      </c>
      <c r="D17" s="95"/>
      <c r="E17" s="95" t="n">
        <v>8</v>
      </c>
      <c r="F17" s="97" t="s">
        <v>345</v>
      </c>
      <c r="G17" s="96" t="s">
        <v>330</v>
      </c>
      <c r="H17" s="95" t="s">
        <v>214</v>
      </c>
      <c r="I17" s="95"/>
      <c r="J17" s="95"/>
      <c r="K17" s="96" t="s">
        <v>346</v>
      </c>
      <c r="L17" s="99" t="n">
        <v>0.4</v>
      </c>
      <c r="M17" s="100" t="s">
        <v>340</v>
      </c>
      <c r="N17" s="94"/>
      <c r="O17" s="101"/>
    </row>
    <row r="18" customFormat="false" ht="22.5" hidden="false" customHeight="true" outlineLevel="0" collapsed="false">
      <c r="A18" s="94" t="n">
        <v>14</v>
      </c>
      <c r="B18" s="95" t="s">
        <v>218</v>
      </c>
      <c r="C18" s="96" t="s">
        <v>219</v>
      </c>
      <c r="D18" s="95"/>
      <c r="E18" s="95" t="n">
        <v>1</v>
      </c>
      <c r="F18" s="97" t="s">
        <v>347</v>
      </c>
      <c r="G18" s="94" t="s">
        <v>245</v>
      </c>
      <c r="H18" s="95" t="s">
        <v>214</v>
      </c>
      <c r="I18" s="95" t="s">
        <v>348</v>
      </c>
      <c r="J18" s="98" t="n">
        <v>0.4</v>
      </c>
      <c r="K18" s="96" t="s">
        <v>316</v>
      </c>
      <c r="L18" s="99" t="n">
        <v>1</v>
      </c>
      <c r="M18" s="100" t="s">
        <v>317</v>
      </c>
      <c r="N18" s="94"/>
      <c r="O18" s="101"/>
    </row>
    <row r="19" customFormat="false" ht="22.5" hidden="false" customHeight="true" outlineLevel="0" collapsed="false">
      <c r="A19" s="94" t="n">
        <v>15</v>
      </c>
      <c r="B19" s="95" t="s">
        <v>218</v>
      </c>
      <c r="C19" s="96" t="s">
        <v>219</v>
      </c>
      <c r="D19" s="95"/>
      <c r="E19" s="95" t="n">
        <v>2</v>
      </c>
      <c r="F19" s="97" t="s">
        <v>349</v>
      </c>
      <c r="G19" s="94" t="s">
        <v>245</v>
      </c>
      <c r="H19" s="95" t="s">
        <v>214</v>
      </c>
      <c r="I19" s="95" t="s">
        <v>348</v>
      </c>
      <c r="J19" s="98" t="n">
        <v>0.4</v>
      </c>
      <c r="K19" s="96" t="s">
        <v>350</v>
      </c>
      <c r="L19" s="99" t="n">
        <v>1</v>
      </c>
      <c r="M19" s="100" t="s">
        <v>317</v>
      </c>
      <c r="N19" s="94"/>
      <c r="O19" s="101"/>
    </row>
    <row r="20" customFormat="false" ht="14.25" hidden="false" customHeight="true" outlineLevel="0" collapsed="false">
      <c r="A20" s="94" t="n">
        <v>16</v>
      </c>
      <c r="B20" s="95" t="s">
        <v>218</v>
      </c>
      <c r="C20" s="96" t="s">
        <v>219</v>
      </c>
      <c r="D20" s="95"/>
      <c r="E20" s="95" t="n">
        <v>3</v>
      </c>
      <c r="F20" s="97" t="s">
        <v>351</v>
      </c>
      <c r="G20" s="94" t="s">
        <v>245</v>
      </c>
      <c r="H20" s="95" t="s">
        <v>214</v>
      </c>
      <c r="I20" s="95" t="s">
        <v>315</v>
      </c>
      <c r="J20" s="98" t="n">
        <v>1</v>
      </c>
      <c r="K20" s="96" t="s">
        <v>352</v>
      </c>
      <c r="L20" s="99" t="n">
        <v>1</v>
      </c>
      <c r="M20" s="100" t="s">
        <v>317</v>
      </c>
      <c r="N20" s="94"/>
      <c r="O20" s="101"/>
    </row>
    <row r="21" customFormat="false" ht="22.5" hidden="false" customHeight="true" outlineLevel="0" collapsed="false">
      <c r="A21" s="94" t="n">
        <v>17</v>
      </c>
      <c r="B21" s="95" t="s">
        <v>218</v>
      </c>
      <c r="C21" s="96" t="s">
        <v>219</v>
      </c>
      <c r="D21" s="95"/>
      <c r="E21" s="95" t="n">
        <v>4</v>
      </c>
      <c r="F21" s="97" t="s">
        <v>353</v>
      </c>
      <c r="G21" s="94" t="s">
        <v>245</v>
      </c>
      <c r="H21" s="95" t="s">
        <v>214</v>
      </c>
      <c r="I21" s="95" t="s">
        <v>348</v>
      </c>
      <c r="J21" s="98" t="n">
        <v>0.4</v>
      </c>
      <c r="K21" s="96" t="s">
        <v>354</v>
      </c>
      <c r="L21" s="99" t="n">
        <v>1</v>
      </c>
      <c r="M21" s="100" t="s">
        <v>317</v>
      </c>
      <c r="N21" s="94"/>
      <c r="O21" s="101"/>
    </row>
    <row r="22" customFormat="false" ht="22.5" hidden="false" customHeight="true" outlineLevel="0" collapsed="false">
      <c r="A22" s="94" t="n">
        <v>18</v>
      </c>
      <c r="B22" s="95" t="s">
        <v>218</v>
      </c>
      <c r="C22" s="96" t="s">
        <v>219</v>
      </c>
      <c r="D22" s="95"/>
      <c r="E22" s="95" t="n">
        <v>5</v>
      </c>
      <c r="F22" s="97" t="s">
        <v>355</v>
      </c>
      <c r="G22" s="94" t="s">
        <v>245</v>
      </c>
      <c r="H22" s="95" t="s">
        <v>214</v>
      </c>
      <c r="I22" s="95" t="s">
        <v>348</v>
      </c>
      <c r="J22" s="98" t="n">
        <v>0.4</v>
      </c>
      <c r="K22" s="96" t="s">
        <v>356</v>
      </c>
      <c r="L22" s="99" t="n">
        <v>1</v>
      </c>
      <c r="M22" s="100" t="s">
        <v>317</v>
      </c>
      <c r="N22" s="94"/>
      <c r="O22" s="101"/>
    </row>
    <row r="23" customFormat="false" ht="22.5" hidden="false" customHeight="true" outlineLevel="0" collapsed="false">
      <c r="A23" s="94" t="n">
        <v>19</v>
      </c>
      <c r="B23" s="95" t="s">
        <v>218</v>
      </c>
      <c r="C23" s="96" t="s">
        <v>219</v>
      </c>
      <c r="D23" s="95"/>
      <c r="E23" s="95" t="n">
        <v>6</v>
      </c>
      <c r="F23" s="97" t="s">
        <v>357</v>
      </c>
      <c r="G23" s="94" t="s">
        <v>245</v>
      </c>
      <c r="H23" s="95" t="s">
        <v>214</v>
      </c>
      <c r="I23" s="95" t="s">
        <v>348</v>
      </c>
      <c r="J23" s="98" t="n">
        <v>0.4</v>
      </c>
      <c r="K23" s="96" t="s">
        <v>358</v>
      </c>
      <c r="L23" s="99" t="n">
        <v>1</v>
      </c>
      <c r="M23" s="100" t="s">
        <v>317</v>
      </c>
      <c r="N23" s="94"/>
      <c r="O23" s="101"/>
    </row>
    <row r="24" customFormat="false" ht="22.5" hidden="false" customHeight="true" outlineLevel="0" collapsed="false">
      <c r="A24" s="94" t="n">
        <v>20</v>
      </c>
      <c r="B24" s="95" t="s">
        <v>218</v>
      </c>
      <c r="C24" s="96" t="s">
        <v>219</v>
      </c>
      <c r="D24" s="95"/>
      <c r="E24" s="95" t="n">
        <v>7</v>
      </c>
      <c r="F24" s="97" t="s">
        <v>359</v>
      </c>
      <c r="G24" s="94" t="s">
        <v>245</v>
      </c>
      <c r="H24" s="95" t="s">
        <v>214</v>
      </c>
      <c r="I24" s="95" t="s">
        <v>348</v>
      </c>
      <c r="J24" s="98" t="n">
        <v>0.4</v>
      </c>
      <c r="K24" s="96" t="s">
        <v>360</v>
      </c>
      <c r="L24" s="99" t="n">
        <v>1</v>
      </c>
      <c r="M24" s="100" t="s">
        <v>317</v>
      </c>
      <c r="N24" s="94"/>
      <c r="O24" s="101"/>
    </row>
    <row r="25" customFormat="false" ht="14.25" hidden="false" customHeight="true" outlineLevel="0" collapsed="false">
      <c r="A25" s="94" t="n">
        <v>21</v>
      </c>
      <c r="B25" s="95" t="s">
        <v>218</v>
      </c>
      <c r="C25" s="96" t="s">
        <v>219</v>
      </c>
      <c r="D25" s="95"/>
      <c r="E25" s="95" t="n">
        <v>8</v>
      </c>
      <c r="F25" s="97" t="s">
        <v>361</v>
      </c>
      <c r="G25" s="94" t="s">
        <v>245</v>
      </c>
      <c r="H25" s="95" t="s">
        <v>214</v>
      </c>
      <c r="I25" s="95" t="s">
        <v>348</v>
      </c>
      <c r="J25" s="98" t="n">
        <v>0.4</v>
      </c>
      <c r="K25" s="96" t="s">
        <v>362</v>
      </c>
      <c r="L25" s="99" t="n">
        <v>1</v>
      </c>
      <c r="M25" s="100" t="s">
        <v>317</v>
      </c>
      <c r="N25" s="94"/>
      <c r="O25" s="101"/>
    </row>
    <row r="26" customFormat="false" ht="14.25" hidden="false" customHeight="true" outlineLevel="0" collapsed="false">
      <c r="A26" s="94" t="n">
        <v>22</v>
      </c>
      <c r="B26" s="95" t="s">
        <v>218</v>
      </c>
      <c r="C26" s="96" t="s">
        <v>219</v>
      </c>
      <c r="D26" s="95"/>
      <c r="E26" s="95" t="n">
        <v>9</v>
      </c>
      <c r="F26" s="97" t="s">
        <v>363</v>
      </c>
      <c r="G26" s="94" t="s">
        <v>326</v>
      </c>
      <c r="H26" s="95" t="s">
        <v>214</v>
      </c>
      <c r="I26" s="95" t="s">
        <v>315</v>
      </c>
      <c r="J26" s="98" t="n">
        <v>1</v>
      </c>
      <c r="K26" s="96" t="s">
        <v>364</v>
      </c>
      <c r="L26" s="99" t="n">
        <v>0.75</v>
      </c>
      <c r="M26" s="100" t="s">
        <v>328</v>
      </c>
      <c r="N26" s="94"/>
      <c r="O26" s="101"/>
    </row>
    <row r="27" customFormat="false" ht="14.25" hidden="false" customHeight="true" outlineLevel="0" collapsed="false">
      <c r="A27" s="102" t="n">
        <v>23</v>
      </c>
      <c r="B27" s="103" t="s">
        <v>218</v>
      </c>
      <c r="C27" s="104" t="s">
        <v>219</v>
      </c>
      <c r="D27" s="103"/>
      <c r="E27" s="103" t="n">
        <v>10</v>
      </c>
      <c r="F27" s="105" t="s">
        <v>365</v>
      </c>
      <c r="G27" s="102" t="s">
        <v>326</v>
      </c>
      <c r="H27" s="103" t="s">
        <v>125</v>
      </c>
      <c r="I27" s="103"/>
      <c r="J27" s="103"/>
      <c r="K27" s="104" t="s">
        <v>366</v>
      </c>
      <c r="L27" s="99" t="n">
        <v>0.75</v>
      </c>
      <c r="M27" s="100" t="s">
        <v>328</v>
      </c>
      <c r="N27" s="102"/>
      <c r="O27" s="101"/>
    </row>
    <row r="28" customFormat="false" ht="22.5" hidden="false" customHeight="true" outlineLevel="0" collapsed="false">
      <c r="A28" s="94" t="n">
        <v>24</v>
      </c>
      <c r="B28" s="95" t="s">
        <v>223</v>
      </c>
      <c r="C28" s="96" t="s">
        <v>224</v>
      </c>
      <c r="D28" s="95"/>
      <c r="E28" s="95" t="n">
        <v>1</v>
      </c>
      <c r="F28" s="97" t="s">
        <v>367</v>
      </c>
      <c r="G28" s="94" t="s">
        <v>245</v>
      </c>
      <c r="H28" s="95" t="s">
        <v>214</v>
      </c>
      <c r="I28" s="95" t="s">
        <v>348</v>
      </c>
      <c r="J28" s="98" t="n">
        <v>0.4</v>
      </c>
      <c r="K28" s="96" t="s">
        <v>316</v>
      </c>
      <c r="L28" s="99" t="n">
        <v>1</v>
      </c>
      <c r="M28" s="100" t="s">
        <v>317</v>
      </c>
      <c r="N28" s="94"/>
      <c r="O28" s="101"/>
    </row>
    <row r="29" customFormat="false" ht="22.5" hidden="false" customHeight="true" outlineLevel="0" collapsed="false">
      <c r="A29" s="94" t="n">
        <v>25</v>
      </c>
      <c r="B29" s="95" t="s">
        <v>223</v>
      </c>
      <c r="C29" s="96" t="s">
        <v>224</v>
      </c>
      <c r="D29" s="95"/>
      <c r="E29" s="95" t="n">
        <v>2</v>
      </c>
      <c r="F29" s="97" t="s">
        <v>368</v>
      </c>
      <c r="G29" s="94" t="s">
        <v>245</v>
      </c>
      <c r="H29" s="95" t="s">
        <v>214</v>
      </c>
      <c r="I29" s="95" t="s">
        <v>348</v>
      </c>
      <c r="J29" s="98" t="n">
        <v>0.4</v>
      </c>
      <c r="K29" s="96" t="s">
        <v>350</v>
      </c>
      <c r="L29" s="99" t="n">
        <v>1</v>
      </c>
      <c r="M29" s="100" t="s">
        <v>317</v>
      </c>
      <c r="N29" s="94"/>
      <c r="O29" s="101"/>
    </row>
    <row r="30" customFormat="false" ht="14.25" hidden="false" customHeight="true" outlineLevel="0" collapsed="false">
      <c r="A30" s="102" t="n">
        <v>26</v>
      </c>
      <c r="B30" s="103" t="s">
        <v>223</v>
      </c>
      <c r="C30" s="104" t="s">
        <v>224</v>
      </c>
      <c r="D30" s="103"/>
      <c r="E30" s="103" t="n">
        <v>3</v>
      </c>
      <c r="F30" s="105" t="s">
        <v>369</v>
      </c>
      <c r="G30" s="102" t="s">
        <v>260</v>
      </c>
      <c r="H30" s="103" t="s">
        <v>125</v>
      </c>
      <c r="I30" s="103"/>
      <c r="J30" s="103"/>
      <c r="K30" s="104" t="s">
        <v>321</v>
      </c>
      <c r="L30" s="99" t="n">
        <v>1</v>
      </c>
      <c r="M30" s="100" t="s">
        <v>317</v>
      </c>
      <c r="N30" s="102"/>
      <c r="O30" s="101"/>
    </row>
    <row r="31" customFormat="false" ht="14.25" hidden="false" customHeight="true" outlineLevel="0" collapsed="false">
      <c r="A31" s="94" t="n">
        <v>27</v>
      </c>
      <c r="B31" s="95" t="s">
        <v>223</v>
      </c>
      <c r="C31" s="96" t="s">
        <v>224</v>
      </c>
      <c r="D31" s="95"/>
      <c r="E31" s="95" t="n">
        <v>4</v>
      </c>
      <c r="F31" s="97" t="s">
        <v>370</v>
      </c>
      <c r="G31" s="94" t="s">
        <v>260</v>
      </c>
      <c r="H31" s="95" t="s">
        <v>214</v>
      </c>
      <c r="I31" s="95" t="s">
        <v>315</v>
      </c>
      <c r="J31" s="98" t="n">
        <v>1</v>
      </c>
      <c r="K31" s="96" t="s">
        <v>324</v>
      </c>
      <c r="L31" s="99" t="n">
        <v>1</v>
      </c>
      <c r="M31" s="100" t="s">
        <v>317</v>
      </c>
      <c r="N31" s="94"/>
      <c r="O31" s="101"/>
    </row>
    <row r="32" customFormat="false" ht="14.25" hidden="false" customHeight="true" outlineLevel="0" collapsed="false">
      <c r="A32" s="102" t="n">
        <v>28</v>
      </c>
      <c r="B32" s="103" t="s">
        <v>223</v>
      </c>
      <c r="C32" s="104" t="s">
        <v>224</v>
      </c>
      <c r="D32" s="103"/>
      <c r="E32" s="103" t="n">
        <v>5</v>
      </c>
      <c r="F32" s="105" t="s">
        <v>371</v>
      </c>
      <c r="G32" s="102" t="s">
        <v>326</v>
      </c>
      <c r="H32" s="103" t="s">
        <v>125</v>
      </c>
      <c r="I32" s="103"/>
      <c r="J32" s="103"/>
      <c r="K32" s="104" t="s">
        <v>327</v>
      </c>
      <c r="L32" s="99" t="n">
        <v>0.75</v>
      </c>
      <c r="M32" s="100" t="s">
        <v>328</v>
      </c>
      <c r="N32" s="102"/>
      <c r="O32" s="101"/>
    </row>
    <row r="33" customFormat="false" ht="14.25" hidden="false" customHeight="true" outlineLevel="0" collapsed="false">
      <c r="A33" s="102" t="n">
        <v>29</v>
      </c>
      <c r="B33" s="103" t="s">
        <v>223</v>
      </c>
      <c r="C33" s="104" t="s">
        <v>224</v>
      </c>
      <c r="D33" s="103"/>
      <c r="E33" s="103" t="n">
        <v>6</v>
      </c>
      <c r="F33" s="105" t="s">
        <v>372</v>
      </c>
      <c r="G33" s="102" t="s">
        <v>326</v>
      </c>
      <c r="H33" s="103" t="s">
        <v>125</v>
      </c>
      <c r="I33" s="103"/>
      <c r="J33" s="103"/>
      <c r="K33" s="104" t="s">
        <v>373</v>
      </c>
      <c r="L33" s="99" t="n">
        <v>0.75</v>
      </c>
      <c r="M33" s="100" t="s">
        <v>328</v>
      </c>
      <c r="N33" s="102"/>
      <c r="O33" s="101"/>
    </row>
    <row r="34" customFormat="false" ht="14.25" hidden="false" customHeight="true" outlineLevel="0" collapsed="false">
      <c r="A34" s="102" t="n">
        <v>30</v>
      </c>
      <c r="B34" s="103" t="s">
        <v>223</v>
      </c>
      <c r="C34" s="104" t="s">
        <v>224</v>
      </c>
      <c r="D34" s="103"/>
      <c r="E34" s="103" t="n">
        <v>7</v>
      </c>
      <c r="F34" s="105" t="s">
        <v>374</v>
      </c>
      <c r="G34" s="102" t="s">
        <v>326</v>
      </c>
      <c r="H34" s="103" t="s">
        <v>125</v>
      </c>
      <c r="I34" s="103"/>
      <c r="J34" s="103"/>
      <c r="K34" s="104" t="s">
        <v>375</v>
      </c>
      <c r="L34" s="99" t="n">
        <v>0.75</v>
      </c>
      <c r="M34" s="100" t="s">
        <v>328</v>
      </c>
      <c r="N34" s="102"/>
      <c r="O34" s="101"/>
    </row>
    <row r="35" customFormat="false" ht="14.25" hidden="false" customHeight="true" outlineLevel="0" collapsed="false">
      <c r="A35" s="94" t="n">
        <v>31</v>
      </c>
      <c r="B35" s="95" t="s">
        <v>226</v>
      </c>
      <c r="C35" s="96" t="s">
        <v>227</v>
      </c>
      <c r="D35" s="95"/>
      <c r="E35" s="95" t="n">
        <v>1</v>
      </c>
      <c r="F35" s="97" t="s">
        <v>376</v>
      </c>
      <c r="G35" s="94" t="s">
        <v>245</v>
      </c>
      <c r="H35" s="95" t="s">
        <v>214</v>
      </c>
      <c r="I35" s="95" t="s">
        <v>315</v>
      </c>
      <c r="J35" s="98" t="n">
        <v>1</v>
      </c>
      <c r="K35" s="96" t="s">
        <v>316</v>
      </c>
      <c r="L35" s="99" t="n">
        <v>1</v>
      </c>
      <c r="M35" s="100" t="s">
        <v>317</v>
      </c>
      <c r="N35" s="94"/>
      <c r="O35" s="101"/>
    </row>
    <row r="36" customFormat="false" ht="14.25" hidden="false" customHeight="true" outlineLevel="0" collapsed="false">
      <c r="A36" s="94" t="n">
        <v>32</v>
      </c>
      <c r="B36" s="95" t="s">
        <v>226</v>
      </c>
      <c r="C36" s="96" t="s">
        <v>227</v>
      </c>
      <c r="D36" s="95"/>
      <c r="E36" s="95" t="n">
        <v>2</v>
      </c>
      <c r="F36" s="97" t="s">
        <v>377</v>
      </c>
      <c r="G36" s="94" t="s">
        <v>245</v>
      </c>
      <c r="H36" s="95" t="s">
        <v>214</v>
      </c>
      <c r="I36" s="95" t="s">
        <v>315</v>
      </c>
      <c r="J36" s="98" t="n">
        <v>1</v>
      </c>
      <c r="K36" s="96" t="s">
        <v>350</v>
      </c>
      <c r="L36" s="99" t="n">
        <v>1</v>
      </c>
      <c r="M36" s="100" t="s">
        <v>317</v>
      </c>
      <c r="N36" s="94"/>
      <c r="O36" s="101"/>
    </row>
    <row r="37" customFormat="false" ht="14.25" hidden="false" customHeight="true" outlineLevel="0" collapsed="false">
      <c r="A37" s="94" t="n">
        <v>33</v>
      </c>
      <c r="B37" s="95" t="s">
        <v>226</v>
      </c>
      <c r="C37" s="96" t="s">
        <v>227</v>
      </c>
      <c r="D37" s="95"/>
      <c r="E37" s="95" t="n">
        <v>3</v>
      </c>
      <c r="F37" s="97" t="s">
        <v>378</v>
      </c>
      <c r="G37" s="94" t="s">
        <v>245</v>
      </c>
      <c r="H37" s="95" t="s">
        <v>214</v>
      </c>
      <c r="I37" s="95" t="s">
        <v>348</v>
      </c>
      <c r="J37" s="98" t="n">
        <v>0.4</v>
      </c>
      <c r="K37" s="96" t="s">
        <v>352</v>
      </c>
      <c r="L37" s="99" t="n">
        <v>1</v>
      </c>
      <c r="M37" s="100" t="s">
        <v>317</v>
      </c>
      <c r="N37" s="94"/>
      <c r="O37" s="101"/>
    </row>
    <row r="38" customFormat="false" ht="14.25" hidden="false" customHeight="true" outlineLevel="0" collapsed="false">
      <c r="A38" s="102" t="n">
        <v>34</v>
      </c>
      <c r="B38" s="103" t="s">
        <v>226</v>
      </c>
      <c r="C38" s="104" t="s">
        <v>227</v>
      </c>
      <c r="D38" s="103"/>
      <c r="E38" s="103" t="n">
        <v>4</v>
      </c>
      <c r="F38" s="105" t="s">
        <v>379</v>
      </c>
      <c r="G38" s="102" t="s">
        <v>260</v>
      </c>
      <c r="H38" s="103" t="s">
        <v>125</v>
      </c>
      <c r="I38" s="103"/>
      <c r="J38" s="103"/>
      <c r="K38" s="104" t="s">
        <v>324</v>
      </c>
      <c r="L38" s="99" t="n">
        <v>1</v>
      </c>
      <c r="M38" s="100" t="s">
        <v>317</v>
      </c>
      <c r="N38" s="102"/>
      <c r="O38" s="101"/>
    </row>
    <row r="39" customFormat="false" ht="14.25" hidden="false" customHeight="true" outlineLevel="0" collapsed="false">
      <c r="A39" s="94" t="n">
        <v>35</v>
      </c>
      <c r="B39" s="95" t="s">
        <v>226</v>
      </c>
      <c r="C39" s="96" t="s">
        <v>227</v>
      </c>
      <c r="D39" s="95"/>
      <c r="E39" s="95" t="n">
        <v>5</v>
      </c>
      <c r="F39" s="97" t="s">
        <v>380</v>
      </c>
      <c r="G39" s="94" t="s">
        <v>260</v>
      </c>
      <c r="H39" s="95" t="s">
        <v>214</v>
      </c>
      <c r="I39" s="95" t="s">
        <v>315</v>
      </c>
      <c r="J39" s="98" t="n">
        <v>1</v>
      </c>
      <c r="K39" s="96" t="s">
        <v>381</v>
      </c>
      <c r="L39" s="99" t="n">
        <v>1</v>
      </c>
      <c r="M39" s="100" t="s">
        <v>317</v>
      </c>
      <c r="N39" s="94"/>
      <c r="O39" s="101"/>
    </row>
    <row r="40" customFormat="false" ht="14.25" hidden="false" customHeight="true" outlineLevel="0" collapsed="false">
      <c r="A40" s="102" t="n">
        <v>36</v>
      </c>
      <c r="B40" s="103" t="s">
        <v>226</v>
      </c>
      <c r="C40" s="104" t="s">
        <v>227</v>
      </c>
      <c r="D40" s="103"/>
      <c r="E40" s="103" t="n">
        <v>6</v>
      </c>
      <c r="F40" s="105" t="s">
        <v>382</v>
      </c>
      <c r="G40" s="102" t="s">
        <v>326</v>
      </c>
      <c r="H40" s="103" t="s">
        <v>125</v>
      </c>
      <c r="I40" s="103"/>
      <c r="J40" s="103"/>
      <c r="K40" s="104" t="s">
        <v>373</v>
      </c>
      <c r="L40" s="99" t="n">
        <v>0.75</v>
      </c>
      <c r="M40" s="100" t="s">
        <v>328</v>
      </c>
      <c r="N40" s="102"/>
      <c r="O40" s="101"/>
    </row>
    <row r="41" customFormat="false" ht="14.25" hidden="false" customHeight="true" outlineLevel="0" collapsed="false">
      <c r="A41" s="94" t="n">
        <v>37</v>
      </c>
      <c r="B41" s="95" t="s">
        <v>226</v>
      </c>
      <c r="C41" s="96" t="s">
        <v>227</v>
      </c>
      <c r="D41" s="95"/>
      <c r="E41" s="95" t="n">
        <v>7</v>
      </c>
      <c r="F41" s="97" t="s">
        <v>383</v>
      </c>
      <c r="G41" s="94" t="s">
        <v>326</v>
      </c>
      <c r="H41" s="95" t="s">
        <v>214</v>
      </c>
      <c r="I41" s="95" t="s">
        <v>315</v>
      </c>
      <c r="J41" s="98" t="n">
        <v>1</v>
      </c>
      <c r="K41" s="96" t="s">
        <v>375</v>
      </c>
      <c r="L41" s="99" t="n">
        <v>0.75</v>
      </c>
      <c r="M41" s="100" t="s">
        <v>328</v>
      </c>
      <c r="N41" s="94"/>
      <c r="O41" s="101"/>
    </row>
    <row r="42" customFormat="false" ht="22.5" hidden="false" customHeight="true" outlineLevel="0" collapsed="false">
      <c r="A42" s="94" t="n">
        <v>38</v>
      </c>
      <c r="B42" s="95" t="s">
        <v>226</v>
      </c>
      <c r="C42" s="96" t="s">
        <v>227</v>
      </c>
      <c r="D42" s="95"/>
      <c r="E42" s="95" t="n">
        <v>8</v>
      </c>
      <c r="F42" s="97" t="s">
        <v>384</v>
      </c>
      <c r="G42" s="94" t="s">
        <v>326</v>
      </c>
      <c r="H42" s="95" t="s">
        <v>214</v>
      </c>
      <c r="I42" s="95" t="s">
        <v>315</v>
      </c>
      <c r="J42" s="98" t="n">
        <v>1</v>
      </c>
      <c r="K42" s="96" t="s">
        <v>385</v>
      </c>
      <c r="L42" s="99" t="n">
        <v>0.75</v>
      </c>
      <c r="M42" s="100" t="s">
        <v>328</v>
      </c>
      <c r="N42" s="94"/>
      <c r="O42" s="101"/>
    </row>
    <row r="43" customFormat="false" ht="14.25" hidden="false" customHeight="true" outlineLevel="0" collapsed="false">
      <c r="A43" s="102" t="n">
        <v>39</v>
      </c>
      <c r="B43" s="103" t="s">
        <v>229</v>
      </c>
      <c r="C43" s="104" t="s">
        <v>230</v>
      </c>
      <c r="D43" s="103"/>
      <c r="E43" s="103" t="n">
        <v>1</v>
      </c>
      <c r="F43" s="105" t="s">
        <v>386</v>
      </c>
      <c r="G43" s="102" t="s">
        <v>260</v>
      </c>
      <c r="H43" s="103" t="s">
        <v>125</v>
      </c>
      <c r="I43" s="103"/>
      <c r="J43" s="103"/>
      <c r="K43" s="104" t="s">
        <v>387</v>
      </c>
      <c r="L43" s="99" t="n">
        <v>1</v>
      </c>
      <c r="M43" s="100" t="s">
        <v>317</v>
      </c>
      <c r="N43" s="102"/>
      <c r="O43" s="101"/>
    </row>
    <row r="44" customFormat="false" ht="14.25" hidden="false" customHeight="true" outlineLevel="0" collapsed="false">
      <c r="A44" s="102" t="n">
        <v>40</v>
      </c>
      <c r="B44" s="103" t="s">
        <v>229</v>
      </c>
      <c r="C44" s="104" t="s">
        <v>230</v>
      </c>
      <c r="D44" s="103"/>
      <c r="E44" s="103" t="n">
        <v>2</v>
      </c>
      <c r="F44" s="105" t="s">
        <v>388</v>
      </c>
      <c r="G44" s="102" t="s">
        <v>260</v>
      </c>
      <c r="H44" s="103" t="s">
        <v>125</v>
      </c>
      <c r="I44" s="103"/>
      <c r="J44" s="103"/>
      <c r="K44" s="104" t="s">
        <v>319</v>
      </c>
      <c r="L44" s="99" t="n">
        <v>1</v>
      </c>
      <c r="M44" s="100" t="s">
        <v>317</v>
      </c>
      <c r="N44" s="102"/>
      <c r="O44" s="101"/>
    </row>
    <row r="45" customFormat="false" ht="14.25" hidden="false" customHeight="true" outlineLevel="0" collapsed="false">
      <c r="A45" s="102" t="n">
        <v>41</v>
      </c>
      <c r="B45" s="103" t="s">
        <v>229</v>
      </c>
      <c r="C45" s="104" t="s">
        <v>230</v>
      </c>
      <c r="D45" s="103"/>
      <c r="E45" s="103" t="n">
        <v>3</v>
      </c>
      <c r="F45" s="105" t="s">
        <v>389</v>
      </c>
      <c r="G45" s="102" t="s">
        <v>260</v>
      </c>
      <c r="H45" s="103" t="s">
        <v>125</v>
      </c>
      <c r="I45" s="103"/>
      <c r="J45" s="103"/>
      <c r="K45" s="104" t="s">
        <v>321</v>
      </c>
      <c r="L45" s="99" t="n">
        <v>1</v>
      </c>
      <c r="M45" s="100" t="s">
        <v>317</v>
      </c>
      <c r="N45" s="102"/>
      <c r="O45" s="101"/>
    </row>
    <row r="46" customFormat="false" ht="14.25" hidden="false" customHeight="true" outlineLevel="0" collapsed="false">
      <c r="A46" s="102" t="n">
        <v>42</v>
      </c>
      <c r="B46" s="103" t="s">
        <v>229</v>
      </c>
      <c r="C46" s="104" t="s">
        <v>230</v>
      </c>
      <c r="D46" s="103"/>
      <c r="E46" s="103" t="n">
        <v>4</v>
      </c>
      <c r="F46" s="105" t="s">
        <v>390</v>
      </c>
      <c r="G46" s="102" t="s">
        <v>260</v>
      </c>
      <c r="H46" s="103" t="s">
        <v>125</v>
      </c>
      <c r="I46" s="103"/>
      <c r="J46" s="103"/>
      <c r="K46" s="104" t="s">
        <v>324</v>
      </c>
      <c r="L46" s="99" t="n">
        <v>1</v>
      </c>
      <c r="M46" s="100" t="s">
        <v>317</v>
      </c>
      <c r="N46" s="102"/>
      <c r="O46" s="101"/>
    </row>
    <row r="47" customFormat="false" ht="14.25" hidden="false" customHeight="true" outlineLevel="0" collapsed="false">
      <c r="A47" s="102" t="n">
        <v>43</v>
      </c>
      <c r="B47" s="103" t="s">
        <v>229</v>
      </c>
      <c r="C47" s="104" t="s">
        <v>230</v>
      </c>
      <c r="D47" s="103"/>
      <c r="E47" s="103" t="n">
        <v>5</v>
      </c>
      <c r="F47" s="105" t="s">
        <v>391</v>
      </c>
      <c r="G47" s="102" t="s">
        <v>326</v>
      </c>
      <c r="H47" s="103" t="s">
        <v>125</v>
      </c>
      <c r="I47" s="103"/>
      <c r="J47" s="103"/>
      <c r="K47" s="104" t="s">
        <v>327</v>
      </c>
      <c r="L47" s="99" t="n">
        <v>0.75</v>
      </c>
      <c r="M47" s="100" t="s">
        <v>328</v>
      </c>
      <c r="N47" s="102"/>
      <c r="O47" s="101"/>
    </row>
    <row r="48" customFormat="false" ht="14.25" hidden="false" customHeight="true" outlineLevel="0" collapsed="false">
      <c r="A48" s="102" t="n">
        <v>44</v>
      </c>
      <c r="B48" s="103" t="s">
        <v>229</v>
      </c>
      <c r="C48" s="104" t="s">
        <v>230</v>
      </c>
      <c r="D48" s="103"/>
      <c r="E48" s="103" t="n">
        <v>6</v>
      </c>
      <c r="F48" s="105" t="s">
        <v>392</v>
      </c>
      <c r="G48" s="102" t="s">
        <v>326</v>
      </c>
      <c r="H48" s="103" t="s">
        <v>125</v>
      </c>
      <c r="I48" s="103"/>
      <c r="J48" s="103"/>
      <c r="K48" s="104" t="s">
        <v>373</v>
      </c>
      <c r="L48" s="99" t="n">
        <v>0.75</v>
      </c>
      <c r="M48" s="100" t="s">
        <v>328</v>
      </c>
      <c r="N48" s="102"/>
      <c r="O48" s="101"/>
    </row>
    <row r="49" customFormat="false" ht="14.25" hidden="false" customHeight="true" outlineLevel="0" collapsed="false">
      <c r="A49" s="102" t="n">
        <v>45</v>
      </c>
      <c r="B49" s="103" t="s">
        <v>229</v>
      </c>
      <c r="C49" s="104" t="s">
        <v>230</v>
      </c>
      <c r="D49" s="103"/>
      <c r="E49" s="103" t="n">
        <v>7</v>
      </c>
      <c r="F49" s="105" t="s">
        <v>393</v>
      </c>
      <c r="G49" s="102" t="s">
        <v>326</v>
      </c>
      <c r="H49" s="103" t="s">
        <v>125</v>
      </c>
      <c r="I49" s="103"/>
      <c r="J49" s="103"/>
      <c r="K49" s="104" t="s">
        <v>375</v>
      </c>
      <c r="L49" s="99" t="n">
        <v>0.75</v>
      </c>
      <c r="M49" s="100" t="s">
        <v>328</v>
      </c>
      <c r="N49" s="102"/>
      <c r="O49" s="101"/>
    </row>
    <row r="50" customFormat="false" ht="14.25" hidden="false" customHeight="true" outlineLevel="0" collapsed="false">
      <c r="A50" s="102" t="n">
        <v>46</v>
      </c>
      <c r="B50" s="103" t="s">
        <v>234</v>
      </c>
      <c r="C50" s="104" t="s">
        <v>235</v>
      </c>
      <c r="D50" s="103"/>
      <c r="E50" s="103" t="n">
        <v>1</v>
      </c>
      <c r="F50" s="105" t="s">
        <v>394</v>
      </c>
      <c r="G50" s="102" t="s">
        <v>260</v>
      </c>
      <c r="H50" s="103" t="s">
        <v>125</v>
      </c>
      <c r="I50" s="103"/>
      <c r="J50" s="103"/>
      <c r="K50" s="104" t="s">
        <v>387</v>
      </c>
      <c r="L50" s="99" t="n">
        <v>0.8</v>
      </c>
      <c r="M50" s="100" t="s">
        <v>328</v>
      </c>
      <c r="N50" s="102"/>
      <c r="O50" s="101"/>
    </row>
    <row r="51" customFormat="false" ht="14.25" hidden="false" customHeight="true" outlineLevel="0" collapsed="false">
      <c r="A51" s="102" t="n">
        <v>47</v>
      </c>
      <c r="B51" s="103" t="s">
        <v>234</v>
      </c>
      <c r="C51" s="104" t="s">
        <v>235</v>
      </c>
      <c r="D51" s="103"/>
      <c r="E51" s="103" t="n">
        <v>2</v>
      </c>
      <c r="F51" s="105" t="s">
        <v>395</v>
      </c>
      <c r="G51" s="102" t="s">
        <v>260</v>
      </c>
      <c r="H51" s="103" t="s">
        <v>125</v>
      </c>
      <c r="I51" s="103"/>
      <c r="J51" s="103"/>
      <c r="K51" s="104" t="s">
        <v>319</v>
      </c>
      <c r="L51" s="99" t="n">
        <v>0.8</v>
      </c>
      <c r="M51" s="100" t="s">
        <v>328</v>
      </c>
      <c r="N51" s="102"/>
      <c r="O51" s="101"/>
    </row>
    <row r="52" customFormat="false" ht="14.25" hidden="false" customHeight="true" outlineLevel="0" collapsed="false">
      <c r="A52" s="102" t="n">
        <v>48</v>
      </c>
      <c r="B52" s="103" t="s">
        <v>234</v>
      </c>
      <c r="C52" s="104" t="s">
        <v>235</v>
      </c>
      <c r="D52" s="103"/>
      <c r="E52" s="103" t="n">
        <v>3</v>
      </c>
      <c r="F52" s="105" t="s">
        <v>396</v>
      </c>
      <c r="G52" s="102" t="s">
        <v>260</v>
      </c>
      <c r="H52" s="103" t="s">
        <v>125</v>
      </c>
      <c r="I52" s="103"/>
      <c r="J52" s="103"/>
      <c r="K52" s="104" t="s">
        <v>321</v>
      </c>
      <c r="L52" s="99" t="n">
        <v>0.8</v>
      </c>
      <c r="M52" s="100" t="s">
        <v>328</v>
      </c>
      <c r="N52" s="102"/>
      <c r="O52" s="101"/>
    </row>
    <row r="53" customFormat="false" ht="14.25" hidden="false" customHeight="true" outlineLevel="0" collapsed="false">
      <c r="A53" s="94" t="n">
        <v>49</v>
      </c>
      <c r="B53" s="95" t="s">
        <v>234</v>
      </c>
      <c r="C53" s="96" t="s">
        <v>235</v>
      </c>
      <c r="D53" s="95"/>
      <c r="E53" s="95" t="n">
        <v>4</v>
      </c>
      <c r="F53" s="97" t="s">
        <v>397</v>
      </c>
      <c r="G53" s="94" t="s">
        <v>326</v>
      </c>
      <c r="H53" s="95" t="s">
        <v>214</v>
      </c>
      <c r="I53" s="95" t="s">
        <v>315</v>
      </c>
      <c r="J53" s="98" t="n">
        <v>1</v>
      </c>
      <c r="K53" s="96" t="s">
        <v>398</v>
      </c>
      <c r="L53" s="99" t="n">
        <v>0.55</v>
      </c>
      <c r="M53" s="100" t="s">
        <v>340</v>
      </c>
      <c r="N53" s="94"/>
      <c r="O53" s="101"/>
    </row>
    <row r="54" customFormat="false" ht="14.25" hidden="false" customHeight="true" outlineLevel="0" collapsed="false">
      <c r="A54" s="102" t="n">
        <v>50</v>
      </c>
      <c r="B54" s="103" t="s">
        <v>234</v>
      </c>
      <c r="C54" s="104" t="s">
        <v>235</v>
      </c>
      <c r="D54" s="103"/>
      <c r="E54" s="103" t="n">
        <v>5</v>
      </c>
      <c r="F54" s="105" t="s">
        <v>399</v>
      </c>
      <c r="G54" s="102" t="s">
        <v>326</v>
      </c>
      <c r="H54" s="103" t="s">
        <v>125</v>
      </c>
      <c r="I54" s="103"/>
      <c r="J54" s="103"/>
      <c r="K54" s="104" t="s">
        <v>327</v>
      </c>
      <c r="L54" s="99" t="n">
        <v>0.55</v>
      </c>
      <c r="M54" s="100" t="s">
        <v>340</v>
      </c>
      <c r="N54" s="102"/>
      <c r="O54" s="101"/>
    </row>
    <row r="55" customFormat="false" ht="14.25" hidden="false" customHeight="true" outlineLevel="0" collapsed="false">
      <c r="A55" s="102" t="n">
        <v>51</v>
      </c>
      <c r="B55" s="103" t="s">
        <v>234</v>
      </c>
      <c r="C55" s="104" t="s">
        <v>235</v>
      </c>
      <c r="D55" s="103"/>
      <c r="E55" s="103" t="n">
        <v>6</v>
      </c>
      <c r="F55" s="105" t="s">
        <v>400</v>
      </c>
      <c r="G55" s="102" t="s">
        <v>326</v>
      </c>
      <c r="H55" s="103" t="s">
        <v>125</v>
      </c>
      <c r="I55" s="103"/>
      <c r="J55" s="103"/>
      <c r="K55" s="104" t="s">
        <v>373</v>
      </c>
      <c r="L55" s="99" t="n">
        <v>0.55</v>
      </c>
      <c r="M55" s="100" t="s">
        <v>340</v>
      </c>
      <c r="N55" s="102"/>
      <c r="O55" s="101"/>
    </row>
    <row r="56" customFormat="false" ht="14.25" hidden="false" customHeight="true" outlineLevel="0" collapsed="false">
      <c r="A56" s="94" t="n">
        <v>52</v>
      </c>
      <c r="B56" s="95" t="s">
        <v>238</v>
      </c>
      <c r="C56" s="94" t="s">
        <v>401</v>
      </c>
      <c r="D56" s="95"/>
      <c r="E56" s="95" t="n">
        <v>1</v>
      </c>
      <c r="F56" s="97" t="s">
        <v>402</v>
      </c>
      <c r="G56" s="94" t="s">
        <v>245</v>
      </c>
      <c r="H56" s="95" t="s">
        <v>214</v>
      </c>
      <c r="I56" s="95" t="s">
        <v>348</v>
      </c>
      <c r="J56" s="98" t="n">
        <v>0.4</v>
      </c>
      <c r="K56" s="96" t="s">
        <v>316</v>
      </c>
      <c r="L56" s="99" t="n">
        <v>1</v>
      </c>
      <c r="M56" s="100" t="s">
        <v>317</v>
      </c>
      <c r="N56" s="94"/>
      <c r="O56" s="101"/>
    </row>
    <row r="57" customFormat="false" ht="14.25" hidden="false" customHeight="true" outlineLevel="0" collapsed="false">
      <c r="A57" s="94" t="n">
        <v>53</v>
      </c>
      <c r="B57" s="95" t="s">
        <v>238</v>
      </c>
      <c r="C57" s="94" t="s">
        <v>401</v>
      </c>
      <c r="D57" s="95"/>
      <c r="E57" s="95" t="n">
        <v>2</v>
      </c>
      <c r="F57" s="97" t="s">
        <v>403</v>
      </c>
      <c r="G57" s="94" t="s">
        <v>245</v>
      </c>
      <c r="H57" s="95" t="s">
        <v>214</v>
      </c>
      <c r="I57" s="95" t="s">
        <v>348</v>
      </c>
      <c r="J57" s="98" t="n">
        <v>0.4</v>
      </c>
      <c r="K57" s="96" t="s">
        <v>350</v>
      </c>
      <c r="L57" s="99" t="n">
        <v>1</v>
      </c>
      <c r="M57" s="100" t="s">
        <v>317</v>
      </c>
      <c r="N57" s="94"/>
      <c r="O57" s="101"/>
    </row>
    <row r="58" customFormat="false" ht="14.25" hidden="false" customHeight="true" outlineLevel="0" collapsed="false">
      <c r="A58" s="94" t="n">
        <v>54</v>
      </c>
      <c r="B58" s="95" t="s">
        <v>238</v>
      </c>
      <c r="C58" s="94" t="s">
        <v>401</v>
      </c>
      <c r="D58" s="95"/>
      <c r="E58" s="95" t="n">
        <v>3</v>
      </c>
      <c r="F58" s="97" t="s">
        <v>404</v>
      </c>
      <c r="G58" s="94" t="s">
        <v>260</v>
      </c>
      <c r="H58" s="95" t="s">
        <v>214</v>
      </c>
      <c r="I58" s="95" t="s">
        <v>315</v>
      </c>
      <c r="J58" s="98" t="n">
        <v>1</v>
      </c>
      <c r="K58" s="96" t="s">
        <v>321</v>
      </c>
      <c r="L58" s="99" t="n">
        <v>1</v>
      </c>
      <c r="M58" s="100" t="s">
        <v>317</v>
      </c>
      <c r="N58" s="94"/>
      <c r="O58" s="101"/>
    </row>
    <row r="59" customFormat="false" ht="14.25" hidden="false" customHeight="true" outlineLevel="0" collapsed="false">
      <c r="A59" s="94" t="n">
        <v>55</v>
      </c>
      <c r="B59" s="95" t="s">
        <v>238</v>
      </c>
      <c r="C59" s="94" t="s">
        <v>401</v>
      </c>
      <c r="D59" s="95"/>
      <c r="E59" s="95" t="n">
        <v>4</v>
      </c>
      <c r="F59" s="97" t="s">
        <v>405</v>
      </c>
      <c r="G59" s="94" t="s">
        <v>260</v>
      </c>
      <c r="H59" s="95" t="s">
        <v>214</v>
      </c>
      <c r="I59" s="95" t="s">
        <v>315</v>
      </c>
      <c r="J59" s="98" t="n">
        <v>1</v>
      </c>
      <c r="K59" s="96" t="s">
        <v>324</v>
      </c>
      <c r="L59" s="99" t="n">
        <v>1</v>
      </c>
      <c r="M59" s="100" t="s">
        <v>317</v>
      </c>
      <c r="N59" s="94"/>
      <c r="O59" s="101"/>
    </row>
    <row r="60" customFormat="false" ht="14.25" hidden="false" customHeight="true" outlineLevel="0" collapsed="false">
      <c r="A60" s="94" t="n">
        <v>56</v>
      </c>
      <c r="B60" s="95" t="s">
        <v>238</v>
      </c>
      <c r="C60" s="94" t="s">
        <v>401</v>
      </c>
      <c r="D60" s="95"/>
      <c r="E60" s="95" t="n">
        <v>5</v>
      </c>
      <c r="F60" s="97" t="s">
        <v>406</v>
      </c>
      <c r="G60" s="94" t="s">
        <v>326</v>
      </c>
      <c r="H60" s="95" t="s">
        <v>214</v>
      </c>
      <c r="I60" s="95" t="s">
        <v>315</v>
      </c>
      <c r="J60" s="98" t="n">
        <v>1</v>
      </c>
      <c r="K60" s="96" t="s">
        <v>327</v>
      </c>
      <c r="L60" s="99" t="n">
        <v>0.75</v>
      </c>
      <c r="M60" s="100" t="s">
        <v>328</v>
      </c>
      <c r="N60" s="94"/>
      <c r="O60" s="101"/>
    </row>
    <row r="61" customFormat="false" ht="22.5" hidden="false" customHeight="true" outlineLevel="0" collapsed="false">
      <c r="A61" s="94" t="n">
        <v>57</v>
      </c>
      <c r="B61" s="95" t="s">
        <v>238</v>
      </c>
      <c r="C61" s="94" t="s">
        <v>401</v>
      </c>
      <c r="D61" s="95"/>
      <c r="E61" s="95" t="n">
        <v>6</v>
      </c>
      <c r="F61" s="97" t="s">
        <v>407</v>
      </c>
      <c r="G61" s="94" t="s">
        <v>326</v>
      </c>
      <c r="H61" s="95" t="s">
        <v>214</v>
      </c>
      <c r="I61" s="95" t="s">
        <v>315</v>
      </c>
      <c r="J61" s="98" t="n">
        <v>1</v>
      </c>
      <c r="K61" s="96" t="s">
        <v>373</v>
      </c>
      <c r="L61" s="99" t="n">
        <v>0.75</v>
      </c>
      <c r="M61" s="100" t="s">
        <v>328</v>
      </c>
      <c r="N61" s="94"/>
      <c r="O61" s="101"/>
    </row>
    <row r="62" customFormat="false" ht="14.25" hidden="false" customHeight="true" outlineLevel="0" collapsed="false">
      <c r="A62" s="94" t="n">
        <v>58</v>
      </c>
      <c r="B62" s="95" t="s">
        <v>242</v>
      </c>
      <c r="C62" s="96" t="s">
        <v>243</v>
      </c>
      <c r="D62" s="95"/>
      <c r="E62" s="95" t="n">
        <v>1</v>
      </c>
      <c r="F62" s="97" t="s">
        <v>408</v>
      </c>
      <c r="G62" s="94" t="s">
        <v>245</v>
      </c>
      <c r="H62" s="95" t="s">
        <v>214</v>
      </c>
      <c r="I62" s="95" t="s">
        <v>348</v>
      </c>
      <c r="J62" s="98" t="n">
        <v>0.4</v>
      </c>
      <c r="K62" s="96" t="s">
        <v>316</v>
      </c>
      <c r="L62" s="99" t="n">
        <v>0.75</v>
      </c>
      <c r="M62" s="100" t="s">
        <v>328</v>
      </c>
      <c r="N62" s="94"/>
      <c r="O62" s="101"/>
    </row>
    <row r="63" customFormat="false" ht="22.5" hidden="false" customHeight="true" outlineLevel="0" collapsed="false">
      <c r="A63" s="94" t="n">
        <v>59</v>
      </c>
      <c r="B63" s="95" t="s">
        <v>242</v>
      </c>
      <c r="C63" s="96" t="s">
        <v>243</v>
      </c>
      <c r="D63" s="95"/>
      <c r="E63" s="95" t="n">
        <v>2</v>
      </c>
      <c r="F63" s="97" t="s">
        <v>409</v>
      </c>
      <c r="G63" s="94" t="s">
        <v>245</v>
      </c>
      <c r="H63" s="95" t="s">
        <v>214</v>
      </c>
      <c r="I63" s="95" t="s">
        <v>348</v>
      </c>
      <c r="J63" s="98" t="n">
        <v>0.4</v>
      </c>
      <c r="K63" s="96" t="s">
        <v>350</v>
      </c>
      <c r="L63" s="99" t="n">
        <v>0.75</v>
      </c>
      <c r="M63" s="100" t="s">
        <v>328</v>
      </c>
      <c r="N63" s="94"/>
      <c r="O63" s="101"/>
    </row>
    <row r="64" customFormat="false" ht="14.25" hidden="false" customHeight="true" outlineLevel="0" collapsed="false">
      <c r="A64" s="94" t="n">
        <v>60</v>
      </c>
      <c r="B64" s="95" t="s">
        <v>242</v>
      </c>
      <c r="C64" s="96" t="s">
        <v>243</v>
      </c>
      <c r="D64" s="95"/>
      <c r="E64" s="95" t="n">
        <v>3</v>
      </c>
      <c r="F64" s="97" t="s">
        <v>410</v>
      </c>
      <c r="G64" s="94" t="s">
        <v>245</v>
      </c>
      <c r="H64" s="95" t="s">
        <v>214</v>
      </c>
      <c r="I64" s="95" t="s">
        <v>315</v>
      </c>
      <c r="J64" s="98" t="n">
        <v>1</v>
      </c>
      <c r="K64" s="96" t="s">
        <v>352</v>
      </c>
      <c r="L64" s="99" t="n">
        <v>0.75</v>
      </c>
      <c r="M64" s="100" t="s">
        <v>328</v>
      </c>
      <c r="N64" s="94"/>
      <c r="O64" s="101"/>
    </row>
    <row r="65" customFormat="false" ht="14.25" hidden="false" customHeight="true" outlineLevel="0" collapsed="false">
      <c r="A65" s="94" t="n">
        <v>61</v>
      </c>
      <c r="B65" s="95" t="s">
        <v>242</v>
      </c>
      <c r="C65" s="96" t="s">
        <v>243</v>
      </c>
      <c r="D65" s="95"/>
      <c r="E65" s="95" t="n">
        <v>4</v>
      </c>
      <c r="F65" s="97" t="s">
        <v>411</v>
      </c>
      <c r="G65" s="94" t="s">
        <v>245</v>
      </c>
      <c r="H65" s="95" t="s">
        <v>214</v>
      </c>
      <c r="I65" s="95" t="s">
        <v>315</v>
      </c>
      <c r="J65" s="98" t="n">
        <v>1</v>
      </c>
      <c r="K65" s="96" t="s">
        <v>354</v>
      </c>
      <c r="L65" s="99" t="n">
        <v>0.75</v>
      </c>
      <c r="M65" s="100" t="s">
        <v>328</v>
      </c>
      <c r="N65" s="94"/>
      <c r="O65" s="101"/>
    </row>
    <row r="66" customFormat="false" ht="22.5" hidden="false" customHeight="true" outlineLevel="0" collapsed="false">
      <c r="A66" s="94" t="n">
        <v>62</v>
      </c>
      <c r="B66" s="95" t="s">
        <v>242</v>
      </c>
      <c r="C66" s="96" t="s">
        <v>243</v>
      </c>
      <c r="D66" s="95"/>
      <c r="E66" s="95" t="n">
        <v>5</v>
      </c>
      <c r="F66" s="97" t="s">
        <v>412</v>
      </c>
      <c r="G66" s="94" t="s">
        <v>245</v>
      </c>
      <c r="H66" s="95" t="s">
        <v>214</v>
      </c>
      <c r="I66" s="95" t="s">
        <v>315</v>
      </c>
      <c r="J66" s="98" t="n">
        <v>1</v>
      </c>
      <c r="K66" s="96" t="s">
        <v>356</v>
      </c>
      <c r="L66" s="99" t="n">
        <v>0.75</v>
      </c>
      <c r="M66" s="100" t="s">
        <v>328</v>
      </c>
      <c r="N66" s="94"/>
      <c r="O66" s="101"/>
    </row>
    <row r="67" customFormat="false" ht="14.25" hidden="false" customHeight="true" outlineLevel="0" collapsed="false">
      <c r="A67" s="94" t="n">
        <v>63</v>
      </c>
      <c r="B67" s="95" t="s">
        <v>242</v>
      </c>
      <c r="C67" s="96" t="s">
        <v>243</v>
      </c>
      <c r="D67" s="95"/>
      <c r="E67" s="95" t="n">
        <v>6</v>
      </c>
      <c r="F67" s="97" t="s">
        <v>413</v>
      </c>
      <c r="G67" s="94" t="s">
        <v>245</v>
      </c>
      <c r="H67" s="95" t="s">
        <v>214</v>
      </c>
      <c r="I67" s="95" t="s">
        <v>315</v>
      </c>
      <c r="J67" s="98" t="n">
        <v>1</v>
      </c>
      <c r="K67" s="96" t="s">
        <v>358</v>
      </c>
      <c r="L67" s="99" t="n">
        <v>0.75</v>
      </c>
      <c r="M67" s="100" t="s">
        <v>328</v>
      </c>
      <c r="N67" s="94"/>
      <c r="O67" s="101"/>
    </row>
    <row r="68" customFormat="false" ht="14.25" hidden="false" customHeight="true" outlineLevel="0" collapsed="false">
      <c r="A68" s="94" t="n">
        <v>64</v>
      </c>
      <c r="B68" s="95" t="s">
        <v>246</v>
      </c>
      <c r="C68" s="96" t="s">
        <v>247</v>
      </c>
      <c r="D68" s="95"/>
      <c r="E68" s="95" t="n">
        <v>1</v>
      </c>
      <c r="F68" s="97" t="s">
        <v>414</v>
      </c>
      <c r="G68" s="94" t="s">
        <v>245</v>
      </c>
      <c r="H68" s="95" t="s">
        <v>214</v>
      </c>
      <c r="I68" s="95" t="s">
        <v>348</v>
      </c>
      <c r="J68" s="98" t="n">
        <v>0.4</v>
      </c>
      <c r="K68" s="96" t="s">
        <v>316</v>
      </c>
      <c r="L68" s="99" t="n">
        <v>1</v>
      </c>
      <c r="M68" s="100" t="s">
        <v>317</v>
      </c>
      <c r="N68" s="94"/>
      <c r="O68" s="101"/>
    </row>
    <row r="69" customFormat="false" ht="14.25" hidden="false" customHeight="true" outlineLevel="0" collapsed="false">
      <c r="A69" s="94" t="n">
        <v>65</v>
      </c>
      <c r="B69" s="95" t="s">
        <v>246</v>
      </c>
      <c r="C69" s="96" t="s">
        <v>247</v>
      </c>
      <c r="D69" s="95"/>
      <c r="E69" s="95" t="n">
        <v>2</v>
      </c>
      <c r="F69" s="97" t="s">
        <v>415</v>
      </c>
      <c r="G69" s="94" t="s">
        <v>245</v>
      </c>
      <c r="H69" s="95" t="s">
        <v>214</v>
      </c>
      <c r="I69" s="95" t="s">
        <v>348</v>
      </c>
      <c r="J69" s="98" t="n">
        <v>0.4</v>
      </c>
      <c r="K69" s="96" t="s">
        <v>350</v>
      </c>
      <c r="L69" s="99" t="n">
        <v>1</v>
      </c>
      <c r="M69" s="100" t="s">
        <v>317</v>
      </c>
      <c r="N69" s="94"/>
      <c r="O69" s="101"/>
    </row>
    <row r="70" customFormat="false" ht="14.25" hidden="false" customHeight="true" outlineLevel="0" collapsed="false">
      <c r="A70" s="94" t="n">
        <v>66</v>
      </c>
      <c r="B70" s="95" t="s">
        <v>246</v>
      </c>
      <c r="C70" s="96" t="s">
        <v>247</v>
      </c>
      <c r="D70" s="95"/>
      <c r="E70" s="95" t="n">
        <v>3</v>
      </c>
      <c r="F70" s="97" t="s">
        <v>416</v>
      </c>
      <c r="G70" s="94" t="s">
        <v>245</v>
      </c>
      <c r="H70" s="95" t="s">
        <v>214</v>
      </c>
      <c r="I70" s="95" t="s">
        <v>315</v>
      </c>
      <c r="J70" s="98" t="n">
        <v>1</v>
      </c>
      <c r="K70" s="96" t="s">
        <v>352</v>
      </c>
      <c r="L70" s="99" t="n">
        <v>1</v>
      </c>
      <c r="M70" s="100" t="s">
        <v>317</v>
      </c>
      <c r="N70" s="94"/>
      <c r="O70" s="101"/>
    </row>
    <row r="71" customFormat="false" ht="22.5" hidden="false" customHeight="true" outlineLevel="0" collapsed="false">
      <c r="A71" s="94" t="n">
        <v>67</v>
      </c>
      <c r="B71" s="95" t="s">
        <v>246</v>
      </c>
      <c r="C71" s="96" t="s">
        <v>247</v>
      </c>
      <c r="D71" s="95"/>
      <c r="E71" s="95" t="n">
        <v>4</v>
      </c>
      <c r="F71" s="97" t="s">
        <v>417</v>
      </c>
      <c r="G71" s="94" t="s">
        <v>245</v>
      </c>
      <c r="H71" s="95" t="s">
        <v>214</v>
      </c>
      <c r="I71" s="95" t="s">
        <v>315</v>
      </c>
      <c r="J71" s="98" t="n">
        <v>1</v>
      </c>
      <c r="K71" s="96" t="s">
        <v>354</v>
      </c>
      <c r="L71" s="99" t="n">
        <v>1</v>
      </c>
      <c r="M71" s="100" t="s">
        <v>317</v>
      </c>
      <c r="N71" s="94"/>
      <c r="O71" s="101"/>
    </row>
    <row r="72" customFormat="false" ht="14.25" hidden="false" customHeight="true" outlineLevel="0" collapsed="false">
      <c r="A72" s="94" t="n">
        <v>68</v>
      </c>
      <c r="B72" s="95" t="s">
        <v>246</v>
      </c>
      <c r="C72" s="96" t="s">
        <v>247</v>
      </c>
      <c r="D72" s="95"/>
      <c r="E72" s="95" t="n">
        <v>5</v>
      </c>
      <c r="F72" s="97" t="s">
        <v>418</v>
      </c>
      <c r="G72" s="94" t="s">
        <v>245</v>
      </c>
      <c r="H72" s="95" t="s">
        <v>214</v>
      </c>
      <c r="I72" s="95" t="s">
        <v>315</v>
      </c>
      <c r="J72" s="98" t="n">
        <v>1</v>
      </c>
      <c r="K72" s="96" t="s">
        <v>356</v>
      </c>
      <c r="L72" s="99" t="n">
        <v>1</v>
      </c>
      <c r="M72" s="100" t="s">
        <v>317</v>
      </c>
      <c r="N72" s="94"/>
      <c r="O72" s="101"/>
    </row>
    <row r="73" customFormat="false" ht="14.25" hidden="false" customHeight="true" outlineLevel="0" collapsed="false">
      <c r="A73" s="94" t="n">
        <v>69</v>
      </c>
      <c r="B73" s="95" t="s">
        <v>248</v>
      </c>
      <c r="C73" s="96" t="s">
        <v>249</v>
      </c>
      <c r="D73" s="95"/>
      <c r="E73" s="95" t="n">
        <v>1</v>
      </c>
      <c r="F73" s="97" t="s">
        <v>419</v>
      </c>
      <c r="G73" s="94" t="s">
        <v>260</v>
      </c>
      <c r="H73" s="95" t="s">
        <v>214</v>
      </c>
      <c r="I73" s="95" t="s">
        <v>315</v>
      </c>
      <c r="J73" s="98" t="n">
        <v>1</v>
      </c>
      <c r="K73" s="96" t="s">
        <v>387</v>
      </c>
      <c r="L73" s="99" t="n">
        <v>1</v>
      </c>
      <c r="M73" s="100" t="s">
        <v>317</v>
      </c>
      <c r="N73" s="94"/>
      <c r="O73" s="101"/>
    </row>
    <row r="74" customFormat="false" ht="14.25" hidden="false" customHeight="true" outlineLevel="0" collapsed="false">
      <c r="A74" s="94" t="n">
        <v>70</v>
      </c>
      <c r="B74" s="95" t="s">
        <v>248</v>
      </c>
      <c r="C74" s="96" t="s">
        <v>249</v>
      </c>
      <c r="D74" s="95"/>
      <c r="E74" s="95" t="n">
        <v>2</v>
      </c>
      <c r="F74" s="97" t="s">
        <v>420</v>
      </c>
      <c r="G74" s="94" t="s">
        <v>260</v>
      </c>
      <c r="H74" s="95" t="s">
        <v>214</v>
      </c>
      <c r="I74" s="95" t="s">
        <v>315</v>
      </c>
      <c r="J74" s="98" t="n">
        <v>1</v>
      </c>
      <c r="K74" s="96" t="s">
        <v>319</v>
      </c>
      <c r="L74" s="99" t="n">
        <v>1</v>
      </c>
      <c r="M74" s="100" t="s">
        <v>317</v>
      </c>
      <c r="N74" s="94"/>
      <c r="O74" s="101"/>
    </row>
    <row r="75" customFormat="false" ht="14.25" hidden="false" customHeight="true" outlineLevel="0" collapsed="false">
      <c r="A75" s="94" t="n">
        <v>71</v>
      </c>
      <c r="B75" s="95" t="s">
        <v>248</v>
      </c>
      <c r="C75" s="96" t="s">
        <v>249</v>
      </c>
      <c r="D75" s="95"/>
      <c r="E75" s="95" t="n">
        <v>3</v>
      </c>
      <c r="F75" s="97" t="s">
        <v>421</v>
      </c>
      <c r="G75" s="94" t="s">
        <v>326</v>
      </c>
      <c r="H75" s="95" t="s">
        <v>214</v>
      </c>
      <c r="I75" s="95" t="s">
        <v>315</v>
      </c>
      <c r="J75" s="98" t="n">
        <v>1</v>
      </c>
      <c r="K75" s="96" t="s">
        <v>422</v>
      </c>
      <c r="L75" s="99" t="n">
        <v>0.75</v>
      </c>
      <c r="M75" s="100" t="s">
        <v>328</v>
      </c>
      <c r="N75" s="94"/>
      <c r="O75" s="101"/>
    </row>
    <row r="76" customFormat="false" ht="22.5" hidden="false" customHeight="true" outlineLevel="0" collapsed="false">
      <c r="A76" s="94" t="n">
        <v>72</v>
      </c>
      <c r="B76" s="95" t="s">
        <v>248</v>
      </c>
      <c r="C76" s="96" t="s">
        <v>249</v>
      </c>
      <c r="D76" s="95"/>
      <c r="E76" s="95" t="n">
        <v>4</v>
      </c>
      <c r="F76" s="97" t="s">
        <v>423</v>
      </c>
      <c r="G76" s="94" t="s">
        <v>326</v>
      </c>
      <c r="H76" s="95" t="s">
        <v>214</v>
      </c>
      <c r="I76" s="95" t="s">
        <v>315</v>
      </c>
      <c r="J76" s="98" t="n">
        <v>1</v>
      </c>
      <c r="K76" s="96" t="s">
        <v>398</v>
      </c>
      <c r="L76" s="99" t="n">
        <v>0.75</v>
      </c>
      <c r="M76" s="100" t="s">
        <v>328</v>
      </c>
      <c r="N76" s="94"/>
      <c r="O76" s="101"/>
    </row>
    <row r="77" customFormat="false" ht="14.25" hidden="false" customHeight="true" outlineLevel="0" collapsed="false">
      <c r="A77" s="94" t="n">
        <v>73</v>
      </c>
      <c r="B77" s="95" t="s">
        <v>248</v>
      </c>
      <c r="C77" s="96" t="s">
        <v>249</v>
      </c>
      <c r="D77" s="95"/>
      <c r="E77" s="95" t="n">
        <v>5</v>
      </c>
      <c r="F77" s="97" t="s">
        <v>424</v>
      </c>
      <c r="G77" s="94" t="s">
        <v>326</v>
      </c>
      <c r="H77" s="95" t="s">
        <v>214</v>
      </c>
      <c r="I77" s="95" t="s">
        <v>315</v>
      </c>
      <c r="J77" s="98" t="n">
        <v>1</v>
      </c>
      <c r="K77" s="96" t="s">
        <v>327</v>
      </c>
      <c r="L77" s="99" t="n">
        <v>0.75</v>
      </c>
      <c r="M77" s="100" t="s">
        <v>328</v>
      </c>
      <c r="N77" s="94"/>
      <c r="O77" s="101"/>
    </row>
    <row r="78" customFormat="false" ht="14.25" hidden="false" customHeight="true" outlineLevel="0" collapsed="false">
      <c r="A78" s="94" t="n">
        <v>74</v>
      </c>
      <c r="B78" s="95" t="s">
        <v>250</v>
      </c>
      <c r="C78" s="96" t="s">
        <v>251</v>
      </c>
      <c r="D78" s="95"/>
      <c r="E78" s="95" t="n">
        <v>1</v>
      </c>
      <c r="F78" s="97" t="s">
        <v>425</v>
      </c>
      <c r="G78" s="94" t="s">
        <v>326</v>
      </c>
      <c r="H78" s="95" t="s">
        <v>214</v>
      </c>
      <c r="I78" s="95" t="s">
        <v>315</v>
      </c>
      <c r="J78" s="98" t="n">
        <v>1</v>
      </c>
      <c r="K78" s="96" t="s">
        <v>426</v>
      </c>
      <c r="L78" s="99" t="n">
        <v>0.75</v>
      </c>
      <c r="M78" s="100" t="s">
        <v>328</v>
      </c>
      <c r="N78" s="94"/>
      <c r="O78" s="101"/>
    </row>
    <row r="79" customFormat="false" ht="22.5" hidden="false" customHeight="true" outlineLevel="0" collapsed="false">
      <c r="A79" s="94" t="n">
        <v>75</v>
      </c>
      <c r="B79" s="95" t="s">
        <v>250</v>
      </c>
      <c r="C79" s="96" t="s">
        <v>251</v>
      </c>
      <c r="D79" s="95"/>
      <c r="E79" s="95" t="n">
        <v>2</v>
      </c>
      <c r="F79" s="97" t="s">
        <v>427</v>
      </c>
      <c r="G79" s="94" t="s">
        <v>326</v>
      </c>
      <c r="H79" s="95" t="s">
        <v>214</v>
      </c>
      <c r="I79" s="95" t="s">
        <v>315</v>
      </c>
      <c r="J79" s="98" t="n">
        <v>1</v>
      </c>
      <c r="K79" s="96" t="s">
        <v>428</v>
      </c>
      <c r="L79" s="99" t="n">
        <v>0.75</v>
      </c>
      <c r="M79" s="100" t="s">
        <v>328</v>
      </c>
      <c r="N79" s="94"/>
      <c r="O79" s="101"/>
    </row>
    <row r="80" customFormat="false" ht="14.25" hidden="false" customHeight="true" outlineLevel="0" collapsed="false">
      <c r="A80" s="94" t="n">
        <v>76</v>
      </c>
      <c r="B80" s="95" t="s">
        <v>250</v>
      </c>
      <c r="C80" s="96" t="s">
        <v>251</v>
      </c>
      <c r="D80" s="95"/>
      <c r="E80" s="95" t="n">
        <v>3</v>
      </c>
      <c r="F80" s="97" t="s">
        <v>429</v>
      </c>
      <c r="G80" s="94" t="s">
        <v>280</v>
      </c>
      <c r="H80" s="95" t="s">
        <v>214</v>
      </c>
      <c r="I80" s="95" t="s">
        <v>315</v>
      </c>
      <c r="J80" s="98" t="n">
        <v>1</v>
      </c>
      <c r="K80" s="96" t="s">
        <v>430</v>
      </c>
      <c r="L80" s="99" t="n">
        <v>0</v>
      </c>
      <c r="M80" s="100" t="s">
        <v>431</v>
      </c>
      <c r="N80" s="94"/>
      <c r="O80" s="101"/>
    </row>
    <row r="81" customFormat="false" ht="22.5" hidden="false" customHeight="true" outlineLevel="0" collapsed="false">
      <c r="A81" s="94" t="n">
        <v>77</v>
      </c>
      <c r="B81" s="95" t="s">
        <v>250</v>
      </c>
      <c r="C81" s="96" t="s">
        <v>251</v>
      </c>
      <c r="D81" s="95"/>
      <c r="E81" s="95" t="n">
        <v>4</v>
      </c>
      <c r="F81" s="97" t="s">
        <v>432</v>
      </c>
      <c r="G81" s="94" t="s">
        <v>280</v>
      </c>
      <c r="H81" s="95" t="s">
        <v>214</v>
      </c>
      <c r="I81" s="95" t="s">
        <v>315</v>
      </c>
      <c r="J81" s="98" t="n">
        <v>1</v>
      </c>
      <c r="K81" s="96" t="s">
        <v>433</v>
      </c>
      <c r="L81" s="99" t="n">
        <v>0</v>
      </c>
      <c r="M81" s="100" t="s">
        <v>431</v>
      </c>
      <c r="N81" s="94"/>
      <c r="O81" s="101"/>
    </row>
    <row r="82" customFormat="false" ht="14.25" hidden="false" customHeight="true" outlineLevel="0" collapsed="false">
      <c r="A82" s="94" t="n">
        <v>78</v>
      </c>
      <c r="B82" s="95" t="s">
        <v>250</v>
      </c>
      <c r="C82" s="96" t="s">
        <v>251</v>
      </c>
      <c r="D82" s="95"/>
      <c r="E82" s="95" t="n">
        <v>5</v>
      </c>
      <c r="F82" s="97" t="s">
        <v>434</v>
      </c>
      <c r="G82" s="94" t="s">
        <v>280</v>
      </c>
      <c r="H82" s="95" t="s">
        <v>214</v>
      </c>
      <c r="I82" s="95" t="s">
        <v>315</v>
      </c>
      <c r="J82" s="98" t="n">
        <v>1</v>
      </c>
      <c r="K82" s="96" t="s">
        <v>435</v>
      </c>
      <c r="L82" s="99" t="n">
        <v>0</v>
      </c>
      <c r="M82" s="100" t="s">
        <v>431</v>
      </c>
      <c r="N82" s="94"/>
      <c r="O82" s="101"/>
    </row>
    <row r="83" customFormat="false" ht="14.25" hidden="false" customHeight="true" outlineLevel="0" collapsed="false">
      <c r="A83" s="94" t="n">
        <v>79</v>
      </c>
      <c r="B83" s="95" t="s">
        <v>253</v>
      </c>
      <c r="C83" s="94" t="s">
        <v>436</v>
      </c>
      <c r="D83" s="95"/>
      <c r="E83" s="95" t="n">
        <v>1</v>
      </c>
      <c r="F83" s="97" t="s">
        <v>437</v>
      </c>
      <c r="G83" s="94" t="s">
        <v>245</v>
      </c>
      <c r="H83" s="95" t="s">
        <v>214</v>
      </c>
      <c r="I83" s="95" t="s">
        <v>348</v>
      </c>
      <c r="J83" s="98" t="n">
        <v>0.4</v>
      </c>
      <c r="K83" s="96" t="s">
        <v>316</v>
      </c>
      <c r="L83" s="99" t="n">
        <v>0.75</v>
      </c>
      <c r="M83" s="100" t="s">
        <v>328</v>
      </c>
      <c r="N83" s="94"/>
      <c r="O83" s="101"/>
    </row>
    <row r="84" customFormat="false" ht="22.5" hidden="false" customHeight="true" outlineLevel="0" collapsed="false">
      <c r="A84" s="94" t="n">
        <v>80</v>
      </c>
      <c r="B84" s="95" t="s">
        <v>253</v>
      </c>
      <c r="C84" s="94" t="s">
        <v>436</v>
      </c>
      <c r="D84" s="95"/>
      <c r="E84" s="95" t="n">
        <v>2</v>
      </c>
      <c r="F84" s="97" t="s">
        <v>438</v>
      </c>
      <c r="G84" s="94" t="s">
        <v>245</v>
      </c>
      <c r="H84" s="95" t="s">
        <v>214</v>
      </c>
      <c r="I84" s="95" t="s">
        <v>348</v>
      </c>
      <c r="J84" s="98" t="n">
        <v>0.4</v>
      </c>
      <c r="K84" s="96" t="s">
        <v>350</v>
      </c>
      <c r="L84" s="99" t="n">
        <v>0.75</v>
      </c>
      <c r="M84" s="100" t="s">
        <v>328</v>
      </c>
      <c r="N84" s="94"/>
      <c r="O84" s="101"/>
    </row>
    <row r="85" customFormat="false" ht="14.25" hidden="false" customHeight="true" outlineLevel="0" collapsed="false">
      <c r="A85" s="94" t="n">
        <v>81</v>
      </c>
      <c r="B85" s="95" t="s">
        <v>253</v>
      </c>
      <c r="C85" s="94" t="s">
        <v>436</v>
      </c>
      <c r="D85" s="95"/>
      <c r="E85" s="95" t="n">
        <v>3</v>
      </c>
      <c r="F85" s="97" t="s">
        <v>439</v>
      </c>
      <c r="G85" s="94" t="s">
        <v>245</v>
      </c>
      <c r="H85" s="95" t="s">
        <v>214</v>
      </c>
      <c r="I85" s="95" t="s">
        <v>315</v>
      </c>
      <c r="J85" s="98" t="n">
        <v>1</v>
      </c>
      <c r="K85" s="96" t="s">
        <v>352</v>
      </c>
      <c r="L85" s="99" t="n">
        <v>0.75</v>
      </c>
      <c r="M85" s="100" t="s">
        <v>328</v>
      </c>
      <c r="N85" s="94"/>
      <c r="O85" s="101"/>
    </row>
    <row r="86" customFormat="false" ht="14.25" hidden="false" customHeight="true" outlineLevel="0" collapsed="false">
      <c r="A86" s="94" t="n">
        <v>82</v>
      </c>
      <c r="B86" s="95" t="s">
        <v>253</v>
      </c>
      <c r="C86" s="94" t="s">
        <v>436</v>
      </c>
      <c r="D86" s="95"/>
      <c r="E86" s="95" t="n">
        <v>4</v>
      </c>
      <c r="F86" s="97" t="s">
        <v>440</v>
      </c>
      <c r="G86" s="94" t="s">
        <v>245</v>
      </c>
      <c r="H86" s="95" t="s">
        <v>214</v>
      </c>
      <c r="I86" s="95" t="s">
        <v>315</v>
      </c>
      <c r="J86" s="98" t="n">
        <v>1</v>
      </c>
      <c r="K86" s="96" t="s">
        <v>354</v>
      </c>
      <c r="L86" s="99" t="n">
        <v>0.75</v>
      </c>
      <c r="M86" s="100" t="s">
        <v>328</v>
      </c>
      <c r="N86" s="94"/>
      <c r="O86" s="101"/>
    </row>
    <row r="87" customFormat="false" ht="22.5" hidden="false" customHeight="true" outlineLevel="0" collapsed="false">
      <c r="A87" s="94" t="n">
        <v>83</v>
      </c>
      <c r="B87" s="95" t="s">
        <v>253</v>
      </c>
      <c r="C87" s="94" t="s">
        <v>436</v>
      </c>
      <c r="D87" s="95"/>
      <c r="E87" s="95" t="n">
        <v>5</v>
      </c>
      <c r="F87" s="97" t="s">
        <v>441</v>
      </c>
      <c r="G87" s="94" t="s">
        <v>245</v>
      </c>
      <c r="H87" s="95" t="s">
        <v>214</v>
      </c>
      <c r="I87" s="95" t="s">
        <v>315</v>
      </c>
      <c r="J87" s="98" t="n">
        <v>1</v>
      </c>
      <c r="K87" s="96" t="s">
        <v>356</v>
      </c>
      <c r="L87" s="99" t="n">
        <v>0.75</v>
      </c>
      <c r="M87" s="100" t="s">
        <v>328</v>
      </c>
      <c r="N87" s="94"/>
      <c r="O87" s="101"/>
    </row>
    <row r="88" customFormat="false" ht="22.5" hidden="false" customHeight="true" outlineLevel="0" collapsed="false">
      <c r="A88" s="94" t="n">
        <v>84</v>
      </c>
      <c r="B88" s="95" t="s">
        <v>253</v>
      </c>
      <c r="C88" s="94" t="s">
        <v>436</v>
      </c>
      <c r="D88" s="95"/>
      <c r="E88" s="95" t="n">
        <v>6</v>
      </c>
      <c r="F88" s="97" t="s">
        <v>442</v>
      </c>
      <c r="G88" s="94" t="s">
        <v>245</v>
      </c>
      <c r="H88" s="95" t="s">
        <v>214</v>
      </c>
      <c r="I88" s="95" t="s">
        <v>315</v>
      </c>
      <c r="J88" s="98" t="n">
        <v>1</v>
      </c>
      <c r="K88" s="96" t="s">
        <v>358</v>
      </c>
      <c r="L88" s="99" t="n">
        <v>0.75</v>
      </c>
      <c r="M88" s="100" t="s">
        <v>328</v>
      </c>
      <c r="N88" s="94"/>
      <c r="O88" s="101"/>
    </row>
    <row r="89" customFormat="false" ht="22.5" hidden="false" customHeight="true" outlineLevel="0" collapsed="false">
      <c r="A89" s="94" t="n">
        <v>85</v>
      </c>
      <c r="B89" s="95" t="s">
        <v>256</v>
      </c>
      <c r="C89" s="94" t="s">
        <v>443</v>
      </c>
      <c r="D89" s="95"/>
      <c r="E89" s="95" t="n">
        <v>1</v>
      </c>
      <c r="F89" s="97" t="s">
        <v>444</v>
      </c>
      <c r="G89" s="94" t="s">
        <v>245</v>
      </c>
      <c r="H89" s="95" t="s">
        <v>214</v>
      </c>
      <c r="I89" s="95" t="s">
        <v>348</v>
      </c>
      <c r="J89" s="98" t="n">
        <v>0.4</v>
      </c>
      <c r="K89" s="96" t="s">
        <v>316</v>
      </c>
      <c r="L89" s="99" t="n">
        <v>1</v>
      </c>
      <c r="M89" s="100" t="s">
        <v>317</v>
      </c>
      <c r="N89" s="94"/>
      <c r="O89" s="101"/>
    </row>
    <row r="90" customFormat="false" ht="22.5" hidden="false" customHeight="true" outlineLevel="0" collapsed="false">
      <c r="A90" s="94" t="n">
        <v>86</v>
      </c>
      <c r="B90" s="95" t="s">
        <v>256</v>
      </c>
      <c r="C90" s="94" t="s">
        <v>443</v>
      </c>
      <c r="D90" s="95"/>
      <c r="E90" s="95" t="n">
        <v>2</v>
      </c>
      <c r="F90" s="97" t="s">
        <v>445</v>
      </c>
      <c r="G90" s="94" t="s">
        <v>245</v>
      </c>
      <c r="H90" s="95" t="s">
        <v>214</v>
      </c>
      <c r="I90" s="95" t="s">
        <v>348</v>
      </c>
      <c r="J90" s="98" t="n">
        <v>0.4</v>
      </c>
      <c r="K90" s="96" t="s">
        <v>350</v>
      </c>
      <c r="L90" s="99" t="n">
        <v>1</v>
      </c>
      <c r="M90" s="100" t="s">
        <v>317</v>
      </c>
      <c r="N90" s="94"/>
      <c r="O90" s="101"/>
    </row>
    <row r="91" customFormat="false" ht="14.25" hidden="false" customHeight="true" outlineLevel="0" collapsed="false">
      <c r="A91" s="94" t="n">
        <v>87</v>
      </c>
      <c r="B91" s="95" t="s">
        <v>256</v>
      </c>
      <c r="C91" s="94" t="s">
        <v>443</v>
      </c>
      <c r="D91" s="95"/>
      <c r="E91" s="95" t="n">
        <v>3</v>
      </c>
      <c r="F91" s="97" t="s">
        <v>446</v>
      </c>
      <c r="G91" s="94" t="s">
        <v>245</v>
      </c>
      <c r="H91" s="95" t="s">
        <v>214</v>
      </c>
      <c r="I91" s="95" t="s">
        <v>315</v>
      </c>
      <c r="J91" s="98" t="n">
        <v>1</v>
      </c>
      <c r="K91" s="96" t="s">
        <v>352</v>
      </c>
      <c r="L91" s="99" t="n">
        <v>1</v>
      </c>
      <c r="M91" s="100" t="s">
        <v>317</v>
      </c>
      <c r="N91" s="94"/>
      <c r="O91" s="101"/>
    </row>
    <row r="92" customFormat="false" ht="22.5" hidden="false" customHeight="true" outlineLevel="0" collapsed="false">
      <c r="A92" s="94" t="n">
        <v>88</v>
      </c>
      <c r="B92" s="95" t="s">
        <v>256</v>
      </c>
      <c r="C92" s="94" t="s">
        <v>443</v>
      </c>
      <c r="D92" s="95"/>
      <c r="E92" s="95" t="n">
        <v>4</v>
      </c>
      <c r="F92" s="97" t="s">
        <v>447</v>
      </c>
      <c r="G92" s="94" t="s">
        <v>245</v>
      </c>
      <c r="H92" s="95" t="s">
        <v>214</v>
      </c>
      <c r="I92" s="95" t="s">
        <v>315</v>
      </c>
      <c r="J92" s="98" t="n">
        <v>1</v>
      </c>
      <c r="K92" s="96" t="s">
        <v>354</v>
      </c>
      <c r="L92" s="99" t="n">
        <v>1</v>
      </c>
      <c r="M92" s="100" t="s">
        <v>317</v>
      </c>
      <c r="N92" s="94"/>
      <c r="O92" s="101"/>
    </row>
    <row r="93" customFormat="false" ht="22.5" hidden="false" customHeight="true" outlineLevel="0" collapsed="false">
      <c r="A93" s="94" t="n">
        <v>89</v>
      </c>
      <c r="B93" s="95" t="s">
        <v>256</v>
      </c>
      <c r="C93" s="94" t="s">
        <v>443</v>
      </c>
      <c r="D93" s="95"/>
      <c r="E93" s="95" t="n">
        <v>5</v>
      </c>
      <c r="F93" s="97" t="s">
        <v>448</v>
      </c>
      <c r="G93" s="94" t="s">
        <v>245</v>
      </c>
      <c r="H93" s="95" t="s">
        <v>214</v>
      </c>
      <c r="I93" s="95" t="s">
        <v>315</v>
      </c>
      <c r="J93" s="98" t="n">
        <v>1</v>
      </c>
      <c r="K93" s="96" t="s">
        <v>356</v>
      </c>
      <c r="L93" s="99" t="n">
        <v>1</v>
      </c>
      <c r="M93" s="100" t="s">
        <v>317</v>
      </c>
      <c r="N93" s="94"/>
      <c r="O93" s="101"/>
    </row>
    <row r="94" customFormat="false" ht="14.25" hidden="false" customHeight="true" outlineLevel="0" collapsed="false">
      <c r="A94" s="94" t="n">
        <v>90</v>
      </c>
      <c r="B94" s="95" t="s">
        <v>258</v>
      </c>
      <c r="C94" s="94" t="s">
        <v>449</v>
      </c>
      <c r="D94" s="95" t="s">
        <v>240</v>
      </c>
      <c r="E94" s="95" t="n">
        <v>1</v>
      </c>
      <c r="F94" s="97" t="s">
        <v>450</v>
      </c>
      <c r="G94" s="94" t="s">
        <v>260</v>
      </c>
      <c r="H94" s="95" t="s">
        <v>214</v>
      </c>
      <c r="I94" s="95" t="s">
        <v>348</v>
      </c>
      <c r="J94" s="98" t="n">
        <v>0.4</v>
      </c>
      <c r="K94" s="96" t="s">
        <v>387</v>
      </c>
      <c r="L94" s="99" t="n">
        <v>0.65</v>
      </c>
      <c r="M94" s="100" t="s">
        <v>328</v>
      </c>
      <c r="N94" s="94"/>
      <c r="O94" s="101"/>
    </row>
    <row r="95" customFormat="false" ht="14.25" hidden="false" customHeight="true" outlineLevel="0" collapsed="false">
      <c r="A95" s="94" t="n">
        <v>91</v>
      </c>
      <c r="B95" s="95" t="s">
        <v>262</v>
      </c>
      <c r="C95" s="94" t="s">
        <v>451</v>
      </c>
      <c r="D95" s="95" t="s">
        <v>264</v>
      </c>
      <c r="E95" s="95" t="n">
        <v>1</v>
      </c>
      <c r="F95" s="97" t="s">
        <v>450</v>
      </c>
      <c r="G95" s="94" t="s">
        <v>260</v>
      </c>
      <c r="H95" s="95" t="s">
        <v>214</v>
      </c>
      <c r="I95" s="95" t="s">
        <v>348</v>
      </c>
      <c r="J95" s="98" t="n">
        <v>0.4</v>
      </c>
      <c r="K95" s="96" t="s">
        <v>387</v>
      </c>
      <c r="L95" s="99" t="n">
        <v>1</v>
      </c>
      <c r="M95" s="100" t="s">
        <v>317</v>
      </c>
      <c r="N95" s="94"/>
      <c r="O95" s="101"/>
    </row>
    <row r="96" customFormat="false" ht="14.25" hidden="false" customHeight="true" outlineLevel="0" collapsed="false">
      <c r="A96" s="94" t="n">
        <v>92</v>
      </c>
      <c r="B96" s="95" t="s">
        <v>258</v>
      </c>
      <c r="C96" s="94" t="s">
        <v>449</v>
      </c>
      <c r="D96" s="95" t="s">
        <v>240</v>
      </c>
      <c r="E96" s="95" t="n">
        <v>2</v>
      </c>
      <c r="F96" s="97" t="s">
        <v>452</v>
      </c>
      <c r="G96" s="94" t="s">
        <v>260</v>
      </c>
      <c r="H96" s="95" t="s">
        <v>214</v>
      </c>
      <c r="I96" s="95" t="s">
        <v>348</v>
      </c>
      <c r="J96" s="98" t="n">
        <v>0.4</v>
      </c>
      <c r="K96" s="96" t="s">
        <v>319</v>
      </c>
      <c r="L96" s="99" t="n">
        <v>0.65</v>
      </c>
      <c r="M96" s="100" t="s">
        <v>328</v>
      </c>
      <c r="N96" s="94"/>
      <c r="O96" s="101"/>
    </row>
    <row r="97" customFormat="false" ht="14.25" hidden="false" customHeight="true" outlineLevel="0" collapsed="false">
      <c r="A97" s="94" t="n">
        <v>93</v>
      </c>
      <c r="B97" s="95" t="s">
        <v>262</v>
      </c>
      <c r="C97" s="94" t="s">
        <v>451</v>
      </c>
      <c r="D97" s="95" t="s">
        <v>264</v>
      </c>
      <c r="E97" s="95" t="n">
        <v>2</v>
      </c>
      <c r="F97" s="97" t="s">
        <v>452</v>
      </c>
      <c r="G97" s="94" t="s">
        <v>260</v>
      </c>
      <c r="H97" s="95" t="s">
        <v>214</v>
      </c>
      <c r="I97" s="95" t="s">
        <v>348</v>
      </c>
      <c r="J97" s="98" t="n">
        <v>0.4</v>
      </c>
      <c r="K97" s="96" t="s">
        <v>319</v>
      </c>
      <c r="L97" s="99" t="n">
        <v>1</v>
      </c>
      <c r="M97" s="100" t="s">
        <v>317</v>
      </c>
      <c r="N97" s="94"/>
      <c r="O97" s="101"/>
    </row>
    <row r="98" customFormat="false" ht="14.25" hidden="false" customHeight="true" outlineLevel="0" collapsed="false">
      <c r="A98" s="94" t="n">
        <v>94</v>
      </c>
      <c r="B98" s="95" t="s">
        <v>258</v>
      </c>
      <c r="C98" s="94" t="s">
        <v>449</v>
      </c>
      <c r="D98" s="95" t="s">
        <v>240</v>
      </c>
      <c r="E98" s="95" t="n">
        <v>3</v>
      </c>
      <c r="F98" s="97" t="s">
        <v>453</v>
      </c>
      <c r="G98" s="94" t="s">
        <v>260</v>
      </c>
      <c r="H98" s="95" t="s">
        <v>214</v>
      </c>
      <c r="I98" s="95" t="s">
        <v>348</v>
      </c>
      <c r="J98" s="98" t="n">
        <v>0.4</v>
      </c>
      <c r="K98" s="96" t="s">
        <v>321</v>
      </c>
      <c r="L98" s="99" t="n">
        <v>0.65</v>
      </c>
      <c r="M98" s="100" t="s">
        <v>328</v>
      </c>
      <c r="N98" s="94"/>
      <c r="O98" s="101"/>
    </row>
    <row r="99" customFormat="false" ht="14.25" hidden="false" customHeight="true" outlineLevel="0" collapsed="false">
      <c r="A99" s="94" t="n">
        <v>95</v>
      </c>
      <c r="B99" s="95" t="s">
        <v>262</v>
      </c>
      <c r="C99" s="94" t="s">
        <v>451</v>
      </c>
      <c r="D99" s="95" t="s">
        <v>264</v>
      </c>
      <c r="E99" s="95" t="n">
        <v>3</v>
      </c>
      <c r="F99" s="97" t="s">
        <v>453</v>
      </c>
      <c r="G99" s="94" t="s">
        <v>260</v>
      </c>
      <c r="H99" s="95" t="s">
        <v>214</v>
      </c>
      <c r="I99" s="95" t="s">
        <v>348</v>
      </c>
      <c r="J99" s="98" t="n">
        <v>0.4</v>
      </c>
      <c r="K99" s="96" t="s">
        <v>321</v>
      </c>
      <c r="L99" s="99" t="n">
        <v>1</v>
      </c>
      <c r="M99" s="100" t="s">
        <v>317</v>
      </c>
      <c r="N99" s="94"/>
      <c r="O99" s="101"/>
    </row>
    <row r="100" customFormat="false" ht="22.5" hidden="false" customHeight="true" outlineLevel="0" collapsed="false">
      <c r="A100" s="94" t="n">
        <v>96</v>
      </c>
      <c r="B100" s="95" t="s">
        <v>258</v>
      </c>
      <c r="C100" s="94" t="s">
        <v>449</v>
      </c>
      <c r="D100" s="95" t="s">
        <v>240</v>
      </c>
      <c r="E100" s="95" t="n">
        <v>4</v>
      </c>
      <c r="F100" s="97" t="s">
        <v>454</v>
      </c>
      <c r="G100" s="94" t="s">
        <v>260</v>
      </c>
      <c r="H100" s="95" t="s">
        <v>214</v>
      </c>
      <c r="I100" s="95" t="s">
        <v>315</v>
      </c>
      <c r="J100" s="98" t="n">
        <v>1</v>
      </c>
      <c r="K100" s="96" t="s">
        <v>324</v>
      </c>
      <c r="L100" s="99" t="n">
        <v>0.65</v>
      </c>
      <c r="M100" s="100" t="s">
        <v>328</v>
      </c>
      <c r="N100" s="94"/>
      <c r="O100" s="101"/>
    </row>
    <row r="101" customFormat="false" ht="22.5" hidden="false" customHeight="true" outlineLevel="0" collapsed="false">
      <c r="A101" s="94" t="n">
        <v>97</v>
      </c>
      <c r="B101" s="95" t="s">
        <v>262</v>
      </c>
      <c r="C101" s="94" t="s">
        <v>451</v>
      </c>
      <c r="D101" s="95" t="s">
        <v>264</v>
      </c>
      <c r="E101" s="95" t="n">
        <v>4</v>
      </c>
      <c r="F101" s="97" t="s">
        <v>454</v>
      </c>
      <c r="G101" s="94" t="s">
        <v>260</v>
      </c>
      <c r="H101" s="95" t="s">
        <v>214</v>
      </c>
      <c r="I101" s="95" t="s">
        <v>315</v>
      </c>
      <c r="J101" s="98" t="n">
        <v>1</v>
      </c>
      <c r="K101" s="96" t="s">
        <v>324</v>
      </c>
      <c r="L101" s="99" t="n">
        <v>1</v>
      </c>
      <c r="M101" s="100" t="s">
        <v>317</v>
      </c>
      <c r="N101" s="94"/>
      <c r="O101" s="101"/>
    </row>
    <row r="102" customFormat="false" ht="22.5" hidden="false" customHeight="true" outlineLevel="0" collapsed="false">
      <c r="A102" s="94" t="n">
        <v>98</v>
      </c>
      <c r="B102" s="95" t="s">
        <v>258</v>
      </c>
      <c r="C102" s="94" t="s">
        <v>449</v>
      </c>
      <c r="D102" s="95" t="s">
        <v>240</v>
      </c>
      <c r="E102" s="95" t="n">
        <v>5</v>
      </c>
      <c r="F102" s="97" t="s">
        <v>455</v>
      </c>
      <c r="G102" s="94" t="s">
        <v>260</v>
      </c>
      <c r="H102" s="95" t="s">
        <v>214</v>
      </c>
      <c r="I102" s="95" t="s">
        <v>315</v>
      </c>
      <c r="J102" s="98" t="n">
        <v>1</v>
      </c>
      <c r="K102" s="96" t="s">
        <v>381</v>
      </c>
      <c r="L102" s="99" t="n">
        <v>0.65</v>
      </c>
      <c r="M102" s="100" t="s">
        <v>328</v>
      </c>
      <c r="N102" s="94"/>
      <c r="O102" s="101"/>
    </row>
    <row r="103" customFormat="false" ht="22.5" hidden="false" customHeight="true" outlineLevel="0" collapsed="false">
      <c r="A103" s="94" t="n">
        <v>99</v>
      </c>
      <c r="B103" s="95" t="s">
        <v>262</v>
      </c>
      <c r="C103" s="94" t="s">
        <v>451</v>
      </c>
      <c r="D103" s="95" t="s">
        <v>264</v>
      </c>
      <c r="E103" s="95" t="n">
        <v>5</v>
      </c>
      <c r="F103" s="97" t="s">
        <v>455</v>
      </c>
      <c r="G103" s="94" t="s">
        <v>260</v>
      </c>
      <c r="H103" s="95" t="s">
        <v>214</v>
      </c>
      <c r="I103" s="95" t="s">
        <v>315</v>
      </c>
      <c r="J103" s="98" t="n">
        <v>1</v>
      </c>
      <c r="K103" s="96" t="s">
        <v>381</v>
      </c>
      <c r="L103" s="99" t="n">
        <v>1</v>
      </c>
      <c r="M103" s="100" t="s">
        <v>317</v>
      </c>
      <c r="N103" s="94"/>
      <c r="O103" s="101"/>
    </row>
    <row r="104" customFormat="false" ht="14.25" hidden="false" customHeight="true" outlineLevel="0" collapsed="false">
      <c r="A104" s="94" t="n">
        <v>100</v>
      </c>
      <c r="B104" s="95" t="s">
        <v>266</v>
      </c>
      <c r="C104" s="94" t="s">
        <v>456</v>
      </c>
      <c r="D104" s="95" t="s">
        <v>240</v>
      </c>
      <c r="E104" s="95" t="n">
        <v>1</v>
      </c>
      <c r="F104" s="97" t="s">
        <v>457</v>
      </c>
      <c r="G104" s="94" t="s">
        <v>260</v>
      </c>
      <c r="H104" s="95" t="s">
        <v>214</v>
      </c>
      <c r="I104" s="95" t="s">
        <v>315</v>
      </c>
      <c r="J104" s="98" t="n">
        <v>1</v>
      </c>
      <c r="K104" s="96" t="s">
        <v>387</v>
      </c>
      <c r="L104" s="99" t="n">
        <v>0.65</v>
      </c>
      <c r="M104" s="100" t="s">
        <v>328</v>
      </c>
      <c r="N104" s="94"/>
      <c r="O104" s="101"/>
    </row>
    <row r="105" customFormat="false" ht="14.25" hidden="false" customHeight="true" outlineLevel="0" collapsed="false">
      <c r="A105" s="94" t="n">
        <v>101</v>
      </c>
      <c r="B105" s="95" t="s">
        <v>269</v>
      </c>
      <c r="C105" s="94" t="s">
        <v>458</v>
      </c>
      <c r="D105" s="95" t="s">
        <v>264</v>
      </c>
      <c r="E105" s="95" t="n">
        <v>1</v>
      </c>
      <c r="F105" s="97" t="s">
        <v>457</v>
      </c>
      <c r="G105" s="94" t="s">
        <v>260</v>
      </c>
      <c r="H105" s="95" t="s">
        <v>214</v>
      </c>
      <c r="I105" s="95" t="s">
        <v>315</v>
      </c>
      <c r="J105" s="98" t="n">
        <v>1</v>
      </c>
      <c r="K105" s="96" t="s">
        <v>387</v>
      </c>
      <c r="L105" s="99" t="n">
        <v>1</v>
      </c>
      <c r="M105" s="100" t="s">
        <v>317</v>
      </c>
      <c r="N105" s="94"/>
      <c r="O105" s="101"/>
    </row>
    <row r="106" customFormat="false" ht="14.25" hidden="false" customHeight="true" outlineLevel="0" collapsed="false">
      <c r="A106" s="94" t="n">
        <v>102</v>
      </c>
      <c r="B106" s="95" t="s">
        <v>266</v>
      </c>
      <c r="C106" s="94" t="s">
        <v>456</v>
      </c>
      <c r="D106" s="95" t="s">
        <v>240</v>
      </c>
      <c r="E106" s="95" t="n">
        <v>2</v>
      </c>
      <c r="F106" s="97" t="s">
        <v>459</v>
      </c>
      <c r="G106" s="94" t="s">
        <v>260</v>
      </c>
      <c r="H106" s="95" t="s">
        <v>214</v>
      </c>
      <c r="I106" s="95" t="s">
        <v>315</v>
      </c>
      <c r="J106" s="98" t="n">
        <v>1</v>
      </c>
      <c r="K106" s="96" t="s">
        <v>319</v>
      </c>
      <c r="L106" s="99" t="n">
        <v>0.65</v>
      </c>
      <c r="M106" s="100" t="s">
        <v>328</v>
      </c>
      <c r="N106" s="94"/>
      <c r="O106" s="101"/>
    </row>
    <row r="107" customFormat="false" ht="14.25" hidden="false" customHeight="true" outlineLevel="0" collapsed="false">
      <c r="A107" s="94" t="n">
        <v>103</v>
      </c>
      <c r="B107" s="95" t="s">
        <v>269</v>
      </c>
      <c r="C107" s="94" t="s">
        <v>458</v>
      </c>
      <c r="D107" s="95" t="s">
        <v>264</v>
      </c>
      <c r="E107" s="95" t="n">
        <v>2</v>
      </c>
      <c r="F107" s="97" t="s">
        <v>459</v>
      </c>
      <c r="G107" s="94" t="s">
        <v>260</v>
      </c>
      <c r="H107" s="95" t="s">
        <v>214</v>
      </c>
      <c r="I107" s="95" t="s">
        <v>315</v>
      </c>
      <c r="J107" s="98" t="n">
        <v>1</v>
      </c>
      <c r="K107" s="96" t="s">
        <v>319</v>
      </c>
      <c r="L107" s="99" t="n">
        <v>1</v>
      </c>
      <c r="M107" s="100" t="s">
        <v>317</v>
      </c>
      <c r="N107" s="94"/>
      <c r="O107" s="101"/>
    </row>
    <row r="108" customFormat="false" ht="14.25" hidden="false" customHeight="true" outlineLevel="0" collapsed="false">
      <c r="A108" s="94" t="n">
        <v>104</v>
      </c>
      <c r="B108" s="95" t="s">
        <v>266</v>
      </c>
      <c r="C108" s="94" t="s">
        <v>456</v>
      </c>
      <c r="D108" s="95" t="s">
        <v>240</v>
      </c>
      <c r="E108" s="95" t="n">
        <v>3</v>
      </c>
      <c r="F108" s="97" t="s">
        <v>460</v>
      </c>
      <c r="G108" s="94" t="s">
        <v>260</v>
      </c>
      <c r="H108" s="95" t="s">
        <v>214</v>
      </c>
      <c r="I108" s="95" t="s">
        <v>315</v>
      </c>
      <c r="J108" s="98" t="n">
        <v>1</v>
      </c>
      <c r="K108" s="96" t="s">
        <v>321</v>
      </c>
      <c r="L108" s="99" t="n">
        <v>0.65</v>
      </c>
      <c r="M108" s="100" t="s">
        <v>328</v>
      </c>
      <c r="N108" s="94"/>
      <c r="O108" s="101"/>
    </row>
    <row r="109" customFormat="false" ht="14.25" hidden="false" customHeight="true" outlineLevel="0" collapsed="false">
      <c r="A109" s="94" t="n">
        <v>105</v>
      </c>
      <c r="B109" s="95" t="s">
        <v>269</v>
      </c>
      <c r="C109" s="94" t="s">
        <v>458</v>
      </c>
      <c r="D109" s="95" t="s">
        <v>264</v>
      </c>
      <c r="E109" s="95" t="n">
        <v>3</v>
      </c>
      <c r="F109" s="97" t="s">
        <v>460</v>
      </c>
      <c r="G109" s="94" t="s">
        <v>260</v>
      </c>
      <c r="H109" s="95" t="s">
        <v>214</v>
      </c>
      <c r="I109" s="95" t="s">
        <v>315</v>
      </c>
      <c r="J109" s="98" t="n">
        <v>1</v>
      </c>
      <c r="K109" s="96" t="s">
        <v>321</v>
      </c>
      <c r="L109" s="99" t="n">
        <v>1</v>
      </c>
      <c r="M109" s="100" t="s">
        <v>317</v>
      </c>
      <c r="N109" s="94"/>
      <c r="O109" s="101"/>
    </row>
    <row r="110" customFormat="false" ht="22.5" hidden="false" customHeight="true" outlineLevel="0" collapsed="false">
      <c r="A110" s="94" t="n">
        <v>106</v>
      </c>
      <c r="B110" s="95" t="s">
        <v>266</v>
      </c>
      <c r="C110" s="94" t="s">
        <v>456</v>
      </c>
      <c r="D110" s="95" t="s">
        <v>240</v>
      </c>
      <c r="E110" s="95" t="n">
        <v>4</v>
      </c>
      <c r="F110" s="97" t="s">
        <v>461</v>
      </c>
      <c r="G110" s="94" t="s">
        <v>260</v>
      </c>
      <c r="H110" s="95" t="s">
        <v>214</v>
      </c>
      <c r="I110" s="95" t="s">
        <v>315</v>
      </c>
      <c r="J110" s="98" t="n">
        <v>1</v>
      </c>
      <c r="K110" s="96" t="s">
        <v>324</v>
      </c>
      <c r="L110" s="99" t="n">
        <v>0.65</v>
      </c>
      <c r="M110" s="100" t="s">
        <v>328</v>
      </c>
      <c r="N110" s="94"/>
      <c r="O110" s="101"/>
    </row>
    <row r="111" customFormat="false" ht="22.5" hidden="false" customHeight="true" outlineLevel="0" collapsed="false">
      <c r="A111" s="94" t="n">
        <v>107</v>
      </c>
      <c r="B111" s="95" t="s">
        <v>269</v>
      </c>
      <c r="C111" s="94" t="s">
        <v>458</v>
      </c>
      <c r="D111" s="95" t="s">
        <v>264</v>
      </c>
      <c r="E111" s="95" t="n">
        <v>4</v>
      </c>
      <c r="F111" s="97" t="s">
        <v>461</v>
      </c>
      <c r="G111" s="94" t="s">
        <v>260</v>
      </c>
      <c r="H111" s="95" t="s">
        <v>214</v>
      </c>
      <c r="I111" s="95" t="s">
        <v>315</v>
      </c>
      <c r="J111" s="98" t="n">
        <v>1</v>
      </c>
      <c r="K111" s="96" t="s">
        <v>324</v>
      </c>
      <c r="L111" s="99" t="n">
        <v>1</v>
      </c>
      <c r="M111" s="100" t="s">
        <v>317</v>
      </c>
      <c r="N111" s="94"/>
      <c r="O111" s="101"/>
    </row>
    <row r="112" customFormat="false" ht="14.25" hidden="false" customHeight="true" outlineLevel="0" collapsed="false">
      <c r="A112" s="94" t="n">
        <v>108</v>
      </c>
      <c r="B112" s="95" t="s">
        <v>266</v>
      </c>
      <c r="C112" s="94" t="s">
        <v>456</v>
      </c>
      <c r="D112" s="95" t="s">
        <v>240</v>
      </c>
      <c r="E112" s="95" t="n">
        <v>5</v>
      </c>
      <c r="F112" s="97" t="s">
        <v>462</v>
      </c>
      <c r="G112" s="94" t="s">
        <v>260</v>
      </c>
      <c r="H112" s="95" t="s">
        <v>214</v>
      </c>
      <c r="I112" s="95" t="s">
        <v>315</v>
      </c>
      <c r="J112" s="98" t="n">
        <v>1</v>
      </c>
      <c r="K112" s="96" t="s">
        <v>381</v>
      </c>
      <c r="L112" s="99" t="n">
        <v>0.65</v>
      </c>
      <c r="M112" s="100" t="s">
        <v>328</v>
      </c>
      <c r="N112" s="94"/>
      <c r="O112" s="101"/>
    </row>
    <row r="113" customFormat="false" ht="14.25" hidden="false" customHeight="true" outlineLevel="0" collapsed="false">
      <c r="A113" s="94" t="n">
        <v>109</v>
      </c>
      <c r="B113" s="95" t="s">
        <v>269</v>
      </c>
      <c r="C113" s="94" t="s">
        <v>458</v>
      </c>
      <c r="D113" s="95" t="s">
        <v>264</v>
      </c>
      <c r="E113" s="95" t="n">
        <v>5</v>
      </c>
      <c r="F113" s="97" t="s">
        <v>462</v>
      </c>
      <c r="G113" s="94" t="s">
        <v>260</v>
      </c>
      <c r="H113" s="95" t="s">
        <v>214</v>
      </c>
      <c r="I113" s="95" t="s">
        <v>315</v>
      </c>
      <c r="J113" s="98" t="n">
        <v>1</v>
      </c>
      <c r="K113" s="96" t="s">
        <v>381</v>
      </c>
      <c r="L113" s="99" t="n">
        <v>1</v>
      </c>
      <c r="M113" s="100" t="s">
        <v>317</v>
      </c>
      <c r="N113" s="94"/>
      <c r="O113" s="101"/>
    </row>
    <row r="114" customFormat="false" ht="14.25" hidden="false" customHeight="true" outlineLevel="0" collapsed="false">
      <c r="A114" s="94" t="n">
        <v>110</v>
      </c>
      <c r="B114" s="95" t="s">
        <v>272</v>
      </c>
      <c r="C114" s="94" t="s">
        <v>463</v>
      </c>
      <c r="D114" s="95"/>
      <c r="E114" s="95" t="n">
        <v>1</v>
      </c>
      <c r="F114" s="97" t="s">
        <v>464</v>
      </c>
      <c r="G114" s="94" t="s">
        <v>260</v>
      </c>
      <c r="H114" s="95" t="s">
        <v>214</v>
      </c>
      <c r="I114" s="95" t="s">
        <v>315</v>
      </c>
      <c r="J114" s="98" t="n">
        <v>1</v>
      </c>
      <c r="K114" s="96" t="s">
        <v>387</v>
      </c>
      <c r="L114" s="99" t="n">
        <v>1</v>
      </c>
      <c r="M114" s="100" t="s">
        <v>317</v>
      </c>
      <c r="N114" s="94"/>
      <c r="O114" s="101"/>
    </row>
    <row r="115" customFormat="false" ht="14.25" hidden="false" customHeight="true" outlineLevel="0" collapsed="false">
      <c r="A115" s="94" t="n">
        <v>111</v>
      </c>
      <c r="B115" s="95" t="s">
        <v>272</v>
      </c>
      <c r="C115" s="94" t="s">
        <v>463</v>
      </c>
      <c r="D115" s="95"/>
      <c r="E115" s="95" t="n">
        <v>2</v>
      </c>
      <c r="F115" s="97" t="s">
        <v>465</v>
      </c>
      <c r="G115" s="94" t="s">
        <v>260</v>
      </c>
      <c r="H115" s="95" t="s">
        <v>214</v>
      </c>
      <c r="I115" s="95" t="s">
        <v>315</v>
      </c>
      <c r="J115" s="98" t="n">
        <v>1</v>
      </c>
      <c r="K115" s="96" t="s">
        <v>319</v>
      </c>
      <c r="L115" s="99" t="n">
        <v>1</v>
      </c>
      <c r="M115" s="100" t="s">
        <v>317</v>
      </c>
      <c r="N115" s="94"/>
      <c r="O115" s="101"/>
    </row>
    <row r="116" customFormat="false" ht="14.25" hidden="false" customHeight="true" outlineLevel="0" collapsed="false">
      <c r="A116" s="94" t="n">
        <v>112</v>
      </c>
      <c r="B116" s="95" t="s">
        <v>272</v>
      </c>
      <c r="C116" s="94" t="s">
        <v>463</v>
      </c>
      <c r="D116" s="95"/>
      <c r="E116" s="95" t="n">
        <v>3</v>
      </c>
      <c r="F116" s="97" t="s">
        <v>466</v>
      </c>
      <c r="G116" s="94" t="s">
        <v>260</v>
      </c>
      <c r="H116" s="95" t="s">
        <v>214</v>
      </c>
      <c r="I116" s="95" t="s">
        <v>315</v>
      </c>
      <c r="J116" s="98" t="n">
        <v>1</v>
      </c>
      <c r="K116" s="96" t="s">
        <v>321</v>
      </c>
      <c r="L116" s="99" t="n">
        <v>1</v>
      </c>
      <c r="M116" s="100" t="s">
        <v>317</v>
      </c>
      <c r="N116" s="94"/>
      <c r="O116" s="101"/>
    </row>
    <row r="117" customFormat="false" ht="14.25" hidden="false" customHeight="true" outlineLevel="0" collapsed="false">
      <c r="A117" s="94" t="n">
        <v>113</v>
      </c>
      <c r="B117" s="95" t="s">
        <v>272</v>
      </c>
      <c r="C117" s="94" t="s">
        <v>463</v>
      </c>
      <c r="D117" s="95"/>
      <c r="E117" s="95" t="n">
        <v>4</v>
      </c>
      <c r="F117" s="97" t="s">
        <v>467</v>
      </c>
      <c r="G117" s="94" t="s">
        <v>326</v>
      </c>
      <c r="H117" s="95" t="s">
        <v>214</v>
      </c>
      <c r="I117" s="95" t="s">
        <v>315</v>
      </c>
      <c r="J117" s="98" t="n">
        <v>1</v>
      </c>
      <c r="K117" s="96" t="s">
        <v>398</v>
      </c>
      <c r="L117" s="99" t="n">
        <v>0.75</v>
      </c>
      <c r="M117" s="100" t="s">
        <v>328</v>
      </c>
      <c r="N117" s="94"/>
      <c r="O117" s="101"/>
    </row>
    <row r="118" customFormat="false" ht="14.25" hidden="false" customHeight="true" outlineLevel="0" collapsed="false">
      <c r="A118" s="94" t="n">
        <v>114</v>
      </c>
      <c r="B118" s="95" t="s">
        <v>272</v>
      </c>
      <c r="C118" s="94" t="s">
        <v>463</v>
      </c>
      <c r="D118" s="95"/>
      <c r="E118" s="95" t="n">
        <v>5</v>
      </c>
      <c r="F118" s="97" t="s">
        <v>468</v>
      </c>
      <c r="G118" s="94" t="s">
        <v>326</v>
      </c>
      <c r="H118" s="95" t="s">
        <v>214</v>
      </c>
      <c r="I118" s="95" t="s">
        <v>315</v>
      </c>
      <c r="J118" s="98" t="n">
        <v>1</v>
      </c>
      <c r="K118" s="96" t="s">
        <v>327</v>
      </c>
      <c r="L118" s="99" t="n">
        <v>0.75</v>
      </c>
      <c r="M118" s="100" t="s">
        <v>328</v>
      </c>
      <c r="N118" s="94"/>
      <c r="O118" s="101"/>
    </row>
    <row r="119" customFormat="false" ht="22.5" hidden="false" customHeight="true" outlineLevel="0" collapsed="false">
      <c r="A119" s="94" t="n">
        <v>115</v>
      </c>
      <c r="B119" s="95" t="s">
        <v>272</v>
      </c>
      <c r="C119" s="94" t="s">
        <v>463</v>
      </c>
      <c r="D119" s="95"/>
      <c r="E119" s="95" t="n">
        <v>6</v>
      </c>
      <c r="F119" s="97" t="s">
        <v>469</v>
      </c>
      <c r="G119" s="94" t="s">
        <v>326</v>
      </c>
      <c r="H119" s="95" t="s">
        <v>214</v>
      </c>
      <c r="I119" s="95" t="s">
        <v>315</v>
      </c>
      <c r="J119" s="98" t="n">
        <v>1</v>
      </c>
      <c r="K119" s="96" t="s">
        <v>373</v>
      </c>
      <c r="L119" s="99" t="n">
        <v>0.75</v>
      </c>
      <c r="M119" s="100" t="s">
        <v>328</v>
      </c>
      <c r="N119" s="94"/>
      <c r="O119" s="101"/>
    </row>
    <row r="120" customFormat="false" ht="22.5" hidden="false" customHeight="true" outlineLevel="0" collapsed="false">
      <c r="A120" s="94" t="n">
        <v>116</v>
      </c>
      <c r="B120" s="95" t="s">
        <v>272</v>
      </c>
      <c r="C120" s="94" t="s">
        <v>463</v>
      </c>
      <c r="D120" s="95"/>
      <c r="E120" s="95" t="n">
        <v>7</v>
      </c>
      <c r="F120" s="97" t="s">
        <v>470</v>
      </c>
      <c r="G120" s="94" t="s">
        <v>326</v>
      </c>
      <c r="H120" s="95" t="s">
        <v>214</v>
      </c>
      <c r="I120" s="95" t="s">
        <v>315</v>
      </c>
      <c r="J120" s="98" t="n">
        <v>1</v>
      </c>
      <c r="K120" s="96" t="s">
        <v>375</v>
      </c>
      <c r="L120" s="99" t="n">
        <v>0.75</v>
      </c>
      <c r="M120" s="100" t="s">
        <v>328</v>
      </c>
      <c r="N120" s="94"/>
      <c r="O120" s="101"/>
    </row>
    <row r="121" customFormat="false" ht="14.25" hidden="false" customHeight="true" outlineLevel="0" collapsed="false">
      <c r="A121" s="94" t="n">
        <v>117</v>
      </c>
      <c r="B121" s="95" t="s">
        <v>275</v>
      </c>
      <c r="C121" s="94" t="s">
        <v>471</v>
      </c>
      <c r="D121" s="95"/>
      <c r="E121" s="95" t="n">
        <v>1</v>
      </c>
      <c r="F121" s="97" t="s">
        <v>472</v>
      </c>
      <c r="G121" s="94" t="s">
        <v>326</v>
      </c>
      <c r="H121" s="95" t="s">
        <v>214</v>
      </c>
      <c r="I121" s="95" t="s">
        <v>315</v>
      </c>
      <c r="J121" s="98" t="n">
        <v>1</v>
      </c>
      <c r="K121" s="96" t="s">
        <v>426</v>
      </c>
      <c r="L121" s="99" t="n">
        <v>0.75</v>
      </c>
      <c r="M121" s="100" t="s">
        <v>328</v>
      </c>
      <c r="N121" s="94"/>
      <c r="O121" s="101"/>
    </row>
    <row r="122" customFormat="false" ht="14.25" hidden="false" customHeight="true" outlineLevel="0" collapsed="false">
      <c r="A122" s="94" t="n">
        <v>118</v>
      </c>
      <c r="B122" s="95" t="s">
        <v>275</v>
      </c>
      <c r="C122" s="94" t="s">
        <v>471</v>
      </c>
      <c r="D122" s="95"/>
      <c r="E122" s="95" t="n">
        <v>2</v>
      </c>
      <c r="F122" s="97" t="s">
        <v>473</v>
      </c>
      <c r="G122" s="94" t="s">
        <v>326</v>
      </c>
      <c r="H122" s="95" t="s">
        <v>214</v>
      </c>
      <c r="I122" s="95" t="s">
        <v>315</v>
      </c>
      <c r="J122" s="98" t="n">
        <v>1</v>
      </c>
      <c r="K122" s="96" t="s">
        <v>428</v>
      </c>
      <c r="L122" s="99" t="n">
        <v>0.75</v>
      </c>
      <c r="M122" s="100" t="s">
        <v>328</v>
      </c>
      <c r="N122" s="94"/>
      <c r="O122" s="101"/>
    </row>
    <row r="123" customFormat="false" ht="14.25" hidden="false" customHeight="true" outlineLevel="0" collapsed="false">
      <c r="A123" s="94" t="n">
        <v>119</v>
      </c>
      <c r="B123" s="95" t="s">
        <v>275</v>
      </c>
      <c r="C123" s="94" t="s">
        <v>471</v>
      </c>
      <c r="D123" s="95"/>
      <c r="E123" s="95" t="n">
        <v>3</v>
      </c>
      <c r="F123" s="97" t="s">
        <v>474</v>
      </c>
      <c r="G123" s="94" t="s">
        <v>280</v>
      </c>
      <c r="H123" s="95" t="s">
        <v>214</v>
      </c>
      <c r="I123" s="95" t="s">
        <v>315</v>
      </c>
      <c r="J123" s="98" t="n">
        <v>1</v>
      </c>
      <c r="K123" s="96" t="s">
        <v>430</v>
      </c>
      <c r="L123" s="99" t="n">
        <v>0</v>
      </c>
      <c r="M123" s="100" t="s">
        <v>431</v>
      </c>
      <c r="N123" s="94"/>
      <c r="O123" s="101"/>
    </row>
    <row r="124" customFormat="false" ht="22.5" hidden="false" customHeight="true" outlineLevel="0" collapsed="false">
      <c r="A124" s="94" t="n">
        <v>120</v>
      </c>
      <c r="B124" s="95" t="s">
        <v>275</v>
      </c>
      <c r="C124" s="94" t="s">
        <v>471</v>
      </c>
      <c r="D124" s="95"/>
      <c r="E124" s="95" t="n">
        <v>4</v>
      </c>
      <c r="F124" s="97" t="s">
        <v>475</v>
      </c>
      <c r="G124" s="94" t="s">
        <v>280</v>
      </c>
      <c r="H124" s="95" t="s">
        <v>214</v>
      </c>
      <c r="I124" s="95" t="s">
        <v>315</v>
      </c>
      <c r="J124" s="98" t="n">
        <v>1</v>
      </c>
      <c r="K124" s="96" t="s">
        <v>433</v>
      </c>
      <c r="L124" s="99" t="n">
        <v>0</v>
      </c>
      <c r="M124" s="100" t="s">
        <v>431</v>
      </c>
      <c r="N124" s="94"/>
      <c r="O124" s="101"/>
    </row>
    <row r="125" customFormat="false" ht="14.25" hidden="false" customHeight="true" outlineLevel="0" collapsed="false">
      <c r="A125" s="94" t="n">
        <v>121</v>
      </c>
      <c r="B125" s="95" t="s">
        <v>275</v>
      </c>
      <c r="C125" s="94" t="s">
        <v>471</v>
      </c>
      <c r="D125" s="95"/>
      <c r="E125" s="95" t="n">
        <v>5</v>
      </c>
      <c r="F125" s="97" t="s">
        <v>476</v>
      </c>
      <c r="G125" s="94" t="s">
        <v>280</v>
      </c>
      <c r="H125" s="95" t="s">
        <v>214</v>
      </c>
      <c r="I125" s="95" t="s">
        <v>315</v>
      </c>
      <c r="J125" s="98" t="n">
        <v>1</v>
      </c>
      <c r="K125" s="96" t="s">
        <v>435</v>
      </c>
      <c r="L125" s="99" t="n">
        <v>0</v>
      </c>
      <c r="M125" s="100" t="s">
        <v>431</v>
      </c>
      <c r="N125" s="94"/>
      <c r="O125" s="101"/>
    </row>
    <row r="126" customFormat="false" ht="14.25" hidden="false" customHeight="true" outlineLevel="0" collapsed="false">
      <c r="A126" s="94" t="n">
        <v>122</v>
      </c>
      <c r="B126" s="95" t="s">
        <v>278</v>
      </c>
      <c r="C126" s="96" t="s">
        <v>279</v>
      </c>
      <c r="D126" s="95"/>
      <c r="E126" s="95" t="n">
        <v>1</v>
      </c>
      <c r="F126" s="97" t="s">
        <v>477</v>
      </c>
      <c r="G126" s="94" t="s">
        <v>280</v>
      </c>
      <c r="H126" s="95" t="s">
        <v>214</v>
      </c>
      <c r="I126" s="95" t="s">
        <v>315</v>
      </c>
      <c r="J126" s="98" t="n">
        <v>1</v>
      </c>
      <c r="K126" s="96" t="s">
        <v>478</v>
      </c>
      <c r="L126" s="99" t="n">
        <v>0</v>
      </c>
      <c r="M126" s="100" t="s">
        <v>431</v>
      </c>
      <c r="N126" s="94"/>
      <c r="O126" s="101"/>
    </row>
    <row r="127" customFormat="false" ht="14.25" hidden="false" customHeight="true" outlineLevel="0" collapsed="false">
      <c r="A127" s="94" t="n">
        <v>123</v>
      </c>
      <c r="B127" s="95" t="s">
        <v>278</v>
      </c>
      <c r="C127" s="96" t="s">
        <v>279</v>
      </c>
      <c r="D127" s="95"/>
      <c r="E127" s="95" t="n">
        <v>2</v>
      </c>
      <c r="F127" s="97" t="s">
        <v>479</v>
      </c>
      <c r="G127" s="94" t="s">
        <v>280</v>
      </c>
      <c r="H127" s="95" t="s">
        <v>214</v>
      </c>
      <c r="I127" s="95" t="s">
        <v>315</v>
      </c>
      <c r="J127" s="98" t="n">
        <v>1</v>
      </c>
      <c r="K127" s="96" t="s">
        <v>480</v>
      </c>
      <c r="L127" s="99" t="n">
        <v>0</v>
      </c>
      <c r="M127" s="100" t="s">
        <v>431</v>
      </c>
      <c r="N127" s="94"/>
      <c r="O127" s="101"/>
    </row>
    <row r="128" customFormat="false" ht="14.25" hidden="false" customHeight="true" outlineLevel="0" collapsed="false">
      <c r="A128" s="94" t="n">
        <v>124</v>
      </c>
      <c r="B128" s="95" t="s">
        <v>278</v>
      </c>
      <c r="C128" s="96" t="s">
        <v>279</v>
      </c>
      <c r="D128" s="95"/>
      <c r="E128" s="95" t="n">
        <v>3</v>
      </c>
      <c r="F128" s="97" t="s">
        <v>481</v>
      </c>
      <c r="G128" s="94" t="s">
        <v>280</v>
      </c>
      <c r="H128" s="95" t="s">
        <v>214</v>
      </c>
      <c r="I128" s="95" t="s">
        <v>315</v>
      </c>
      <c r="J128" s="98" t="n">
        <v>1</v>
      </c>
      <c r="K128" s="96" t="s">
        <v>430</v>
      </c>
      <c r="L128" s="99" t="n">
        <v>0</v>
      </c>
      <c r="M128" s="100" t="s">
        <v>431</v>
      </c>
      <c r="N128" s="94"/>
      <c r="O128" s="101"/>
    </row>
    <row r="129" customFormat="false" ht="22.5" hidden="false" customHeight="true" outlineLevel="0" collapsed="false">
      <c r="A129" s="94" t="n">
        <v>125</v>
      </c>
      <c r="B129" s="95" t="s">
        <v>278</v>
      </c>
      <c r="C129" s="96" t="s">
        <v>279</v>
      </c>
      <c r="D129" s="95"/>
      <c r="E129" s="95" t="n">
        <v>4</v>
      </c>
      <c r="F129" s="97" t="s">
        <v>482</v>
      </c>
      <c r="G129" s="94" t="s">
        <v>280</v>
      </c>
      <c r="H129" s="95" t="s">
        <v>214</v>
      </c>
      <c r="I129" s="95" t="s">
        <v>315</v>
      </c>
      <c r="J129" s="98" t="n">
        <v>1</v>
      </c>
      <c r="K129" s="96" t="s">
        <v>433</v>
      </c>
      <c r="L129" s="99" t="n">
        <v>0</v>
      </c>
      <c r="M129" s="100" t="s">
        <v>431</v>
      </c>
      <c r="N129" s="94"/>
      <c r="O129" s="101"/>
    </row>
    <row r="130" customFormat="false" ht="14.25" hidden="false" customHeight="true" outlineLevel="0" collapsed="false">
      <c r="A130" s="94" t="n">
        <v>126</v>
      </c>
      <c r="B130" s="95" t="s">
        <v>278</v>
      </c>
      <c r="C130" s="96" t="s">
        <v>279</v>
      </c>
      <c r="D130" s="95"/>
      <c r="E130" s="95" t="n">
        <v>5</v>
      </c>
      <c r="F130" s="97" t="s">
        <v>483</v>
      </c>
      <c r="G130" s="94" t="s">
        <v>280</v>
      </c>
      <c r="H130" s="95" t="s">
        <v>214</v>
      </c>
      <c r="I130" s="95" t="s">
        <v>315</v>
      </c>
      <c r="J130" s="98" t="n">
        <v>1</v>
      </c>
      <c r="K130" s="96" t="s">
        <v>435</v>
      </c>
      <c r="L130" s="99" t="n">
        <v>0</v>
      </c>
      <c r="M130" s="100" t="s">
        <v>431</v>
      </c>
      <c r="N130" s="94"/>
      <c r="O130" s="101"/>
    </row>
    <row r="131" customFormat="false" ht="14.25" hidden="false" customHeight="true" outlineLevel="0" collapsed="false">
      <c r="A131" s="94" t="n">
        <v>127</v>
      </c>
      <c r="B131" s="95" t="s">
        <v>281</v>
      </c>
      <c r="C131" s="94" t="s">
        <v>484</v>
      </c>
      <c r="D131" s="95"/>
      <c r="E131" s="95" t="n">
        <v>1</v>
      </c>
      <c r="F131" s="97" t="s">
        <v>485</v>
      </c>
      <c r="G131" s="94" t="s">
        <v>245</v>
      </c>
      <c r="H131" s="95" t="s">
        <v>214</v>
      </c>
      <c r="I131" s="95" t="s">
        <v>348</v>
      </c>
      <c r="J131" s="98" t="n">
        <v>0.4</v>
      </c>
      <c r="K131" s="96" t="s">
        <v>316</v>
      </c>
      <c r="L131" s="99" t="n">
        <v>1</v>
      </c>
      <c r="M131" s="100" t="s">
        <v>317</v>
      </c>
      <c r="N131" s="94"/>
      <c r="O131" s="101"/>
    </row>
    <row r="132" customFormat="false" ht="14.25" hidden="false" customHeight="true" outlineLevel="0" collapsed="false">
      <c r="A132" s="94" t="n">
        <v>128</v>
      </c>
      <c r="B132" s="95" t="s">
        <v>281</v>
      </c>
      <c r="C132" s="94" t="s">
        <v>484</v>
      </c>
      <c r="D132" s="95"/>
      <c r="E132" s="95" t="n">
        <v>2</v>
      </c>
      <c r="F132" s="97" t="s">
        <v>486</v>
      </c>
      <c r="G132" s="94" t="s">
        <v>245</v>
      </c>
      <c r="H132" s="95" t="s">
        <v>214</v>
      </c>
      <c r="I132" s="95" t="s">
        <v>348</v>
      </c>
      <c r="J132" s="98" t="n">
        <v>0.4</v>
      </c>
      <c r="K132" s="96" t="s">
        <v>350</v>
      </c>
      <c r="L132" s="99" t="n">
        <v>1</v>
      </c>
      <c r="M132" s="100" t="s">
        <v>317</v>
      </c>
      <c r="N132" s="94"/>
      <c r="O132" s="101"/>
    </row>
    <row r="133" customFormat="false" ht="14.25" hidden="false" customHeight="true" outlineLevel="0" collapsed="false">
      <c r="A133" s="94" t="n">
        <v>129</v>
      </c>
      <c r="B133" s="95" t="s">
        <v>281</v>
      </c>
      <c r="C133" s="94" t="s">
        <v>484</v>
      </c>
      <c r="D133" s="95"/>
      <c r="E133" s="95" t="n">
        <v>3</v>
      </c>
      <c r="F133" s="97" t="s">
        <v>487</v>
      </c>
      <c r="G133" s="94" t="s">
        <v>245</v>
      </c>
      <c r="H133" s="95" t="s">
        <v>214</v>
      </c>
      <c r="I133" s="95" t="s">
        <v>315</v>
      </c>
      <c r="J133" s="98" t="n">
        <v>1</v>
      </c>
      <c r="K133" s="96" t="s">
        <v>352</v>
      </c>
      <c r="L133" s="99" t="n">
        <v>1</v>
      </c>
      <c r="M133" s="100" t="s">
        <v>317</v>
      </c>
      <c r="N133" s="94"/>
      <c r="O133" s="101"/>
    </row>
    <row r="134" customFormat="false" ht="14.25" hidden="false" customHeight="true" outlineLevel="0" collapsed="false">
      <c r="A134" s="94" t="n">
        <v>130</v>
      </c>
      <c r="B134" s="95" t="s">
        <v>281</v>
      </c>
      <c r="C134" s="94" t="s">
        <v>484</v>
      </c>
      <c r="D134" s="95"/>
      <c r="E134" s="95" t="n">
        <v>4</v>
      </c>
      <c r="F134" s="97" t="s">
        <v>488</v>
      </c>
      <c r="G134" s="94" t="s">
        <v>245</v>
      </c>
      <c r="H134" s="95" t="s">
        <v>214</v>
      </c>
      <c r="I134" s="95" t="s">
        <v>315</v>
      </c>
      <c r="J134" s="98" t="n">
        <v>1</v>
      </c>
      <c r="K134" s="96" t="s">
        <v>354</v>
      </c>
      <c r="L134" s="99" t="n">
        <v>1</v>
      </c>
      <c r="M134" s="100" t="s">
        <v>317</v>
      </c>
      <c r="N134" s="94"/>
      <c r="O134" s="101"/>
    </row>
    <row r="135" customFormat="false" ht="22.5" hidden="false" customHeight="true" outlineLevel="0" collapsed="false">
      <c r="A135" s="94" t="n">
        <v>131</v>
      </c>
      <c r="B135" s="95" t="s">
        <v>281</v>
      </c>
      <c r="C135" s="94" t="s">
        <v>484</v>
      </c>
      <c r="D135" s="95"/>
      <c r="E135" s="95" t="n">
        <v>5</v>
      </c>
      <c r="F135" s="97" t="s">
        <v>489</v>
      </c>
      <c r="G135" s="94" t="s">
        <v>245</v>
      </c>
      <c r="H135" s="95" t="s">
        <v>214</v>
      </c>
      <c r="I135" s="95" t="s">
        <v>315</v>
      </c>
      <c r="J135" s="98" t="n">
        <v>1</v>
      </c>
      <c r="K135" s="96" t="s">
        <v>356</v>
      </c>
      <c r="L135" s="99" t="n">
        <v>1</v>
      </c>
      <c r="M135" s="100" t="s">
        <v>317</v>
      </c>
      <c r="N135" s="94"/>
      <c r="O135" s="101"/>
    </row>
    <row r="136" customFormat="false" ht="14.25" hidden="false" customHeight="true" outlineLevel="0" collapsed="false">
      <c r="A136" s="94" t="n">
        <v>132</v>
      </c>
      <c r="B136" s="95" t="s">
        <v>281</v>
      </c>
      <c r="C136" s="94" t="s">
        <v>484</v>
      </c>
      <c r="D136" s="95"/>
      <c r="E136" s="95" t="n">
        <v>6</v>
      </c>
      <c r="F136" s="97" t="s">
        <v>490</v>
      </c>
      <c r="G136" s="94" t="s">
        <v>245</v>
      </c>
      <c r="H136" s="95" t="s">
        <v>214</v>
      </c>
      <c r="I136" s="95" t="s">
        <v>315</v>
      </c>
      <c r="J136" s="98" t="n">
        <v>1</v>
      </c>
      <c r="K136" s="96" t="s">
        <v>358</v>
      </c>
      <c r="L136" s="99" t="n">
        <v>1</v>
      </c>
      <c r="M136" s="100" t="s">
        <v>317</v>
      </c>
      <c r="N136" s="94"/>
      <c r="O136" s="101"/>
    </row>
    <row r="137" customFormat="false" ht="14.25" hidden="false" customHeight="true" outlineLevel="0" collapsed="false">
      <c r="A137" s="94" t="n">
        <v>133</v>
      </c>
      <c r="B137" s="95" t="s">
        <v>284</v>
      </c>
      <c r="C137" s="94" t="s">
        <v>491</v>
      </c>
      <c r="D137" s="95"/>
      <c r="E137" s="95" t="n">
        <v>1</v>
      </c>
      <c r="F137" s="97" t="s">
        <v>492</v>
      </c>
      <c r="G137" s="94" t="s">
        <v>245</v>
      </c>
      <c r="H137" s="95" t="s">
        <v>214</v>
      </c>
      <c r="I137" s="95" t="s">
        <v>348</v>
      </c>
      <c r="J137" s="98" t="n">
        <v>0.4</v>
      </c>
      <c r="K137" s="96" t="s">
        <v>316</v>
      </c>
      <c r="L137" s="99" t="n">
        <v>1</v>
      </c>
      <c r="M137" s="100" t="s">
        <v>317</v>
      </c>
      <c r="N137" s="94"/>
      <c r="O137" s="101"/>
    </row>
    <row r="138" customFormat="false" ht="14.25" hidden="false" customHeight="true" outlineLevel="0" collapsed="false">
      <c r="A138" s="94" t="n">
        <v>134</v>
      </c>
      <c r="B138" s="95" t="s">
        <v>284</v>
      </c>
      <c r="C138" s="94" t="s">
        <v>491</v>
      </c>
      <c r="D138" s="95"/>
      <c r="E138" s="95" t="n">
        <v>2</v>
      </c>
      <c r="F138" s="97" t="s">
        <v>493</v>
      </c>
      <c r="G138" s="94" t="s">
        <v>245</v>
      </c>
      <c r="H138" s="95" t="s">
        <v>214</v>
      </c>
      <c r="I138" s="95" t="s">
        <v>348</v>
      </c>
      <c r="J138" s="98" t="n">
        <v>0.4</v>
      </c>
      <c r="K138" s="96" t="s">
        <v>350</v>
      </c>
      <c r="L138" s="99" t="n">
        <v>1</v>
      </c>
      <c r="M138" s="100" t="s">
        <v>317</v>
      </c>
      <c r="N138" s="94"/>
      <c r="O138" s="101"/>
    </row>
    <row r="139" customFormat="false" ht="14.25" hidden="false" customHeight="true" outlineLevel="0" collapsed="false">
      <c r="A139" s="94" t="n">
        <v>135</v>
      </c>
      <c r="B139" s="95" t="s">
        <v>284</v>
      </c>
      <c r="C139" s="94" t="s">
        <v>491</v>
      </c>
      <c r="D139" s="95"/>
      <c r="E139" s="95" t="n">
        <v>3</v>
      </c>
      <c r="F139" s="97" t="s">
        <v>494</v>
      </c>
      <c r="G139" s="94" t="s">
        <v>245</v>
      </c>
      <c r="H139" s="95" t="s">
        <v>214</v>
      </c>
      <c r="I139" s="95" t="s">
        <v>315</v>
      </c>
      <c r="J139" s="98" t="n">
        <v>1</v>
      </c>
      <c r="K139" s="96" t="s">
        <v>352</v>
      </c>
      <c r="L139" s="99" t="n">
        <v>1</v>
      </c>
      <c r="M139" s="100" t="s">
        <v>317</v>
      </c>
      <c r="N139" s="94"/>
      <c r="O139" s="101"/>
    </row>
    <row r="140" customFormat="false" ht="14.25" hidden="false" customHeight="true" outlineLevel="0" collapsed="false">
      <c r="A140" s="94" t="n">
        <v>136</v>
      </c>
      <c r="B140" s="95" t="s">
        <v>284</v>
      </c>
      <c r="C140" s="94" t="s">
        <v>491</v>
      </c>
      <c r="D140" s="95"/>
      <c r="E140" s="95" t="n">
        <v>4</v>
      </c>
      <c r="F140" s="97" t="s">
        <v>495</v>
      </c>
      <c r="G140" s="94" t="s">
        <v>245</v>
      </c>
      <c r="H140" s="95" t="s">
        <v>214</v>
      </c>
      <c r="I140" s="95" t="s">
        <v>348</v>
      </c>
      <c r="J140" s="98" t="n">
        <v>0.4</v>
      </c>
      <c r="K140" s="96" t="s">
        <v>354</v>
      </c>
      <c r="L140" s="99" t="n">
        <v>1</v>
      </c>
      <c r="M140" s="100" t="s">
        <v>317</v>
      </c>
      <c r="N140" s="94"/>
      <c r="O140" s="101"/>
    </row>
    <row r="141" customFormat="false" ht="14.25" hidden="false" customHeight="true" outlineLevel="0" collapsed="false">
      <c r="A141" s="94" t="n">
        <v>137</v>
      </c>
      <c r="B141" s="95" t="s">
        <v>284</v>
      </c>
      <c r="C141" s="94" t="s">
        <v>491</v>
      </c>
      <c r="D141" s="95"/>
      <c r="E141" s="95" t="n">
        <v>5</v>
      </c>
      <c r="F141" s="97" t="s">
        <v>496</v>
      </c>
      <c r="G141" s="94" t="s">
        <v>245</v>
      </c>
      <c r="H141" s="95" t="s">
        <v>214</v>
      </c>
      <c r="I141" s="95" t="s">
        <v>348</v>
      </c>
      <c r="J141" s="98" t="n">
        <v>0.4</v>
      </c>
      <c r="K141" s="96" t="s">
        <v>356</v>
      </c>
      <c r="L141" s="99" t="n">
        <v>1</v>
      </c>
      <c r="M141" s="100" t="s">
        <v>317</v>
      </c>
      <c r="N141" s="94"/>
      <c r="O141" s="101"/>
    </row>
    <row r="142" customFormat="false" ht="22.5" hidden="false" customHeight="true" outlineLevel="0" collapsed="false">
      <c r="A142" s="94" t="n">
        <v>138</v>
      </c>
      <c r="B142" s="95" t="s">
        <v>284</v>
      </c>
      <c r="C142" s="94" t="s">
        <v>491</v>
      </c>
      <c r="D142" s="95"/>
      <c r="E142" s="95" t="n">
        <v>6</v>
      </c>
      <c r="F142" s="97" t="s">
        <v>497</v>
      </c>
      <c r="G142" s="94" t="s">
        <v>245</v>
      </c>
      <c r="H142" s="95" t="s">
        <v>214</v>
      </c>
      <c r="I142" s="95" t="s">
        <v>315</v>
      </c>
      <c r="J142" s="98" t="n">
        <v>1</v>
      </c>
      <c r="K142" s="96" t="s">
        <v>358</v>
      </c>
      <c r="L142" s="99" t="n">
        <v>1</v>
      </c>
      <c r="M142" s="100" t="s">
        <v>317</v>
      </c>
      <c r="N142" s="94"/>
      <c r="O142" s="101"/>
    </row>
    <row r="143" customFormat="false" ht="14.25" hidden="false" customHeight="true" outlineLevel="0" collapsed="false">
      <c r="A143" s="94" t="n">
        <v>139</v>
      </c>
      <c r="B143" s="95" t="s">
        <v>284</v>
      </c>
      <c r="C143" s="94" t="s">
        <v>491</v>
      </c>
      <c r="D143" s="95"/>
      <c r="E143" s="95" t="n">
        <v>7</v>
      </c>
      <c r="F143" s="97" t="s">
        <v>498</v>
      </c>
      <c r="G143" s="94" t="s">
        <v>245</v>
      </c>
      <c r="H143" s="95" t="s">
        <v>214</v>
      </c>
      <c r="I143" s="95" t="s">
        <v>315</v>
      </c>
      <c r="J143" s="98" t="n">
        <v>1</v>
      </c>
      <c r="K143" s="96" t="s">
        <v>360</v>
      </c>
      <c r="L143" s="99" t="n">
        <v>1</v>
      </c>
      <c r="M143" s="100" t="s">
        <v>317</v>
      </c>
      <c r="N143" s="94"/>
      <c r="O143" s="101"/>
    </row>
    <row r="144" customFormat="false" ht="14.25" hidden="false" customHeight="true" outlineLevel="0" collapsed="false">
      <c r="A144" s="94" t="n">
        <v>140</v>
      </c>
      <c r="B144" s="95" t="s">
        <v>286</v>
      </c>
      <c r="C144" s="94" t="s">
        <v>499</v>
      </c>
      <c r="D144" s="95"/>
      <c r="E144" s="95" t="n">
        <v>1</v>
      </c>
      <c r="F144" s="97" t="s">
        <v>500</v>
      </c>
      <c r="G144" s="94" t="s">
        <v>260</v>
      </c>
      <c r="H144" s="95" t="s">
        <v>214</v>
      </c>
      <c r="I144" s="95" t="s">
        <v>315</v>
      </c>
      <c r="J144" s="98" t="n">
        <v>1</v>
      </c>
      <c r="K144" s="96" t="s">
        <v>387</v>
      </c>
      <c r="L144" s="99" t="n">
        <v>1</v>
      </c>
      <c r="M144" s="100" t="s">
        <v>317</v>
      </c>
      <c r="N144" s="94"/>
      <c r="O144" s="101"/>
    </row>
    <row r="145" customFormat="false" ht="14.25" hidden="false" customHeight="true" outlineLevel="0" collapsed="false">
      <c r="A145" s="94" t="n">
        <v>141</v>
      </c>
      <c r="B145" s="95" t="s">
        <v>286</v>
      </c>
      <c r="C145" s="94" t="s">
        <v>499</v>
      </c>
      <c r="D145" s="95"/>
      <c r="E145" s="95" t="n">
        <v>2</v>
      </c>
      <c r="F145" s="97" t="s">
        <v>501</v>
      </c>
      <c r="G145" s="94" t="s">
        <v>260</v>
      </c>
      <c r="H145" s="95" t="s">
        <v>214</v>
      </c>
      <c r="I145" s="95" t="s">
        <v>315</v>
      </c>
      <c r="J145" s="98" t="n">
        <v>1</v>
      </c>
      <c r="K145" s="96" t="s">
        <v>319</v>
      </c>
      <c r="L145" s="99" t="n">
        <v>1</v>
      </c>
      <c r="M145" s="100" t="s">
        <v>317</v>
      </c>
      <c r="N145" s="94"/>
      <c r="O145" s="101"/>
    </row>
    <row r="146" customFormat="false" ht="14.25" hidden="false" customHeight="true" outlineLevel="0" collapsed="false">
      <c r="A146" s="94" t="n">
        <v>142</v>
      </c>
      <c r="B146" s="95" t="s">
        <v>286</v>
      </c>
      <c r="C146" s="94" t="s">
        <v>499</v>
      </c>
      <c r="D146" s="95"/>
      <c r="E146" s="95" t="n">
        <v>3</v>
      </c>
      <c r="F146" s="97" t="s">
        <v>502</v>
      </c>
      <c r="G146" s="94" t="s">
        <v>326</v>
      </c>
      <c r="H146" s="95" t="s">
        <v>214</v>
      </c>
      <c r="I146" s="95" t="s">
        <v>315</v>
      </c>
      <c r="J146" s="98" t="n">
        <v>1</v>
      </c>
      <c r="K146" s="96" t="s">
        <v>422</v>
      </c>
      <c r="L146" s="99" t="n">
        <v>0.75</v>
      </c>
      <c r="M146" s="100" t="s">
        <v>328</v>
      </c>
      <c r="N146" s="94"/>
      <c r="O146" s="101"/>
    </row>
    <row r="147" customFormat="false" ht="22.5" hidden="false" customHeight="true" outlineLevel="0" collapsed="false">
      <c r="A147" s="94" t="n">
        <v>143</v>
      </c>
      <c r="B147" s="95" t="s">
        <v>286</v>
      </c>
      <c r="C147" s="94" t="s">
        <v>499</v>
      </c>
      <c r="D147" s="95"/>
      <c r="E147" s="95" t="n">
        <v>4</v>
      </c>
      <c r="F147" s="97" t="s">
        <v>503</v>
      </c>
      <c r="G147" s="94" t="s">
        <v>326</v>
      </c>
      <c r="H147" s="95" t="s">
        <v>214</v>
      </c>
      <c r="I147" s="95" t="s">
        <v>315</v>
      </c>
      <c r="J147" s="98" t="n">
        <v>1</v>
      </c>
      <c r="K147" s="96" t="s">
        <v>398</v>
      </c>
      <c r="L147" s="99" t="n">
        <v>0.75</v>
      </c>
      <c r="M147" s="100" t="s">
        <v>328</v>
      </c>
      <c r="N147" s="94"/>
      <c r="O147" s="101"/>
    </row>
    <row r="148" customFormat="false" ht="22.5" hidden="false" customHeight="true" outlineLevel="0" collapsed="false">
      <c r="A148" s="94" t="n">
        <v>144</v>
      </c>
      <c r="B148" s="95" t="s">
        <v>286</v>
      </c>
      <c r="C148" s="94" t="s">
        <v>499</v>
      </c>
      <c r="D148" s="95"/>
      <c r="E148" s="95" t="n">
        <v>5</v>
      </c>
      <c r="F148" s="97" t="s">
        <v>504</v>
      </c>
      <c r="G148" s="94" t="s">
        <v>326</v>
      </c>
      <c r="H148" s="95" t="s">
        <v>214</v>
      </c>
      <c r="I148" s="95" t="s">
        <v>315</v>
      </c>
      <c r="J148" s="98" t="n">
        <v>1</v>
      </c>
      <c r="K148" s="96" t="s">
        <v>327</v>
      </c>
      <c r="L148" s="99" t="n">
        <v>0.75</v>
      </c>
      <c r="M148" s="100" t="s">
        <v>328</v>
      </c>
      <c r="N148" s="94"/>
      <c r="O148" s="101"/>
    </row>
    <row r="149" customFormat="false" ht="14.25" hidden="false" customHeight="true" outlineLevel="0" collapsed="false">
      <c r="A149" s="94" t="n">
        <v>145</v>
      </c>
      <c r="B149" s="95" t="s">
        <v>288</v>
      </c>
      <c r="C149" s="94" t="s">
        <v>505</v>
      </c>
      <c r="D149" s="95"/>
      <c r="E149" s="95" t="n">
        <v>1</v>
      </c>
      <c r="F149" s="97" t="s">
        <v>506</v>
      </c>
      <c r="G149" s="94" t="s">
        <v>326</v>
      </c>
      <c r="H149" s="95" t="s">
        <v>214</v>
      </c>
      <c r="I149" s="95" t="s">
        <v>315</v>
      </c>
      <c r="J149" s="98" t="n">
        <v>1</v>
      </c>
      <c r="K149" s="96" t="s">
        <v>426</v>
      </c>
      <c r="L149" s="99" t="n">
        <v>0.75</v>
      </c>
      <c r="M149" s="100" t="s">
        <v>328</v>
      </c>
      <c r="N149" s="94"/>
      <c r="O149" s="101"/>
    </row>
    <row r="150" customFormat="false" ht="14.25" hidden="false" customHeight="true" outlineLevel="0" collapsed="false">
      <c r="A150" s="94" t="n">
        <v>146</v>
      </c>
      <c r="B150" s="95" t="s">
        <v>288</v>
      </c>
      <c r="C150" s="94" t="s">
        <v>505</v>
      </c>
      <c r="D150" s="95"/>
      <c r="E150" s="95" t="n">
        <v>2</v>
      </c>
      <c r="F150" s="97" t="s">
        <v>507</v>
      </c>
      <c r="G150" s="94" t="s">
        <v>326</v>
      </c>
      <c r="H150" s="95" t="s">
        <v>214</v>
      </c>
      <c r="I150" s="95" t="s">
        <v>315</v>
      </c>
      <c r="J150" s="98" t="n">
        <v>1</v>
      </c>
      <c r="K150" s="96" t="s">
        <v>428</v>
      </c>
      <c r="L150" s="99" t="n">
        <v>0.75</v>
      </c>
      <c r="M150" s="100" t="s">
        <v>328</v>
      </c>
      <c r="N150" s="94"/>
      <c r="O150" s="101"/>
    </row>
    <row r="151" customFormat="false" ht="14.25" hidden="false" customHeight="true" outlineLevel="0" collapsed="false">
      <c r="A151" s="94" t="n">
        <v>147</v>
      </c>
      <c r="B151" s="95" t="s">
        <v>288</v>
      </c>
      <c r="C151" s="94" t="s">
        <v>505</v>
      </c>
      <c r="D151" s="95"/>
      <c r="E151" s="95" t="n">
        <v>3</v>
      </c>
      <c r="F151" s="97" t="s">
        <v>508</v>
      </c>
      <c r="G151" s="94" t="s">
        <v>326</v>
      </c>
      <c r="H151" s="95" t="s">
        <v>214</v>
      </c>
      <c r="I151" s="95" t="s">
        <v>315</v>
      </c>
      <c r="J151" s="98" t="n">
        <v>1</v>
      </c>
      <c r="K151" s="96" t="s">
        <v>422</v>
      </c>
      <c r="L151" s="99" t="n">
        <v>0.75</v>
      </c>
      <c r="M151" s="100" t="s">
        <v>328</v>
      </c>
      <c r="N151" s="94"/>
      <c r="O151" s="101"/>
    </row>
    <row r="152" customFormat="false" ht="14.25" hidden="false" customHeight="true" outlineLevel="0" collapsed="false">
      <c r="A152" s="94" t="n">
        <v>148</v>
      </c>
      <c r="B152" s="95" t="s">
        <v>288</v>
      </c>
      <c r="C152" s="94" t="s">
        <v>505</v>
      </c>
      <c r="D152" s="95"/>
      <c r="E152" s="95" t="n">
        <v>4</v>
      </c>
      <c r="F152" s="97" t="s">
        <v>509</v>
      </c>
      <c r="G152" s="94" t="s">
        <v>280</v>
      </c>
      <c r="H152" s="95" t="s">
        <v>214</v>
      </c>
      <c r="I152" s="95" t="s">
        <v>315</v>
      </c>
      <c r="J152" s="98" t="n">
        <v>1</v>
      </c>
      <c r="K152" s="96" t="s">
        <v>433</v>
      </c>
      <c r="L152" s="99" t="n">
        <v>0</v>
      </c>
      <c r="M152" s="100" t="s">
        <v>431</v>
      </c>
      <c r="N152" s="94"/>
      <c r="O152" s="101"/>
    </row>
    <row r="153" customFormat="false" ht="14.25" hidden="false" customHeight="true" outlineLevel="0" collapsed="false">
      <c r="A153" s="94" t="n">
        <v>149</v>
      </c>
      <c r="B153" s="95" t="s">
        <v>288</v>
      </c>
      <c r="C153" s="94" t="s">
        <v>505</v>
      </c>
      <c r="D153" s="95"/>
      <c r="E153" s="95" t="n">
        <v>5</v>
      </c>
      <c r="F153" s="97" t="s">
        <v>510</v>
      </c>
      <c r="G153" s="94" t="s">
        <v>280</v>
      </c>
      <c r="H153" s="95" t="s">
        <v>214</v>
      </c>
      <c r="I153" s="95" t="s">
        <v>315</v>
      </c>
      <c r="J153" s="98" t="n">
        <v>1</v>
      </c>
      <c r="K153" s="96" t="s">
        <v>435</v>
      </c>
      <c r="L153" s="99" t="n">
        <v>0</v>
      </c>
      <c r="M153" s="100" t="s">
        <v>431</v>
      </c>
      <c r="N153" s="94"/>
      <c r="O153" s="101"/>
    </row>
    <row r="154" customFormat="false" ht="22.5" hidden="false" customHeight="true" outlineLevel="0" collapsed="false">
      <c r="A154" s="94" t="n">
        <v>150</v>
      </c>
      <c r="B154" s="95" t="s">
        <v>288</v>
      </c>
      <c r="C154" s="94" t="s">
        <v>505</v>
      </c>
      <c r="D154" s="95"/>
      <c r="E154" s="95" t="n">
        <v>6</v>
      </c>
      <c r="F154" s="97" t="s">
        <v>511</v>
      </c>
      <c r="G154" s="94" t="s">
        <v>280</v>
      </c>
      <c r="H154" s="95" t="s">
        <v>214</v>
      </c>
      <c r="I154" s="95" t="s">
        <v>315</v>
      </c>
      <c r="J154" s="98" t="n">
        <v>1</v>
      </c>
      <c r="K154" s="96" t="s">
        <v>512</v>
      </c>
      <c r="L154" s="99" t="n">
        <v>0</v>
      </c>
      <c r="M154" s="100" t="s">
        <v>431</v>
      </c>
      <c r="N154" s="94"/>
      <c r="O154" s="101"/>
    </row>
    <row r="155" customFormat="false" ht="14.25" hidden="false" customHeight="true" outlineLevel="0" collapsed="false">
      <c r="A155" s="94" t="n">
        <v>151</v>
      </c>
      <c r="B155" s="95" t="s">
        <v>288</v>
      </c>
      <c r="C155" s="94" t="s">
        <v>505</v>
      </c>
      <c r="D155" s="95"/>
      <c r="E155" s="95" t="n">
        <v>7</v>
      </c>
      <c r="F155" s="97" t="s">
        <v>513</v>
      </c>
      <c r="G155" s="94" t="s">
        <v>280</v>
      </c>
      <c r="H155" s="95" t="s">
        <v>214</v>
      </c>
      <c r="I155" s="95" t="s">
        <v>315</v>
      </c>
      <c r="J155" s="98" t="n">
        <v>1</v>
      </c>
      <c r="K155" s="96" t="s">
        <v>514</v>
      </c>
      <c r="L155" s="99" t="n">
        <v>0</v>
      </c>
      <c r="M155" s="100" t="s">
        <v>431</v>
      </c>
      <c r="N155" s="94"/>
      <c r="O155" s="101"/>
    </row>
    <row r="156" customFormat="false" ht="14.25" hidden="false" customHeight="true" outlineLevel="0" collapsed="false">
      <c r="A156" s="94" t="n">
        <v>152</v>
      </c>
      <c r="B156" s="95" t="s">
        <v>290</v>
      </c>
      <c r="C156" s="94" t="s">
        <v>515</v>
      </c>
      <c r="D156" s="95"/>
      <c r="E156" s="95" t="n">
        <v>1</v>
      </c>
      <c r="F156" s="97" t="s">
        <v>516</v>
      </c>
      <c r="G156" s="94" t="s">
        <v>245</v>
      </c>
      <c r="H156" s="95" t="s">
        <v>214</v>
      </c>
      <c r="I156" s="95" t="s">
        <v>348</v>
      </c>
      <c r="J156" s="98" t="n">
        <v>0.4</v>
      </c>
      <c r="K156" s="96" t="s">
        <v>316</v>
      </c>
      <c r="L156" s="99" t="n">
        <v>1</v>
      </c>
      <c r="M156" s="100" t="s">
        <v>317</v>
      </c>
      <c r="N156" s="94"/>
      <c r="O156" s="101"/>
    </row>
    <row r="157" customFormat="false" ht="14.25" hidden="false" customHeight="true" outlineLevel="0" collapsed="false">
      <c r="A157" s="94" t="n">
        <v>153</v>
      </c>
      <c r="B157" s="95" t="s">
        <v>290</v>
      </c>
      <c r="C157" s="94" t="s">
        <v>515</v>
      </c>
      <c r="D157" s="95"/>
      <c r="E157" s="95" t="n">
        <v>2</v>
      </c>
      <c r="F157" s="97" t="s">
        <v>517</v>
      </c>
      <c r="G157" s="94" t="s">
        <v>245</v>
      </c>
      <c r="H157" s="95" t="s">
        <v>214</v>
      </c>
      <c r="I157" s="95" t="s">
        <v>348</v>
      </c>
      <c r="J157" s="98" t="n">
        <v>0.4</v>
      </c>
      <c r="K157" s="96" t="s">
        <v>350</v>
      </c>
      <c r="L157" s="99" t="n">
        <v>1</v>
      </c>
      <c r="M157" s="100" t="s">
        <v>317</v>
      </c>
      <c r="N157" s="94"/>
      <c r="O157" s="101"/>
    </row>
    <row r="158" customFormat="false" ht="14.25" hidden="false" customHeight="true" outlineLevel="0" collapsed="false">
      <c r="A158" s="94" t="n">
        <v>154</v>
      </c>
      <c r="B158" s="95" t="s">
        <v>290</v>
      </c>
      <c r="C158" s="94" t="s">
        <v>515</v>
      </c>
      <c r="D158" s="95"/>
      <c r="E158" s="95" t="n">
        <v>3</v>
      </c>
      <c r="F158" s="97" t="s">
        <v>518</v>
      </c>
      <c r="G158" s="94" t="s">
        <v>245</v>
      </c>
      <c r="H158" s="95" t="s">
        <v>214</v>
      </c>
      <c r="I158" s="95" t="s">
        <v>315</v>
      </c>
      <c r="J158" s="98" t="n">
        <v>1</v>
      </c>
      <c r="K158" s="96" t="s">
        <v>352</v>
      </c>
      <c r="L158" s="99" t="n">
        <v>1</v>
      </c>
      <c r="M158" s="100" t="s">
        <v>317</v>
      </c>
      <c r="N158" s="94"/>
      <c r="O158" s="101"/>
    </row>
    <row r="159" customFormat="false" ht="14.25" hidden="false" customHeight="true" outlineLevel="0" collapsed="false">
      <c r="A159" s="94" t="n">
        <v>155</v>
      </c>
      <c r="B159" s="95" t="s">
        <v>290</v>
      </c>
      <c r="C159" s="94" t="s">
        <v>515</v>
      </c>
      <c r="D159" s="95"/>
      <c r="E159" s="95" t="n">
        <v>4</v>
      </c>
      <c r="F159" s="97" t="s">
        <v>440</v>
      </c>
      <c r="G159" s="94" t="s">
        <v>245</v>
      </c>
      <c r="H159" s="95" t="s">
        <v>214</v>
      </c>
      <c r="I159" s="95" t="s">
        <v>315</v>
      </c>
      <c r="J159" s="98" t="n">
        <v>1</v>
      </c>
      <c r="K159" s="96" t="s">
        <v>354</v>
      </c>
      <c r="L159" s="99" t="n">
        <v>1</v>
      </c>
      <c r="M159" s="100" t="s">
        <v>317</v>
      </c>
      <c r="N159" s="94"/>
      <c r="O159" s="101"/>
    </row>
    <row r="160" customFormat="false" ht="22.5" hidden="false" customHeight="true" outlineLevel="0" collapsed="false">
      <c r="A160" s="94" t="n">
        <v>156</v>
      </c>
      <c r="B160" s="95" t="s">
        <v>290</v>
      </c>
      <c r="C160" s="94" t="s">
        <v>515</v>
      </c>
      <c r="D160" s="95"/>
      <c r="E160" s="95" t="n">
        <v>5</v>
      </c>
      <c r="F160" s="97" t="s">
        <v>519</v>
      </c>
      <c r="G160" s="94" t="s">
        <v>245</v>
      </c>
      <c r="H160" s="95" t="s">
        <v>214</v>
      </c>
      <c r="I160" s="95" t="s">
        <v>315</v>
      </c>
      <c r="J160" s="98" t="n">
        <v>1</v>
      </c>
      <c r="K160" s="96" t="s">
        <v>356</v>
      </c>
      <c r="L160" s="99" t="n">
        <v>1</v>
      </c>
      <c r="M160" s="100" t="s">
        <v>317</v>
      </c>
      <c r="N160" s="94"/>
      <c r="O160" s="101"/>
    </row>
    <row r="161" customFormat="false" ht="22.5" hidden="false" customHeight="true" outlineLevel="0" collapsed="false">
      <c r="A161" s="94" t="n">
        <v>157</v>
      </c>
      <c r="B161" s="95" t="s">
        <v>290</v>
      </c>
      <c r="C161" s="94" t="s">
        <v>515</v>
      </c>
      <c r="D161" s="95"/>
      <c r="E161" s="95" t="n">
        <v>6</v>
      </c>
      <c r="F161" s="97" t="s">
        <v>520</v>
      </c>
      <c r="G161" s="94" t="s">
        <v>245</v>
      </c>
      <c r="H161" s="95" t="s">
        <v>214</v>
      </c>
      <c r="I161" s="95" t="s">
        <v>315</v>
      </c>
      <c r="J161" s="98" t="n">
        <v>1</v>
      </c>
      <c r="K161" s="96" t="s">
        <v>358</v>
      </c>
      <c r="L161" s="99" t="n">
        <v>1</v>
      </c>
      <c r="M161" s="100" t="s">
        <v>317</v>
      </c>
      <c r="N161" s="94"/>
      <c r="O161" s="101"/>
    </row>
    <row r="162" customFormat="false" ht="14.25" hidden="false" customHeight="true" outlineLevel="0" collapsed="false">
      <c r="A162" s="94" t="n">
        <v>158</v>
      </c>
      <c r="B162" s="95" t="s">
        <v>294</v>
      </c>
      <c r="C162" s="94" t="s">
        <v>521</v>
      </c>
      <c r="D162" s="95"/>
      <c r="E162" s="95" t="n">
        <v>1</v>
      </c>
      <c r="F162" s="97" t="s">
        <v>522</v>
      </c>
      <c r="G162" s="94" t="s">
        <v>245</v>
      </c>
      <c r="H162" s="95" t="s">
        <v>214</v>
      </c>
      <c r="I162" s="95" t="s">
        <v>348</v>
      </c>
      <c r="J162" s="98" t="n">
        <v>0.4</v>
      </c>
      <c r="K162" s="96" t="s">
        <v>316</v>
      </c>
      <c r="L162" s="99" t="n">
        <v>1</v>
      </c>
      <c r="M162" s="100" t="s">
        <v>317</v>
      </c>
      <c r="N162" s="94"/>
      <c r="O162" s="101"/>
    </row>
    <row r="163" customFormat="false" ht="14.25" hidden="false" customHeight="true" outlineLevel="0" collapsed="false">
      <c r="A163" s="94" t="n">
        <v>159</v>
      </c>
      <c r="B163" s="95" t="s">
        <v>294</v>
      </c>
      <c r="C163" s="94" t="s">
        <v>521</v>
      </c>
      <c r="D163" s="95"/>
      <c r="E163" s="95" t="n">
        <v>2</v>
      </c>
      <c r="F163" s="97" t="s">
        <v>523</v>
      </c>
      <c r="G163" s="94" t="s">
        <v>245</v>
      </c>
      <c r="H163" s="95" t="s">
        <v>214</v>
      </c>
      <c r="I163" s="95" t="s">
        <v>348</v>
      </c>
      <c r="J163" s="98" t="n">
        <v>0.4</v>
      </c>
      <c r="K163" s="96" t="s">
        <v>350</v>
      </c>
      <c r="L163" s="99" t="n">
        <v>1</v>
      </c>
      <c r="M163" s="100" t="s">
        <v>317</v>
      </c>
      <c r="N163" s="94"/>
      <c r="O163" s="101"/>
    </row>
    <row r="164" customFormat="false" ht="14.25" hidden="false" customHeight="true" outlineLevel="0" collapsed="false">
      <c r="A164" s="94" t="n">
        <v>160</v>
      </c>
      <c r="B164" s="95" t="s">
        <v>294</v>
      </c>
      <c r="C164" s="94" t="s">
        <v>521</v>
      </c>
      <c r="D164" s="95"/>
      <c r="E164" s="95" t="n">
        <v>3</v>
      </c>
      <c r="F164" s="97" t="s">
        <v>524</v>
      </c>
      <c r="G164" s="94" t="s">
        <v>245</v>
      </c>
      <c r="H164" s="95" t="s">
        <v>214</v>
      </c>
      <c r="I164" s="95" t="s">
        <v>348</v>
      </c>
      <c r="J164" s="98" t="n">
        <v>0.4</v>
      </c>
      <c r="K164" s="96" t="s">
        <v>352</v>
      </c>
      <c r="L164" s="99" t="n">
        <v>1</v>
      </c>
      <c r="M164" s="100" t="s">
        <v>317</v>
      </c>
      <c r="N164" s="94"/>
      <c r="O164" s="101"/>
    </row>
    <row r="165" customFormat="false" ht="14.25" hidden="false" customHeight="true" outlineLevel="0" collapsed="false">
      <c r="A165" s="94" t="n">
        <v>161</v>
      </c>
      <c r="B165" s="95" t="s">
        <v>294</v>
      </c>
      <c r="C165" s="94" t="s">
        <v>521</v>
      </c>
      <c r="D165" s="95"/>
      <c r="E165" s="95" t="n">
        <v>4</v>
      </c>
      <c r="F165" s="97" t="s">
        <v>525</v>
      </c>
      <c r="G165" s="94" t="s">
        <v>245</v>
      </c>
      <c r="H165" s="95" t="s">
        <v>214</v>
      </c>
      <c r="I165" s="95" t="s">
        <v>315</v>
      </c>
      <c r="J165" s="98" t="n">
        <v>1</v>
      </c>
      <c r="K165" s="96" t="s">
        <v>354</v>
      </c>
      <c r="L165" s="99" t="n">
        <v>1</v>
      </c>
      <c r="M165" s="100" t="s">
        <v>317</v>
      </c>
      <c r="N165" s="94"/>
      <c r="O165" s="101"/>
    </row>
    <row r="166" customFormat="false" ht="22.5" hidden="false" customHeight="true" outlineLevel="0" collapsed="false">
      <c r="A166" s="94" t="n">
        <v>162</v>
      </c>
      <c r="B166" s="95" t="s">
        <v>294</v>
      </c>
      <c r="C166" s="94" t="s">
        <v>521</v>
      </c>
      <c r="D166" s="95"/>
      <c r="E166" s="95" t="n">
        <v>5</v>
      </c>
      <c r="F166" s="97" t="s">
        <v>526</v>
      </c>
      <c r="G166" s="94" t="s">
        <v>245</v>
      </c>
      <c r="H166" s="95" t="s">
        <v>214</v>
      </c>
      <c r="I166" s="95" t="s">
        <v>315</v>
      </c>
      <c r="J166" s="98" t="n">
        <v>1</v>
      </c>
      <c r="K166" s="96" t="s">
        <v>356</v>
      </c>
      <c r="L166" s="99" t="n">
        <v>1</v>
      </c>
      <c r="M166" s="100" t="s">
        <v>317</v>
      </c>
      <c r="N166" s="94"/>
      <c r="O166" s="101"/>
    </row>
    <row r="167" customFormat="false" ht="22.5" hidden="false" customHeight="true" outlineLevel="0" collapsed="false">
      <c r="A167" s="94" t="n">
        <v>163</v>
      </c>
      <c r="B167" s="95" t="s">
        <v>294</v>
      </c>
      <c r="C167" s="94" t="s">
        <v>521</v>
      </c>
      <c r="D167" s="95"/>
      <c r="E167" s="95" t="n">
        <v>6</v>
      </c>
      <c r="F167" s="97" t="s">
        <v>527</v>
      </c>
      <c r="G167" s="94" t="s">
        <v>245</v>
      </c>
      <c r="H167" s="95" t="s">
        <v>214</v>
      </c>
      <c r="I167" s="95" t="s">
        <v>315</v>
      </c>
      <c r="J167" s="98" t="n">
        <v>1</v>
      </c>
      <c r="K167" s="96" t="s">
        <v>358</v>
      </c>
      <c r="L167" s="99" t="n">
        <v>1</v>
      </c>
      <c r="M167" s="100" t="s">
        <v>317</v>
      </c>
      <c r="N167" s="94"/>
      <c r="O167" s="101"/>
    </row>
    <row r="168" customFormat="false" ht="14.25" hidden="false" customHeight="true" outlineLevel="0" collapsed="false">
      <c r="A168" s="94" t="n">
        <v>164</v>
      </c>
      <c r="B168" s="95" t="s">
        <v>296</v>
      </c>
      <c r="C168" s="94" t="s">
        <v>528</v>
      </c>
      <c r="D168" s="95"/>
      <c r="E168" s="95" t="n">
        <v>1</v>
      </c>
      <c r="F168" s="97" t="s">
        <v>529</v>
      </c>
      <c r="G168" s="94" t="s">
        <v>260</v>
      </c>
      <c r="H168" s="95" t="s">
        <v>214</v>
      </c>
      <c r="I168" s="95" t="s">
        <v>315</v>
      </c>
      <c r="J168" s="98" t="n">
        <v>1</v>
      </c>
      <c r="K168" s="96" t="s">
        <v>387</v>
      </c>
      <c r="L168" s="99" t="n">
        <v>1</v>
      </c>
      <c r="M168" s="100" t="s">
        <v>317</v>
      </c>
      <c r="N168" s="94"/>
      <c r="O168" s="101"/>
    </row>
    <row r="169" customFormat="false" ht="14.25" hidden="false" customHeight="true" outlineLevel="0" collapsed="false">
      <c r="A169" s="94" t="n">
        <v>165</v>
      </c>
      <c r="B169" s="95" t="s">
        <v>296</v>
      </c>
      <c r="C169" s="94" t="s">
        <v>528</v>
      </c>
      <c r="D169" s="95"/>
      <c r="E169" s="95" t="n">
        <v>2</v>
      </c>
      <c r="F169" s="97" t="s">
        <v>530</v>
      </c>
      <c r="G169" s="94" t="s">
        <v>260</v>
      </c>
      <c r="H169" s="95" t="s">
        <v>214</v>
      </c>
      <c r="I169" s="95" t="s">
        <v>315</v>
      </c>
      <c r="J169" s="98" t="n">
        <v>1</v>
      </c>
      <c r="K169" s="96" t="s">
        <v>319</v>
      </c>
      <c r="L169" s="99" t="n">
        <v>1</v>
      </c>
      <c r="M169" s="100" t="s">
        <v>317</v>
      </c>
      <c r="N169" s="94"/>
      <c r="O169" s="101"/>
    </row>
    <row r="170" customFormat="false" ht="22.5" hidden="false" customHeight="true" outlineLevel="0" collapsed="false">
      <c r="A170" s="94" t="n">
        <v>166</v>
      </c>
      <c r="B170" s="95" t="s">
        <v>296</v>
      </c>
      <c r="C170" s="94" t="s">
        <v>528</v>
      </c>
      <c r="D170" s="95"/>
      <c r="E170" s="95" t="n">
        <v>3</v>
      </c>
      <c r="F170" s="97" t="s">
        <v>531</v>
      </c>
      <c r="G170" s="94" t="s">
        <v>260</v>
      </c>
      <c r="H170" s="95" t="s">
        <v>214</v>
      </c>
      <c r="I170" s="95" t="s">
        <v>315</v>
      </c>
      <c r="J170" s="98" t="n">
        <v>1</v>
      </c>
      <c r="K170" s="96" t="s">
        <v>321</v>
      </c>
      <c r="L170" s="99" t="n">
        <v>1</v>
      </c>
      <c r="M170" s="100" t="s">
        <v>317</v>
      </c>
      <c r="N170" s="94"/>
      <c r="O170" s="101"/>
    </row>
    <row r="171" customFormat="false" ht="14.25" hidden="false" customHeight="true" outlineLevel="0" collapsed="false">
      <c r="A171" s="94" t="n">
        <v>167</v>
      </c>
      <c r="B171" s="95" t="s">
        <v>296</v>
      </c>
      <c r="C171" s="94" t="s">
        <v>528</v>
      </c>
      <c r="D171" s="95"/>
      <c r="E171" s="95" t="n">
        <v>4</v>
      </c>
      <c r="F171" s="97" t="s">
        <v>532</v>
      </c>
      <c r="G171" s="94" t="s">
        <v>326</v>
      </c>
      <c r="H171" s="95" t="s">
        <v>214</v>
      </c>
      <c r="I171" s="95" t="s">
        <v>315</v>
      </c>
      <c r="J171" s="98" t="n">
        <v>1</v>
      </c>
      <c r="K171" s="96" t="s">
        <v>398</v>
      </c>
      <c r="L171" s="99" t="n">
        <v>0.8</v>
      </c>
      <c r="M171" s="100" t="s">
        <v>328</v>
      </c>
      <c r="N171" s="94"/>
      <c r="O171" s="101"/>
    </row>
    <row r="172" customFormat="false" ht="22.5" hidden="false" customHeight="true" outlineLevel="0" collapsed="false">
      <c r="A172" s="94" t="n">
        <v>168</v>
      </c>
      <c r="B172" s="95" t="s">
        <v>296</v>
      </c>
      <c r="C172" s="94" t="s">
        <v>528</v>
      </c>
      <c r="D172" s="95"/>
      <c r="E172" s="95" t="n">
        <v>5</v>
      </c>
      <c r="F172" s="97" t="s">
        <v>533</v>
      </c>
      <c r="G172" s="94" t="s">
        <v>326</v>
      </c>
      <c r="H172" s="95" t="s">
        <v>214</v>
      </c>
      <c r="I172" s="95" t="s">
        <v>315</v>
      </c>
      <c r="J172" s="98" t="n">
        <v>1</v>
      </c>
      <c r="K172" s="96" t="s">
        <v>327</v>
      </c>
      <c r="L172" s="99" t="n">
        <v>0.8</v>
      </c>
      <c r="M172" s="100" t="s">
        <v>328</v>
      </c>
      <c r="N172" s="94"/>
      <c r="O172" s="101"/>
    </row>
    <row r="173" customFormat="false" ht="14.25" hidden="false" customHeight="true" outlineLevel="0" collapsed="false">
      <c r="A173" s="94" t="n">
        <v>169</v>
      </c>
      <c r="B173" s="95" t="s">
        <v>296</v>
      </c>
      <c r="C173" s="94" t="s">
        <v>528</v>
      </c>
      <c r="D173" s="95"/>
      <c r="E173" s="95" t="n">
        <v>6</v>
      </c>
      <c r="F173" s="97" t="s">
        <v>534</v>
      </c>
      <c r="G173" s="94" t="s">
        <v>326</v>
      </c>
      <c r="H173" s="95" t="s">
        <v>214</v>
      </c>
      <c r="I173" s="95" t="s">
        <v>315</v>
      </c>
      <c r="J173" s="98" t="n">
        <v>1</v>
      </c>
      <c r="K173" s="96" t="s">
        <v>373</v>
      </c>
      <c r="L173" s="99" t="n">
        <v>0.8</v>
      </c>
      <c r="M173" s="100" t="s">
        <v>328</v>
      </c>
      <c r="N173" s="94"/>
      <c r="O173" s="101"/>
    </row>
    <row r="174" customFormat="false" ht="14.25" hidden="false" customHeight="true" outlineLevel="0" collapsed="false">
      <c r="A174" s="94" t="n">
        <v>170</v>
      </c>
      <c r="B174" s="95" t="s">
        <v>298</v>
      </c>
      <c r="C174" s="94" t="s">
        <v>535</v>
      </c>
      <c r="D174" s="95"/>
      <c r="E174" s="95" t="n">
        <v>1</v>
      </c>
      <c r="F174" s="97" t="s">
        <v>536</v>
      </c>
      <c r="G174" s="94" t="s">
        <v>326</v>
      </c>
      <c r="H174" s="95" t="s">
        <v>214</v>
      </c>
      <c r="I174" s="95" t="s">
        <v>315</v>
      </c>
      <c r="J174" s="98" t="n">
        <v>1</v>
      </c>
      <c r="K174" s="96" t="s">
        <v>426</v>
      </c>
      <c r="L174" s="99" t="n">
        <v>0.8</v>
      </c>
      <c r="M174" s="100" t="s">
        <v>328</v>
      </c>
      <c r="N174" s="94"/>
      <c r="O174" s="101"/>
    </row>
    <row r="175" customFormat="false" ht="14.25" hidden="false" customHeight="true" outlineLevel="0" collapsed="false">
      <c r="A175" s="94" t="n">
        <v>171</v>
      </c>
      <c r="B175" s="95" t="s">
        <v>298</v>
      </c>
      <c r="C175" s="94" t="s">
        <v>535</v>
      </c>
      <c r="D175" s="95"/>
      <c r="E175" s="95" t="n">
        <v>2</v>
      </c>
      <c r="F175" s="97" t="s">
        <v>530</v>
      </c>
      <c r="G175" s="94" t="s">
        <v>326</v>
      </c>
      <c r="H175" s="95" t="s">
        <v>214</v>
      </c>
      <c r="I175" s="95" t="s">
        <v>315</v>
      </c>
      <c r="J175" s="98" t="n">
        <v>1</v>
      </c>
      <c r="K175" s="96" t="s">
        <v>428</v>
      </c>
      <c r="L175" s="99" t="n">
        <v>0.8</v>
      </c>
      <c r="M175" s="100" t="s">
        <v>328</v>
      </c>
      <c r="N175" s="94"/>
      <c r="O175" s="101"/>
    </row>
    <row r="176" customFormat="false" ht="22.5" hidden="false" customHeight="true" outlineLevel="0" collapsed="false">
      <c r="A176" s="94" t="n">
        <v>172</v>
      </c>
      <c r="B176" s="95" t="s">
        <v>298</v>
      </c>
      <c r="C176" s="94" t="s">
        <v>535</v>
      </c>
      <c r="D176" s="95"/>
      <c r="E176" s="95" t="n">
        <v>3</v>
      </c>
      <c r="F176" s="97" t="s">
        <v>537</v>
      </c>
      <c r="G176" s="94" t="s">
        <v>326</v>
      </c>
      <c r="H176" s="95" t="s">
        <v>214</v>
      </c>
      <c r="I176" s="95" t="s">
        <v>315</v>
      </c>
      <c r="J176" s="98" t="n">
        <v>1</v>
      </c>
      <c r="K176" s="96" t="s">
        <v>422</v>
      </c>
      <c r="L176" s="99" t="n">
        <v>0.8</v>
      </c>
      <c r="M176" s="100" t="s">
        <v>328</v>
      </c>
      <c r="N176" s="94"/>
      <c r="O176" s="101"/>
    </row>
    <row r="177" customFormat="false" ht="14.25" hidden="false" customHeight="true" outlineLevel="0" collapsed="false">
      <c r="A177" s="94" t="n">
        <v>173</v>
      </c>
      <c r="B177" s="95" t="s">
        <v>298</v>
      </c>
      <c r="C177" s="94" t="s">
        <v>535</v>
      </c>
      <c r="D177" s="95"/>
      <c r="E177" s="95" t="n">
        <v>4</v>
      </c>
      <c r="F177" s="97" t="s">
        <v>538</v>
      </c>
      <c r="G177" s="94" t="s">
        <v>280</v>
      </c>
      <c r="H177" s="95" t="s">
        <v>214</v>
      </c>
      <c r="I177" s="95" t="s">
        <v>315</v>
      </c>
      <c r="J177" s="98" t="n">
        <v>1</v>
      </c>
      <c r="K177" s="96" t="s">
        <v>433</v>
      </c>
      <c r="L177" s="99" t="n">
        <v>0.05</v>
      </c>
      <c r="M177" s="100" t="s">
        <v>340</v>
      </c>
      <c r="N177" s="94"/>
      <c r="O177" s="101"/>
    </row>
    <row r="178" customFormat="false" ht="22.5" hidden="false" customHeight="true" outlineLevel="0" collapsed="false">
      <c r="A178" s="94" t="n">
        <v>174</v>
      </c>
      <c r="B178" s="95" t="s">
        <v>298</v>
      </c>
      <c r="C178" s="94" t="s">
        <v>535</v>
      </c>
      <c r="D178" s="95"/>
      <c r="E178" s="95" t="n">
        <v>5</v>
      </c>
      <c r="F178" s="97" t="s">
        <v>539</v>
      </c>
      <c r="G178" s="94" t="s">
        <v>280</v>
      </c>
      <c r="H178" s="95" t="s">
        <v>214</v>
      </c>
      <c r="I178" s="95" t="s">
        <v>315</v>
      </c>
      <c r="J178" s="98" t="n">
        <v>1</v>
      </c>
      <c r="K178" s="96" t="s">
        <v>435</v>
      </c>
      <c r="L178" s="99" t="n">
        <v>0.05</v>
      </c>
      <c r="M178" s="100" t="s">
        <v>340</v>
      </c>
      <c r="N178" s="94"/>
      <c r="O178" s="101"/>
    </row>
    <row r="179" customFormat="false" ht="22.5" hidden="false" customHeight="true" outlineLevel="0" collapsed="false">
      <c r="A179" s="94" t="n">
        <v>175</v>
      </c>
      <c r="B179" s="95" t="s">
        <v>298</v>
      </c>
      <c r="C179" s="94" t="s">
        <v>535</v>
      </c>
      <c r="D179" s="95"/>
      <c r="E179" s="95" t="n">
        <v>6</v>
      </c>
      <c r="F179" s="97" t="s">
        <v>540</v>
      </c>
      <c r="G179" s="94" t="s">
        <v>280</v>
      </c>
      <c r="H179" s="95" t="s">
        <v>214</v>
      </c>
      <c r="I179" s="95" t="s">
        <v>315</v>
      </c>
      <c r="J179" s="98" t="n">
        <v>1</v>
      </c>
      <c r="K179" s="96" t="s">
        <v>512</v>
      </c>
      <c r="L179" s="99" t="n">
        <v>0.05</v>
      </c>
      <c r="M179" s="100" t="s">
        <v>340</v>
      </c>
      <c r="N179" s="94"/>
      <c r="O179" s="101"/>
    </row>
  </sheetData>
  <dataValidations count="3">
    <dataValidation allowBlank="true" errorStyle="stop" operator="between" showDropDown="false" showErrorMessage="false" showInputMessage="false" sqref="H5:H179" type="list">
      <formula1>"Discrete,LOE"</formula1>
      <formula2>0</formula2>
    </dataValidation>
    <dataValidation allowBlank="true" errorStyle="stop" operator="between" showDropDown="false" showErrorMessage="false" showInputMessage="false" sqref="I5:I179" type="list">
      <formula1>"Y,N"</formula1>
      <formula2>0</formula2>
    </dataValidation>
    <dataValidation allowBlank="true" errorStyle="stop" operator="between" showDropDown="false" showErrorMessage="false" showInputMessage="false" sqref="M5:M179" type="list">
      <formula1>"미착수,진행중,검토중,완료"</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J1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328125" defaultRowHeight="14.25" zeroHeight="false" outlineLevelRow="0" outlineLevelCol="0"/>
  <cols>
    <col collapsed="false" customWidth="true" hidden="false" outlineLevel="0" max="1" min="1" style="29" width="22"/>
    <col collapsed="false" customWidth="true" hidden="false" outlineLevel="0" max="2" min="2" style="29" width="16"/>
    <col collapsed="false" customWidth="true" hidden="false" outlineLevel="0" max="3" min="3" style="29" width="14"/>
    <col collapsed="false" customWidth="true" hidden="false" outlineLevel="0" max="4" min="4" style="29" width="10"/>
    <col collapsed="false" customWidth="true" hidden="false" outlineLevel="0" max="5" min="5" style="29" width="12"/>
    <col collapsed="false" customWidth="true" hidden="false" outlineLevel="0" max="8" min="6" style="29" width="18"/>
    <col collapsed="false" customWidth="true" hidden="false" outlineLevel="0" max="9" min="9" style="29" width="45"/>
  </cols>
  <sheetData>
    <row r="4" customFormat="false" ht="15" hidden="false" customHeight="true" outlineLevel="0" collapsed="false">
      <c r="A4" s="56" t="s">
        <v>541</v>
      </c>
      <c r="B4" s="64" t="s">
        <v>542</v>
      </c>
      <c r="C4" s="64" t="s">
        <v>543</v>
      </c>
      <c r="D4" s="56" t="s">
        <v>544</v>
      </c>
      <c r="E4" s="56" t="s">
        <v>545</v>
      </c>
      <c r="F4" s="56" t="s">
        <v>546</v>
      </c>
      <c r="G4" s="56" t="s">
        <v>547</v>
      </c>
      <c r="H4" s="56" t="s">
        <v>548</v>
      </c>
      <c r="I4" s="56" t="s">
        <v>549</v>
      </c>
      <c r="J4" s="56" t="s">
        <v>550</v>
      </c>
    </row>
    <row r="5" customFormat="false" ht="45" hidden="false" customHeight="true" outlineLevel="0" collapsed="false">
      <c r="A5" s="106" t="s">
        <v>245</v>
      </c>
      <c r="B5" s="106" t="n">
        <f aca="false">COUNTIFS(WP_상세!$G$5:$G$500,A5,WP_상세!$H$5:$H$500,"Discrete")</f>
        <v>63</v>
      </c>
      <c r="C5" s="106" t="n">
        <f aca="false">COUNTIFS(WP_상세!$G$5:$G$500,A5,WP_상세!$H$5:$H$500,"LOE")</f>
        <v>0</v>
      </c>
      <c r="D5" s="106" t="n">
        <f aca="false">B5+C5</f>
        <v>63</v>
      </c>
      <c r="E5" s="107" t="n">
        <f aca="false">IF($D$11=0,0,D5/$D$11)</f>
        <v>0.36</v>
      </c>
      <c r="F5" s="108" t="n">
        <f aca="false">IFERROR(B5/SUM($B$5:$B$9),0)</f>
        <v>0.43448275862069</v>
      </c>
      <c r="G5" s="109" t="n">
        <f aca="false">계획곡선_보정!H184</f>
        <v>48.12</v>
      </c>
      <c r="H5" s="108" t="n">
        <f aca="false">IFERROR(G5/$G$13,0)</f>
        <v>0.331862068965517</v>
      </c>
      <c r="I5" s="110" t="n">
        <f aca="false">H5-F5</f>
        <v>-0.102620689655172</v>
      </c>
      <c r="J5" s="111" t="s">
        <v>551</v>
      </c>
    </row>
    <row r="6" customFormat="false" ht="45" hidden="false" customHeight="true" outlineLevel="0" collapsed="false">
      <c r="A6" s="106" t="s">
        <v>260</v>
      </c>
      <c r="B6" s="106" t="n">
        <f aca="false">COUNTIFS(WP_상세!$G$5:$G$500,A6,WP_상세!$H$5:$H$500,"Discrete")</f>
        <v>35</v>
      </c>
      <c r="C6" s="106" t="n">
        <f aca="false">COUNTIFS(WP_상세!$G$5:$G$500,A6,WP_상세!$H$5:$H$500,"LOE")</f>
        <v>11</v>
      </c>
      <c r="D6" s="106" t="n">
        <f aca="false">B6+C6</f>
        <v>46</v>
      </c>
      <c r="E6" s="107" t="n">
        <f aca="false">IF($D$11=0,0,D6/$D$11)</f>
        <v>0.262857142857143</v>
      </c>
      <c r="F6" s="108" t="n">
        <f aca="false">IFERROR(B6/SUM($B$5:$B$9),0)</f>
        <v>0.241379310344828</v>
      </c>
      <c r="G6" s="109" t="n">
        <f aca="false">계획곡선_보정!I184</f>
        <v>36.02</v>
      </c>
      <c r="H6" s="108" t="n">
        <f aca="false">IFERROR(G6/$G$13,0)</f>
        <v>0.248413793103448</v>
      </c>
      <c r="I6" s="110" t="n">
        <f aca="false">H6-F6</f>
        <v>0.0070344827586207</v>
      </c>
      <c r="J6" s="40" t="s">
        <v>552</v>
      </c>
    </row>
    <row r="7" customFormat="false" ht="45" hidden="false" customHeight="true" outlineLevel="0" collapsed="false">
      <c r="A7" s="106" t="s">
        <v>326</v>
      </c>
      <c r="B7" s="106" t="n">
        <f aca="false">COUNTIFS(WP_상세!$G$5:$G$500,A7,WP_상세!$H$5:$H$500,"Discrete")</f>
        <v>29</v>
      </c>
      <c r="C7" s="106" t="n">
        <f aca="false">COUNTIFS(WP_상세!$G$5:$G$500,A7,WP_상세!$H$5:$H$500,"LOE")</f>
        <v>11</v>
      </c>
      <c r="D7" s="106" t="n">
        <f aca="false">B7+C7</f>
        <v>40</v>
      </c>
      <c r="E7" s="107" t="n">
        <f aca="false">IF($D$11=0,0,D7/$D$11)</f>
        <v>0.228571428571429</v>
      </c>
      <c r="F7" s="108" t="n">
        <f aca="false">IFERROR(B7/SUM($B$5:$B$9),0)</f>
        <v>0.2</v>
      </c>
      <c r="G7" s="109" t="n">
        <f aca="false">계획곡선_보정!J184</f>
        <v>33.62</v>
      </c>
      <c r="H7" s="108" t="n">
        <f aca="false">IFERROR(G7/$G$13,0)</f>
        <v>0.231862068965517</v>
      </c>
      <c r="I7" s="110" t="n">
        <f aca="false">H7-F7</f>
        <v>0.0318620689655172</v>
      </c>
      <c r="J7" s="111" t="s">
        <v>553</v>
      </c>
    </row>
    <row r="8" customFormat="false" ht="45" hidden="false" customHeight="true" outlineLevel="0" collapsed="false">
      <c r="A8" s="106" t="s">
        <v>280</v>
      </c>
      <c r="B8" s="106" t="n">
        <f aca="false">COUNTIFS(WP_상세!$G$5:$G$500,A8,WP_상세!$H$5:$H$500,"Discrete")</f>
        <v>18</v>
      </c>
      <c r="C8" s="106" t="n">
        <f aca="false">COUNTIFS(WP_상세!$G$5:$G$500,A8,WP_상세!$H$5:$H$500,"LOE")</f>
        <v>0</v>
      </c>
      <c r="D8" s="106" t="n">
        <f aca="false">B8+C8</f>
        <v>18</v>
      </c>
      <c r="E8" s="107" t="n">
        <f aca="false">IF($D$11=0,0,D8/$D$11)</f>
        <v>0.102857142857143</v>
      </c>
      <c r="F8" s="108" t="n">
        <f aca="false">IFERROR(B8/SUM($B$5:$B$9),0)</f>
        <v>0.124137931034483</v>
      </c>
      <c r="G8" s="109" t="n">
        <f aca="false">계획곡선_보정!K184</f>
        <v>22.62</v>
      </c>
      <c r="H8" s="108" t="n">
        <f aca="false">IFERROR(G8/$G$13,0)</f>
        <v>0.156</v>
      </c>
      <c r="I8" s="110" t="n">
        <f aca="false">H8-F8</f>
        <v>0.0318620689655172</v>
      </c>
      <c r="J8" s="111" t="s">
        <v>553</v>
      </c>
    </row>
    <row r="9" customFormat="false" ht="45" hidden="false" customHeight="true" outlineLevel="0" collapsed="false">
      <c r="A9" s="106" t="s">
        <v>554</v>
      </c>
      <c r="B9" s="106" t="n">
        <f aca="false">COUNTIFS(WP_상세!$G$5:$G$500,A9,WP_상세!$H$5:$H$500,"Discrete")</f>
        <v>0</v>
      </c>
      <c r="C9" s="106" t="n">
        <f aca="false">COUNTIFS(WP_상세!$G$5:$G$500,A9,WP_상세!$H$5:$H$500,"LOE")</f>
        <v>0</v>
      </c>
      <c r="D9" s="106" t="n">
        <f aca="false">B9+C9</f>
        <v>0</v>
      </c>
      <c r="E9" s="107" t="n">
        <f aca="false">IF($D$11=0,0,D9/$D$11)</f>
        <v>0</v>
      </c>
      <c r="F9" s="108" t="n">
        <f aca="false">IFERROR(B9/SUM($B$5:$B$9),0)</f>
        <v>0</v>
      </c>
      <c r="G9" s="109" t="n">
        <f aca="false">계획곡선_보정!L184</f>
        <v>4.62</v>
      </c>
      <c r="H9" s="108" t="n">
        <f aca="false">IFERROR(G9/$G$13,0)</f>
        <v>0.0318620689655172</v>
      </c>
      <c r="I9" s="110" t="n">
        <f aca="false">H9-F9</f>
        <v>0.0318620689655172</v>
      </c>
      <c r="J9" s="111" t="s">
        <v>555</v>
      </c>
    </row>
    <row r="10" customFormat="false" ht="45" hidden="false" customHeight="true" outlineLevel="0" collapsed="false">
      <c r="A10" s="72" t="s">
        <v>330</v>
      </c>
      <c r="B10" s="106" t="n">
        <f aca="false">COUNTIFS(WP_상세!$G$5:$G$500,A10,WP_상세!$H$5:$H$500,"Discrete")</f>
        <v>8</v>
      </c>
      <c r="C10" s="106" t="n">
        <f aca="false">COUNTIFS(WP_상세!$G$5:$G$500,A10,WP_상세!$H$5:$H$500,"LOE")</f>
        <v>0</v>
      </c>
      <c r="D10" s="106" t="n">
        <f aca="false">B10+C10</f>
        <v>8</v>
      </c>
      <c r="E10" s="107" t="n">
        <f aca="false">IF($D$11=0,0,D10/$D$11)</f>
        <v>0.0457142857142857</v>
      </c>
      <c r="F10" s="112" t="s">
        <v>556</v>
      </c>
      <c r="G10" s="72" t="s">
        <v>556</v>
      </c>
      <c r="H10" s="72" t="s">
        <v>556</v>
      </c>
      <c r="I10" s="72" t="s">
        <v>556</v>
      </c>
      <c r="J10" s="111" t="s">
        <v>557</v>
      </c>
    </row>
    <row r="11" customFormat="false" ht="14.25" hidden="false" customHeight="true" outlineLevel="0" collapsed="false">
      <c r="A11" s="60" t="s">
        <v>544</v>
      </c>
      <c r="B11" s="60" t="n">
        <f aca="false">SUM(B5:B10)</f>
        <v>153</v>
      </c>
      <c r="C11" s="60" t="n">
        <f aca="false">SUM(C5:C10)</f>
        <v>22</v>
      </c>
      <c r="D11" s="60" t="n">
        <f aca="false">SUM(D5:D10)</f>
        <v>175</v>
      </c>
      <c r="E11" s="9"/>
    </row>
    <row r="13" customFormat="false" ht="16.5" hidden="false" customHeight="true" outlineLevel="0" collapsed="false">
      <c r="A13" s="113" t="s">
        <v>558</v>
      </c>
      <c r="G13" s="114" t="n">
        <f aca="false">계획곡선_보정!H184+계획곡선_보정!I184+계획곡선_보정!J184+계획곡선_보정!K184+계획곡선_보정!L184</f>
        <v>145</v>
      </c>
    </row>
    <row r="15" customFormat="false" ht="30" hidden="false" customHeight="true" outlineLevel="0" collapsed="false">
      <c r="A15" s="115" t="s">
        <v>559</v>
      </c>
      <c r="B15" s="115"/>
      <c r="C15" s="115"/>
      <c r="D15" s="115"/>
      <c r="E15" s="115"/>
      <c r="F15" s="115"/>
      <c r="G15" s="115"/>
      <c r="H15" s="115"/>
      <c r="I15" s="115"/>
    </row>
  </sheetData>
  <mergeCells count="1">
    <mergeCell ref="A15:I15"/>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F7"/>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328125" defaultRowHeight="14.25" zeroHeight="false" outlineLevelRow="0" outlineLevelCol="0"/>
  <cols>
    <col collapsed="false" customWidth="true" hidden="false" outlineLevel="0" max="1" min="1" style="29" width="26"/>
    <col collapsed="false" customWidth="true" hidden="false" outlineLevel="0" max="2" min="2" style="29" width="14"/>
    <col collapsed="false" customWidth="true" hidden="false" outlineLevel="0" max="3" min="3" style="29" width="34"/>
    <col collapsed="false" customWidth="true" hidden="false" outlineLevel="0" max="4" min="4" style="29" width="20"/>
    <col collapsed="false" customWidth="true" hidden="false" outlineLevel="0" max="5" min="5" style="29" width="14"/>
    <col collapsed="false" customWidth="true" hidden="false" outlineLevel="0" max="6" min="6" style="29" width="34"/>
  </cols>
  <sheetData>
    <row r="4" customFormat="false" ht="15" hidden="false" customHeight="true" outlineLevel="0" collapsed="false">
      <c r="A4" s="64" t="s">
        <v>560</v>
      </c>
      <c r="B4" s="56" t="s">
        <v>561</v>
      </c>
      <c r="C4" s="56" t="s">
        <v>562</v>
      </c>
      <c r="D4" s="56" t="s">
        <v>563</v>
      </c>
      <c r="E4" s="56" t="s">
        <v>564</v>
      </c>
      <c r="F4" s="56" t="s">
        <v>10</v>
      </c>
    </row>
    <row r="5" customFormat="false" ht="25.5" hidden="false" customHeight="true" outlineLevel="0" collapsed="false">
      <c r="A5" s="116" t="s">
        <v>565</v>
      </c>
      <c r="B5" s="117" t="s">
        <v>125</v>
      </c>
      <c r="C5" s="116" t="s">
        <v>566</v>
      </c>
      <c r="D5" s="116" t="s">
        <v>567</v>
      </c>
      <c r="E5" s="118"/>
      <c r="F5" s="117" t="s">
        <v>568</v>
      </c>
    </row>
    <row r="6" customFormat="false" ht="15" hidden="false" customHeight="true" outlineLevel="0" collapsed="false">
      <c r="A6" s="116" t="s">
        <v>569</v>
      </c>
      <c r="B6" s="117" t="s">
        <v>570</v>
      </c>
      <c r="C6" s="116" t="s">
        <v>571</v>
      </c>
      <c r="D6" s="116" t="s">
        <v>572</v>
      </c>
      <c r="E6" s="118"/>
      <c r="F6" s="117" t="s">
        <v>573</v>
      </c>
    </row>
    <row r="7" customFormat="false" ht="25.5" hidden="false" customHeight="true" outlineLevel="0" collapsed="false">
      <c r="A7" s="117" t="s">
        <v>574</v>
      </c>
      <c r="B7" s="117" t="s">
        <v>125</v>
      </c>
      <c r="C7" s="117" t="s">
        <v>575</v>
      </c>
      <c r="D7" s="116" t="s">
        <v>576</v>
      </c>
      <c r="E7" s="118"/>
      <c r="F7" s="116" t="s">
        <v>577</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4:M5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328125" defaultRowHeight="14.25" zeroHeight="false" outlineLevelRow="0" outlineLevelCol="0"/>
  <cols>
    <col collapsed="false" customWidth="true" hidden="false" outlineLevel="0" max="1" min="1" style="29" width="3"/>
    <col collapsed="false" customWidth="true" hidden="false" outlineLevel="0" max="2" min="2" style="29" width="22"/>
    <col collapsed="false" customWidth="true" hidden="false" outlineLevel="0" max="13" min="3" style="29" width="14"/>
  </cols>
  <sheetData>
    <row r="4" customFormat="false" ht="16.5" hidden="false" customHeight="true" outlineLevel="0" collapsed="false">
      <c r="B4" s="119" t="s">
        <v>578</v>
      </c>
      <c r="C4" s="120" t="s">
        <v>579</v>
      </c>
      <c r="D4" s="121" t="s">
        <v>580</v>
      </c>
      <c r="E4" s="121"/>
      <c r="F4" s="121"/>
      <c r="G4" s="121"/>
      <c r="H4" s="121"/>
      <c r="I4" s="121"/>
      <c r="J4" s="121"/>
      <c r="K4" s="121"/>
      <c r="L4" s="121"/>
      <c r="M4" s="9"/>
    </row>
    <row r="5" customFormat="false" ht="14.25" hidden="false" customHeight="true" outlineLevel="0" collapsed="false">
      <c r="B5" s="9"/>
      <c r="C5" s="9"/>
      <c r="D5" s="9"/>
      <c r="E5" s="9"/>
      <c r="F5" s="9"/>
      <c r="G5" s="9"/>
      <c r="H5" s="9"/>
      <c r="I5" s="9"/>
      <c r="J5" s="9"/>
      <c r="K5" s="9"/>
      <c r="L5" s="9"/>
      <c r="M5" s="9"/>
    </row>
    <row r="6" customFormat="false" ht="25.5" hidden="false" customHeight="true" outlineLevel="0" collapsed="false">
      <c r="B6" s="56" t="s">
        <v>581</v>
      </c>
      <c r="C6" s="56" t="s">
        <v>221</v>
      </c>
      <c r="D6" s="56" t="s">
        <v>215</v>
      </c>
      <c r="E6" s="56" t="s">
        <v>209</v>
      </c>
      <c r="F6" s="56" t="s">
        <v>244</v>
      </c>
      <c r="G6" s="56" t="s">
        <v>255</v>
      </c>
      <c r="H6" s="64" t="s">
        <v>240</v>
      </c>
      <c r="I6" s="64" t="s">
        <v>264</v>
      </c>
      <c r="J6" s="56" t="s">
        <v>274</v>
      </c>
      <c r="K6" s="64" t="s">
        <v>292</v>
      </c>
      <c r="L6" s="56" t="s">
        <v>277</v>
      </c>
      <c r="M6" s="56" t="s">
        <v>582</v>
      </c>
    </row>
    <row r="7" customFormat="false" ht="25.5" hidden="false" customHeight="true" outlineLevel="0" collapsed="false">
      <c r="B7" s="116" t="s">
        <v>579</v>
      </c>
      <c r="C7" s="122" t="n">
        <v>0.18</v>
      </c>
      <c r="D7" s="122" t="n">
        <v>0.04</v>
      </c>
      <c r="E7" s="122" t="n">
        <v>0.08</v>
      </c>
      <c r="F7" s="122" t="n">
        <v>0.08</v>
      </c>
      <c r="G7" s="122" t="n">
        <v>0.06</v>
      </c>
      <c r="H7" s="122" t="n">
        <v>0.22</v>
      </c>
      <c r="I7" s="122" t="n">
        <v>0.2</v>
      </c>
      <c r="J7" s="122" t="n">
        <v>0.06</v>
      </c>
      <c r="K7" s="122" t="n">
        <v>0.06</v>
      </c>
      <c r="L7" s="122" t="n">
        <v>0.02</v>
      </c>
      <c r="M7" s="123" t="n">
        <f aca="false">SUM(C7:L7)</f>
        <v>1</v>
      </c>
    </row>
    <row r="8" customFormat="false" ht="25.5" hidden="false" customHeight="true" outlineLevel="0" collapsed="false">
      <c r="B8" s="116" t="s">
        <v>583</v>
      </c>
      <c r="C8" s="122" t="n">
        <v>0.14</v>
      </c>
      <c r="D8" s="122" t="n">
        <v>0.03</v>
      </c>
      <c r="E8" s="122" t="n">
        <v>0.18</v>
      </c>
      <c r="F8" s="122" t="n">
        <v>0.05</v>
      </c>
      <c r="G8" s="122" t="n">
        <v>0.03</v>
      </c>
      <c r="H8" s="122" t="n">
        <v>0.03</v>
      </c>
      <c r="I8" s="122" t="n">
        <v>0.45</v>
      </c>
      <c r="J8" s="122" t="n">
        <v>0.07</v>
      </c>
      <c r="K8" s="122" t="n">
        <v>0.02</v>
      </c>
      <c r="L8" s="122" t="n">
        <v>0</v>
      </c>
      <c r="M8" s="123" t="n">
        <f aca="false">SUM(C8:L8)</f>
        <v>1</v>
      </c>
    </row>
    <row r="9" customFormat="false" ht="39" hidden="false" customHeight="true" outlineLevel="0" collapsed="false">
      <c r="B9" s="117" t="s">
        <v>584</v>
      </c>
      <c r="C9" s="122" t="n">
        <v>0.18</v>
      </c>
      <c r="D9" s="122" t="n">
        <v>0.04</v>
      </c>
      <c r="E9" s="122" t="n">
        <v>0.1</v>
      </c>
      <c r="F9" s="122" t="n">
        <v>0.07</v>
      </c>
      <c r="G9" s="122" t="n">
        <v>0.05</v>
      </c>
      <c r="H9" s="122" t="n">
        <v>0.32</v>
      </c>
      <c r="I9" s="122" t="n">
        <v>0.08</v>
      </c>
      <c r="J9" s="122" t="n">
        <v>0.08</v>
      </c>
      <c r="K9" s="122" t="n">
        <v>0.06</v>
      </c>
      <c r="L9" s="122" t="n">
        <v>0.02</v>
      </c>
      <c r="M9" s="123" t="n">
        <f aca="false">SUM(C9:L9)</f>
        <v>1</v>
      </c>
    </row>
    <row r="10" customFormat="false" ht="14.25" hidden="false" customHeight="true" outlineLevel="0" collapsed="false">
      <c r="B10" s="9"/>
      <c r="C10" s="9"/>
      <c r="D10" s="9"/>
      <c r="E10" s="9"/>
      <c r="F10" s="9"/>
      <c r="G10" s="9"/>
      <c r="H10" s="9"/>
      <c r="I10" s="9"/>
      <c r="J10" s="9"/>
      <c r="K10" s="9"/>
      <c r="L10" s="9"/>
      <c r="M10" s="9"/>
    </row>
    <row r="11" customFormat="false" ht="14.25" hidden="false" customHeight="true" outlineLevel="0" collapsed="false">
      <c r="B11" s="92" t="s">
        <v>585</v>
      </c>
      <c r="C11" s="9"/>
      <c r="D11" s="9"/>
      <c r="E11" s="9"/>
      <c r="F11" s="9"/>
      <c r="G11" s="9"/>
      <c r="H11" s="9"/>
      <c r="I11" s="9"/>
      <c r="J11" s="9"/>
      <c r="K11" s="9"/>
      <c r="L11" s="9"/>
      <c r="M11" s="9"/>
    </row>
    <row r="12" customFormat="false" ht="30" hidden="false" customHeight="true" outlineLevel="0" collapsed="false">
      <c r="B12" s="124" t="s">
        <v>579</v>
      </c>
      <c r="C12" s="125" t="s">
        <v>586</v>
      </c>
      <c r="D12" s="125"/>
      <c r="E12" s="125"/>
      <c r="F12" s="125"/>
      <c r="G12" s="125"/>
      <c r="H12" s="125"/>
      <c r="I12" s="9"/>
      <c r="J12" s="9"/>
      <c r="K12" s="9"/>
      <c r="L12" s="9"/>
      <c r="M12" s="9"/>
    </row>
    <row r="13" customFormat="false" ht="30" hidden="false" customHeight="true" outlineLevel="0" collapsed="false">
      <c r="B13" s="124" t="s">
        <v>583</v>
      </c>
      <c r="C13" s="111" t="s">
        <v>587</v>
      </c>
      <c r="D13" s="111"/>
      <c r="E13" s="111"/>
      <c r="F13" s="111"/>
      <c r="G13" s="111"/>
      <c r="H13" s="111"/>
      <c r="I13" s="9"/>
      <c r="J13" s="9"/>
      <c r="K13" s="9"/>
      <c r="L13" s="9"/>
      <c r="M13" s="9"/>
    </row>
    <row r="14" customFormat="false" ht="30" hidden="false" customHeight="true" outlineLevel="0" collapsed="false">
      <c r="B14" s="126" t="s">
        <v>588</v>
      </c>
      <c r="C14" s="125" t="s">
        <v>589</v>
      </c>
      <c r="D14" s="125"/>
      <c r="E14" s="125"/>
      <c r="F14" s="125"/>
      <c r="G14" s="125"/>
      <c r="H14" s="125"/>
      <c r="I14" s="9"/>
      <c r="J14" s="9"/>
      <c r="K14" s="9"/>
      <c r="L14" s="9"/>
      <c r="M14" s="9"/>
    </row>
    <row r="15" customFormat="false" ht="14.25" hidden="false" customHeight="true" outlineLevel="0" collapsed="false">
      <c r="B15" s="9"/>
      <c r="C15" s="9"/>
      <c r="D15" s="9"/>
      <c r="E15" s="9"/>
      <c r="F15" s="9"/>
      <c r="G15" s="9"/>
      <c r="H15" s="9"/>
      <c r="I15" s="9"/>
      <c r="J15" s="9"/>
      <c r="K15" s="9"/>
      <c r="L15" s="9"/>
      <c r="M15" s="9"/>
    </row>
    <row r="16" customFormat="false" ht="14.25" hidden="false" customHeight="true" outlineLevel="0" collapsed="false">
      <c r="B16" s="9"/>
      <c r="C16" s="9"/>
      <c r="D16" s="9"/>
      <c r="E16" s="9"/>
      <c r="F16" s="9"/>
      <c r="G16" s="9"/>
      <c r="H16" s="9"/>
      <c r="I16" s="9"/>
      <c r="J16" s="9"/>
      <c r="K16" s="9"/>
      <c r="L16" s="9"/>
      <c r="M16" s="9"/>
    </row>
    <row r="17" customFormat="false" ht="14.25" hidden="false" customHeight="true" outlineLevel="0" collapsed="false">
      <c r="B17" s="9"/>
      <c r="C17" s="9"/>
      <c r="D17" s="9"/>
      <c r="E17" s="9"/>
      <c r="F17" s="9"/>
      <c r="G17" s="9"/>
      <c r="H17" s="9"/>
      <c r="I17" s="9"/>
      <c r="J17" s="9"/>
      <c r="K17" s="9"/>
      <c r="L17" s="9"/>
      <c r="M17" s="9"/>
    </row>
    <row r="18" customFormat="false" ht="14.25" hidden="false" customHeight="true" outlineLevel="0" collapsed="false">
      <c r="B18" s="92" t="s">
        <v>590</v>
      </c>
      <c r="C18" s="9"/>
      <c r="D18" s="9"/>
      <c r="E18" s="9"/>
      <c r="F18" s="9"/>
      <c r="G18" s="9"/>
      <c r="H18" s="9"/>
      <c r="I18" s="9"/>
      <c r="J18" s="9"/>
      <c r="K18" s="9"/>
      <c r="L18" s="9"/>
      <c r="M18" s="9"/>
    </row>
    <row r="19" customFormat="false" ht="60" hidden="false" customHeight="true" outlineLevel="0" collapsed="false">
      <c r="B19" s="127" t="s">
        <v>591</v>
      </c>
      <c r="C19" s="125" t="s">
        <v>592</v>
      </c>
      <c r="D19" s="125"/>
      <c r="E19" s="125"/>
      <c r="F19" s="125"/>
      <c r="G19" s="9"/>
      <c r="H19" s="9"/>
      <c r="I19" s="9"/>
      <c r="J19" s="9"/>
      <c r="K19" s="9"/>
      <c r="L19" s="9"/>
      <c r="M19" s="9"/>
    </row>
    <row r="20" customFormat="false" ht="60" hidden="false" customHeight="true" outlineLevel="0" collapsed="false">
      <c r="B20" s="127" t="s">
        <v>593</v>
      </c>
      <c r="C20" s="125" t="s">
        <v>594</v>
      </c>
      <c r="D20" s="125"/>
      <c r="E20" s="125"/>
      <c r="F20" s="125"/>
      <c r="G20" s="9"/>
      <c r="H20" s="9"/>
      <c r="I20" s="9"/>
      <c r="J20" s="9"/>
      <c r="K20" s="9"/>
      <c r="L20" s="9"/>
      <c r="M20" s="9"/>
    </row>
    <row r="21" customFormat="false" ht="60" hidden="false" customHeight="true" outlineLevel="0" collapsed="false">
      <c r="B21" s="127" t="s">
        <v>595</v>
      </c>
      <c r="C21" s="125" t="s">
        <v>596</v>
      </c>
      <c r="D21" s="125"/>
      <c r="E21" s="125"/>
      <c r="F21" s="125"/>
      <c r="G21" s="9"/>
      <c r="H21" s="9"/>
      <c r="I21" s="9"/>
      <c r="J21" s="9"/>
      <c r="K21" s="9"/>
      <c r="L21" s="9"/>
      <c r="M21" s="9"/>
    </row>
    <row r="22" customFormat="false" ht="60" hidden="false" customHeight="true" outlineLevel="0" collapsed="false">
      <c r="B22" s="39" t="s">
        <v>597</v>
      </c>
      <c r="C22" s="111" t="s">
        <v>598</v>
      </c>
      <c r="D22" s="111"/>
      <c r="E22" s="111"/>
      <c r="F22" s="111"/>
      <c r="G22" s="9"/>
      <c r="H22" s="9"/>
      <c r="I22" s="9"/>
      <c r="J22" s="9"/>
      <c r="K22" s="9"/>
      <c r="L22" s="9"/>
      <c r="M22" s="9"/>
    </row>
    <row r="23" customFormat="false" ht="60" hidden="false" customHeight="true" outlineLevel="0" collapsed="false">
      <c r="B23" s="127" t="s">
        <v>599</v>
      </c>
      <c r="C23" s="111" t="s">
        <v>600</v>
      </c>
      <c r="D23" s="111"/>
      <c r="E23" s="111"/>
      <c r="F23" s="111"/>
      <c r="G23" s="9"/>
      <c r="H23" s="9"/>
      <c r="I23" s="9"/>
      <c r="J23" s="9"/>
      <c r="K23" s="9"/>
      <c r="L23" s="9"/>
      <c r="M23" s="9"/>
    </row>
    <row r="24" customFormat="false" ht="60" hidden="false" customHeight="true" outlineLevel="0" collapsed="false">
      <c r="B24" s="39" t="s">
        <v>601</v>
      </c>
      <c r="C24" s="125" t="s">
        <v>602</v>
      </c>
      <c r="D24" s="125"/>
      <c r="E24" s="125"/>
      <c r="F24" s="125"/>
      <c r="G24" s="9"/>
      <c r="H24" s="9"/>
      <c r="I24" s="9"/>
      <c r="J24" s="9"/>
      <c r="K24" s="9"/>
      <c r="L24" s="9"/>
      <c r="M24" s="9"/>
    </row>
    <row r="25" customFormat="false" ht="60" hidden="false" customHeight="true" outlineLevel="0" collapsed="false">
      <c r="B25" s="39" t="s">
        <v>603</v>
      </c>
      <c r="C25" s="111" t="s">
        <v>604</v>
      </c>
      <c r="D25" s="111"/>
      <c r="E25" s="111"/>
      <c r="F25" s="111"/>
      <c r="G25" s="9"/>
      <c r="H25" s="9"/>
      <c r="I25" s="9"/>
      <c r="J25" s="9"/>
      <c r="K25" s="9"/>
      <c r="L25" s="9"/>
      <c r="M25" s="9"/>
    </row>
    <row r="26" customFormat="false" ht="60" hidden="false" customHeight="true" outlineLevel="0" collapsed="false">
      <c r="B26" s="39" t="s">
        <v>605</v>
      </c>
      <c r="C26" s="111" t="s">
        <v>606</v>
      </c>
      <c r="D26" s="111"/>
      <c r="E26" s="111"/>
      <c r="F26" s="111"/>
      <c r="G26" s="9"/>
      <c r="H26" s="9"/>
      <c r="I26" s="9"/>
      <c r="J26" s="9"/>
      <c r="K26" s="9"/>
      <c r="L26" s="9"/>
      <c r="M26" s="9"/>
    </row>
    <row r="27" customFormat="false" ht="60" hidden="false" customHeight="true" outlineLevel="0" collapsed="false">
      <c r="B27" s="39" t="s">
        <v>607</v>
      </c>
      <c r="C27" s="125" t="s">
        <v>608</v>
      </c>
      <c r="D27" s="125"/>
      <c r="E27" s="125"/>
      <c r="F27" s="125"/>
      <c r="G27" s="9"/>
      <c r="H27" s="9"/>
      <c r="I27" s="9"/>
      <c r="J27" s="9"/>
      <c r="K27" s="9"/>
      <c r="L27" s="9"/>
      <c r="M27" s="9"/>
    </row>
    <row r="28" customFormat="false" ht="14.25" hidden="false" customHeight="true" outlineLevel="0" collapsed="false">
      <c r="B28" s="9"/>
      <c r="C28" s="9"/>
      <c r="D28" s="9"/>
      <c r="E28" s="9"/>
      <c r="F28" s="9"/>
      <c r="G28" s="9"/>
      <c r="H28" s="9"/>
      <c r="I28" s="9"/>
      <c r="J28" s="9"/>
      <c r="K28" s="9"/>
      <c r="L28" s="9"/>
      <c r="M28" s="9"/>
    </row>
    <row r="29" customFormat="false" ht="14.25" hidden="false" customHeight="true" outlineLevel="0" collapsed="false">
      <c r="B29" s="9"/>
      <c r="C29" s="9"/>
      <c r="D29" s="9"/>
      <c r="E29" s="9"/>
      <c r="F29" s="9"/>
      <c r="G29" s="9"/>
      <c r="H29" s="9"/>
      <c r="I29" s="9"/>
      <c r="J29" s="9"/>
      <c r="K29" s="9"/>
      <c r="L29" s="9"/>
      <c r="M29" s="9"/>
    </row>
    <row r="30" customFormat="false" ht="16.5" hidden="false" customHeight="true" outlineLevel="0" collapsed="false">
      <c r="B30" s="92" t="s">
        <v>609</v>
      </c>
      <c r="C30" s="9"/>
      <c r="D30" s="9"/>
      <c r="E30" s="9"/>
      <c r="F30" s="9"/>
      <c r="G30" s="9"/>
      <c r="H30" s="9"/>
      <c r="I30" s="9"/>
      <c r="J30" s="9"/>
      <c r="K30" s="9"/>
      <c r="L30" s="9"/>
      <c r="M30" s="9"/>
    </row>
    <row r="31" customFormat="false" ht="15" hidden="false" customHeight="true" outlineLevel="0" collapsed="false">
      <c r="B31" s="72" t="s">
        <v>610</v>
      </c>
      <c r="C31" s="77" t="n">
        <v>12</v>
      </c>
      <c r="D31" s="72" t="s">
        <v>611</v>
      </c>
      <c r="E31" s="72"/>
      <c r="F31" s="72"/>
      <c r="G31" s="72"/>
      <c r="H31" s="72"/>
      <c r="I31" s="9"/>
      <c r="J31" s="9"/>
      <c r="K31" s="9"/>
      <c r="L31" s="9"/>
      <c r="M31" s="9"/>
    </row>
    <row r="32" customFormat="false" ht="15" hidden="false" customHeight="true" outlineLevel="0" collapsed="false">
      <c r="B32" s="72" t="s">
        <v>612</v>
      </c>
      <c r="C32" s="77" t="n">
        <v>100</v>
      </c>
      <c r="D32" s="72" t="s">
        <v>613</v>
      </c>
      <c r="E32" s="72"/>
      <c r="F32" s="72"/>
      <c r="G32" s="72"/>
      <c r="H32" s="72"/>
      <c r="I32" s="9"/>
      <c r="J32" s="9"/>
      <c r="K32" s="9"/>
      <c r="L32" s="9"/>
      <c r="M32" s="9"/>
    </row>
    <row r="33" customFormat="false" ht="45" hidden="false" customHeight="true" outlineLevel="0" collapsed="false">
      <c r="B33" s="116" t="s">
        <v>614</v>
      </c>
      <c r="C33" s="116" t="s">
        <v>615</v>
      </c>
      <c r="D33" s="116" t="s">
        <v>616</v>
      </c>
      <c r="E33" s="116"/>
      <c r="F33" s="116"/>
      <c r="G33" s="116"/>
      <c r="H33" s="116"/>
      <c r="I33" s="9"/>
      <c r="J33" s="9"/>
      <c r="K33" s="9"/>
      <c r="L33" s="9"/>
      <c r="M33" s="9"/>
    </row>
    <row r="34" customFormat="false" ht="30" hidden="false" customHeight="true" outlineLevel="0" collapsed="false">
      <c r="B34" s="117" t="s">
        <v>617</v>
      </c>
      <c r="C34" s="117"/>
      <c r="D34" s="116" t="s">
        <v>618</v>
      </c>
      <c r="E34" s="116"/>
      <c r="F34" s="116"/>
      <c r="G34" s="116"/>
      <c r="H34" s="116"/>
      <c r="I34" s="9"/>
      <c r="J34" s="9"/>
      <c r="K34" s="9"/>
      <c r="L34" s="9"/>
      <c r="M34" s="9"/>
    </row>
    <row r="35" customFormat="false" ht="14.25" hidden="false" customHeight="true" outlineLevel="0" collapsed="false">
      <c r="B35" s="92" t="s">
        <v>619</v>
      </c>
      <c r="C35" s="9"/>
      <c r="D35" s="9"/>
      <c r="E35" s="9"/>
      <c r="F35" s="9"/>
      <c r="G35" s="9"/>
      <c r="H35" s="9"/>
      <c r="I35" s="9"/>
      <c r="J35" s="9"/>
      <c r="K35" s="9"/>
      <c r="L35" s="9"/>
      <c r="M35" s="9"/>
    </row>
    <row r="36" customFormat="false" ht="60" hidden="false" customHeight="true" outlineLevel="0" collapsed="false">
      <c r="B36" s="116" t="s">
        <v>620</v>
      </c>
      <c r="C36" s="117"/>
      <c r="D36" s="116" t="s">
        <v>621</v>
      </c>
      <c r="E36" s="116"/>
      <c r="F36" s="116"/>
      <c r="G36" s="116"/>
      <c r="H36" s="116"/>
      <c r="I36" s="9"/>
      <c r="J36" s="9"/>
      <c r="K36" s="9"/>
      <c r="L36" s="9"/>
      <c r="M36" s="9"/>
    </row>
    <row r="37" customFormat="false" ht="30" hidden="false" customHeight="true" outlineLevel="0" collapsed="false">
      <c r="B37" s="116" t="s">
        <v>622</v>
      </c>
      <c r="C37" s="117"/>
      <c r="D37" s="116" t="s">
        <v>623</v>
      </c>
      <c r="E37" s="116"/>
      <c r="F37" s="116"/>
      <c r="G37" s="116"/>
      <c r="H37" s="116"/>
      <c r="I37" s="9"/>
      <c r="J37" s="9"/>
      <c r="K37" s="9"/>
      <c r="L37" s="9"/>
      <c r="M37" s="9"/>
    </row>
    <row r="39" customFormat="false" ht="16.5" hidden="false" customHeight="true" outlineLevel="0" collapsed="false">
      <c r="B39" s="60" t="s">
        <v>624</v>
      </c>
      <c r="C39" s="128"/>
      <c r="D39" s="129"/>
      <c r="E39" s="128"/>
      <c r="F39" s="128"/>
      <c r="G39" s="128"/>
      <c r="H39" s="128"/>
    </row>
    <row r="40" customFormat="false" ht="15" hidden="false" customHeight="true" outlineLevel="0" collapsed="false">
      <c r="B40" s="72" t="s">
        <v>625</v>
      </c>
      <c r="C40" s="130" t="n">
        <v>50000</v>
      </c>
      <c r="D40" s="116" t="s">
        <v>626</v>
      </c>
      <c r="E40" s="116"/>
      <c r="F40" s="116"/>
      <c r="G40" s="116"/>
      <c r="H40" s="116"/>
    </row>
    <row r="41" customFormat="false" ht="15" hidden="false" customHeight="true" outlineLevel="0" collapsed="false">
      <c r="B41" s="128" t="s">
        <v>627</v>
      </c>
      <c r="C41" s="131" t="n">
        <v>160</v>
      </c>
      <c r="D41" s="116" t="s">
        <v>628</v>
      </c>
      <c r="E41" s="116"/>
      <c r="F41" s="116"/>
      <c r="G41" s="116"/>
      <c r="H41" s="116"/>
    </row>
    <row r="42" customFormat="false" ht="15" hidden="false" customHeight="true" outlineLevel="0" collapsed="false">
      <c r="B42" s="72" t="s">
        <v>629</v>
      </c>
      <c r="C42" s="132" t="n">
        <f aca="false">C40*C41</f>
        <v>8000000</v>
      </c>
      <c r="D42" s="116" t="s">
        <v>630</v>
      </c>
      <c r="E42" s="116"/>
      <c r="F42" s="116"/>
      <c r="G42" s="116"/>
      <c r="H42" s="116"/>
    </row>
    <row r="43" customFormat="false" ht="45" hidden="false" customHeight="true" outlineLevel="0" collapsed="false">
      <c r="B43" s="72" t="s">
        <v>631</v>
      </c>
      <c r="C43" s="72"/>
      <c r="D43" s="129" t="s">
        <v>632</v>
      </c>
      <c r="E43" s="129"/>
      <c r="F43" s="129"/>
      <c r="G43" s="129"/>
      <c r="H43" s="129"/>
    </row>
    <row r="44" customFormat="false" ht="16.5" hidden="false" customHeight="true" outlineLevel="0" collapsed="false">
      <c r="B44" s="92" t="s">
        <v>633</v>
      </c>
    </row>
    <row r="45" customFormat="false" ht="15" hidden="false" customHeight="true" outlineLevel="0" collapsed="false">
      <c r="B45" s="133" t="s">
        <v>541</v>
      </c>
      <c r="C45" s="133" t="s">
        <v>634</v>
      </c>
    </row>
    <row r="46" customFormat="false" ht="14.25" hidden="false" customHeight="true" outlineLevel="0" collapsed="false">
      <c r="B46" s="128" t="s">
        <v>245</v>
      </c>
      <c r="C46" s="134" t="n">
        <v>0.15</v>
      </c>
    </row>
    <row r="47" customFormat="false" ht="14.25" hidden="false" customHeight="true" outlineLevel="0" collapsed="false">
      <c r="B47" s="128" t="s">
        <v>260</v>
      </c>
      <c r="C47" s="134" t="n">
        <v>0.4</v>
      </c>
    </row>
    <row r="48" customFormat="false" ht="14.25" hidden="false" customHeight="true" outlineLevel="0" collapsed="false">
      <c r="B48" s="128" t="s">
        <v>326</v>
      </c>
      <c r="C48" s="134" t="n">
        <v>0.6</v>
      </c>
    </row>
    <row r="49" customFormat="false" ht="14.25" hidden="false" customHeight="true" outlineLevel="0" collapsed="false">
      <c r="B49" s="128" t="s">
        <v>280</v>
      </c>
      <c r="C49" s="134" t="n">
        <v>0.85</v>
      </c>
    </row>
    <row r="50" customFormat="false" ht="14.25" hidden="false" customHeight="true" outlineLevel="0" collapsed="false">
      <c r="B50" s="128" t="s">
        <v>554</v>
      </c>
      <c r="C50" s="134" t="n">
        <v>1</v>
      </c>
    </row>
    <row r="51" customFormat="false" ht="45" hidden="false" customHeight="true" outlineLevel="0" collapsed="false">
      <c r="D51" s="40" t="s">
        <v>635</v>
      </c>
      <c r="E51" s="40"/>
      <c r="F51" s="40"/>
      <c r="G51" s="40"/>
      <c r="H51" s="40"/>
    </row>
  </sheetData>
  <mergeCells count="24">
    <mergeCell ref="D4:L4"/>
    <mergeCell ref="C12:H12"/>
    <mergeCell ref="C13:H13"/>
    <mergeCell ref="C14:H14"/>
    <mergeCell ref="C19:F19"/>
    <mergeCell ref="C20:F20"/>
    <mergeCell ref="C21:F21"/>
    <mergeCell ref="C22:F22"/>
    <mergeCell ref="C23:F23"/>
    <mergeCell ref="C24:F24"/>
    <mergeCell ref="C25:F25"/>
    <mergeCell ref="C26:F26"/>
    <mergeCell ref="C27:F27"/>
    <mergeCell ref="D31:H31"/>
    <mergeCell ref="D32:H32"/>
    <mergeCell ref="D33:H33"/>
    <mergeCell ref="D34:H34"/>
    <mergeCell ref="D36:H36"/>
    <mergeCell ref="D37:H37"/>
    <mergeCell ref="D40:H40"/>
    <mergeCell ref="D41:H41"/>
    <mergeCell ref="D42:H42"/>
    <mergeCell ref="D43:H43"/>
    <mergeCell ref="D51:H51"/>
  </mergeCells>
  <dataValidations count="1">
    <dataValidation allowBlank="false" errorStyle="stop" operator="between" showDropDown="false" showErrorMessage="false" showInputMessage="false" sqref="C4" type="list">
      <formula1>"균형자체개발형(ASW-BSW 유사비중),완성차 ASW사급+BSW전량외주(당사 통합중심),Tier-1 표준형(ASW자체개발,BSW외주/AUTOSAR구매)"</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B4:F3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5" topLeftCell="A18" activePane="bottomLeft" state="frozen"/>
      <selection pane="topLeft" activeCell="A1" activeCellId="0" sqref="A1"/>
      <selection pane="bottomLeft" activeCell="A1" activeCellId="0" sqref="A1"/>
    </sheetView>
  </sheetViews>
  <sheetFormatPr defaultColWidth="8.6328125" defaultRowHeight="14.25" zeroHeight="false" outlineLevelRow="0" outlineLevelCol="0"/>
  <cols>
    <col collapsed="false" customWidth="true" hidden="false" outlineLevel="0" max="1" min="1" style="29" width="3"/>
    <col collapsed="false" customWidth="true" hidden="false" outlineLevel="0" max="2" min="2" style="29" width="35.18"/>
    <col collapsed="false" customWidth="true" hidden="false" outlineLevel="0" max="3" min="3" style="29" width="16"/>
    <col collapsed="false" customWidth="true" hidden="false" outlineLevel="0" max="4" min="4" style="29" width="14"/>
    <col collapsed="false" customWidth="true" hidden="false" outlineLevel="0" max="8" min="5" style="29" width="10"/>
  </cols>
  <sheetData>
    <row r="4" customFormat="false" ht="16.5" hidden="false" customHeight="true" outlineLevel="0" collapsed="false">
      <c r="B4" s="92" t="s">
        <v>636</v>
      </c>
      <c r="C4" s="9"/>
      <c r="D4" s="9"/>
      <c r="E4" s="9"/>
      <c r="F4" s="9"/>
    </row>
    <row r="5" customFormat="false" ht="25.5" hidden="false" customHeight="true" outlineLevel="0" collapsed="false">
      <c r="B5" s="56" t="s">
        <v>541</v>
      </c>
      <c r="C5" s="56" t="s">
        <v>637</v>
      </c>
      <c r="D5" s="56" t="s">
        <v>638</v>
      </c>
      <c r="E5" s="56" t="s">
        <v>639</v>
      </c>
      <c r="F5" s="9"/>
    </row>
    <row r="6" customFormat="false" ht="14.25" hidden="false" customHeight="true" outlineLevel="0" collapsed="false">
      <c r="B6" s="106" t="s">
        <v>245</v>
      </c>
      <c r="C6" s="106" t="n">
        <v>0.15</v>
      </c>
      <c r="D6" s="106" t="n">
        <v>63</v>
      </c>
      <c r="E6" s="123" t="n">
        <f aca="false">D6/$D$10</f>
        <v>0.45985401459854</v>
      </c>
      <c r="F6" s="9"/>
    </row>
    <row r="7" customFormat="false" ht="14.25" hidden="false" customHeight="true" outlineLevel="0" collapsed="false">
      <c r="B7" s="106" t="s">
        <v>260</v>
      </c>
      <c r="C7" s="106" t="n">
        <v>0.4</v>
      </c>
      <c r="D7" s="106" t="n">
        <v>89</v>
      </c>
      <c r="E7" s="123" t="n">
        <f aca="false">D7/$D$10</f>
        <v>0.64963503649635</v>
      </c>
      <c r="F7" s="9"/>
    </row>
    <row r="8" customFormat="false" ht="14.25" hidden="false" customHeight="true" outlineLevel="0" collapsed="false">
      <c r="B8" s="106" t="s">
        <v>326</v>
      </c>
      <c r="C8" s="106" t="n">
        <v>0.6</v>
      </c>
      <c r="D8" s="106" t="n">
        <v>119</v>
      </c>
      <c r="E8" s="123" t="n">
        <f aca="false">D8/$D$10</f>
        <v>0.868613138686131</v>
      </c>
      <c r="F8" s="9"/>
    </row>
    <row r="9" customFormat="false" ht="14.25" hidden="false" customHeight="true" outlineLevel="0" collapsed="false">
      <c r="B9" s="106" t="s">
        <v>280</v>
      </c>
      <c r="C9" s="106" t="n">
        <v>0.85</v>
      </c>
      <c r="D9" s="106" t="n">
        <v>137</v>
      </c>
      <c r="E9" s="123" t="n">
        <f aca="false">D9/$D$10</f>
        <v>1</v>
      </c>
      <c r="F9" s="9"/>
    </row>
    <row r="10" customFormat="false" ht="14.25" hidden="false" customHeight="true" outlineLevel="0" collapsed="false">
      <c r="B10" s="106" t="s">
        <v>554</v>
      </c>
      <c r="C10" s="106" t="n">
        <v>1</v>
      </c>
      <c r="D10" s="106" t="n">
        <v>137</v>
      </c>
      <c r="E10" s="123" t="n">
        <f aca="false">D10/$D$10</f>
        <v>1</v>
      </c>
      <c r="F10" s="9"/>
    </row>
    <row r="11" customFormat="false" ht="14.25" hidden="false" customHeight="true" outlineLevel="0" collapsed="false">
      <c r="B11" s="9"/>
      <c r="C11" s="9"/>
      <c r="D11" s="9"/>
      <c r="E11" s="9"/>
      <c r="F11" s="9"/>
    </row>
    <row r="12" customFormat="false" ht="16.5" hidden="false" customHeight="true" outlineLevel="0" collapsed="false">
      <c r="B12" s="92" t="s">
        <v>640</v>
      </c>
      <c r="C12" s="9"/>
      <c r="D12" s="9"/>
      <c r="E12" s="9"/>
      <c r="F12" s="9"/>
    </row>
    <row r="13" customFormat="false" ht="15" hidden="false" customHeight="true" outlineLevel="0" collapsed="false">
      <c r="B13" s="72" t="s">
        <v>641</v>
      </c>
      <c r="C13" s="106" t="s">
        <v>642</v>
      </c>
      <c r="D13" s="77" t="n">
        <v>0.527</v>
      </c>
      <c r="E13" s="106" t="s">
        <v>643</v>
      </c>
      <c r="F13" s="77" t="n">
        <v>1.349</v>
      </c>
    </row>
    <row r="14" customFormat="false" ht="15" hidden="false" customHeight="true" outlineLevel="0" collapsed="false">
      <c r="B14" s="72" t="s">
        <v>644</v>
      </c>
      <c r="C14" s="106" t="s">
        <v>642</v>
      </c>
      <c r="D14" s="77" t="n">
        <v>2</v>
      </c>
      <c r="E14" s="106" t="s">
        <v>643</v>
      </c>
      <c r="F14" s="77" t="n">
        <v>2</v>
      </c>
    </row>
    <row r="15" customFormat="false" ht="16.5" hidden="false" customHeight="true" outlineLevel="0" collapsed="false">
      <c r="B15" s="60" t="s">
        <v>645</v>
      </c>
      <c r="C15" s="106" t="s">
        <v>642</v>
      </c>
      <c r="D15" s="77" t="n">
        <v>0.744</v>
      </c>
      <c r="E15" s="106" t="s">
        <v>643</v>
      </c>
      <c r="F15" s="77" t="n">
        <v>1.408</v>
      </c>
    </row>
    <row r="16" customFormat="false" ht="14.25" hidden="false" customHeight="true" outlineLevel="0" collapsed="false">
      <c r="B16" s="9"/>
      <c r="C16" s="9"/>
      <c r="D16" s="9"/>
      <c r="E16" s="9"/>
      <c r="F16" s="9"/>
    </row>
    <row r="17" customFormat="false" ht="15" hidden="false" customHeight="true" outlineLevel="0" collapsed="false">
      <c r="B17" s="135" t="s">
        <v>646</v>
      </c>
      <c r="C17" s="133" t="s">
        <v>647</v>
      </c>
      <c r="D17" s="133" t="s">
        <v>648</v>
      </c>
      <c r="E17" s="133" t="s">
        <v>649</v>
      </c>
      <c r="F17" s="9"/>
    </row>
    <row r="18" customFormat="false" ht="14.25" hidden="false" customHeight="true" outlineLevel="0" collapsed="false">
      <c r="B18" s="136" t="n">
        <v>0</v>
      </c>
      <c r="C18" s="137" t="n">
        <f aca="false">BETADIST(0,$D$13,$F$13)</f>
        <v>0</v>
      </c>
      <c r="D18" s="137" t="n">
        <f aca="false">BETADIST(0,$D$14,$F$14)</f>
        <v>0</v>
      </c>
      <c r="E18" s="137" t="n">
        <f aca="false">BETADIST(0,$D$15,$F$15)</f>
        <v>0</v>
      </c>
      <c r="F18" s="9"/>
    </row>
    <row r="19" customFormat="false" ht="14.25" hidden="false" customHeight="true" outlineLevel="0" collapsed="false">
      <c r="B19" s="136" t="n">
        <v>0.05</v>
      </c>
      <c r="C19" s="137" t="n">
        <f aca="false">BETADIST(0.05,$D$13,$F$13)</f>
        <v>0.24718941402049</v>
      </c>
      <c r="D19" s="137" t="n">
        <f aca="false">BETADIST(0.05,$D$14,$F$14)</f>
        <v>0.00725</v>
      </c>
      <c r="E19" s="137" t="n">
        <f aca="false">BETADIST(0.05,$D$15,$F$15)</f>
        <v>0.140827568976125</v>
      </c>
      <c r="F19" s="9"/>
    </row>
    <row r="20" customFormat="false" ht="14.25" hidden="false" customHeight="true" outlineLevel="0" collapsed="false">
      <c r="B20" s="136" t="n">
        <v>0.1</v>
      </c>
      <c r="C20" s="137" t="n">
        <f aca="false">BETADIST(0.1,$D$13,$F$13)</f>
        <v>0.353957614855764</v>
      </c>
      <c r="D20" s="137" t="n">
        <f aca="false">BETADIST(0.1,$D$14,$F$14)</f>
        <v>0.028</v>
      </c>
      <c r="E20" s="137" t="n">
        <f aca="false">BETADIST(0.1,$D$15,$F$15)</f>
        <v>0.233727771706433</v>
      </c>
      <c r="F20" s="9"/>
    </row>
    <row r="21" customFormat="false" ht="14.25" hidden="false" customHeight="true" outlineLevel="0" collapsed="false">
      <c r="B21" s="136" t="n">
        <v>0.15</v>
      </c>
      <c r="C21" s="137" t="n">
        <f aca="false">BETADIST(0.15,$D$13,$F$13)</f>
        <v>0.435465156990539</v>
      </c>
      <c r="D21" s="137" t="n">
        <f aca="false">BETADIST(0.15,$D$14,$F$14)</f>
        <v>0.06075</v>
      </c>
      <c r="E21" s="137" t="n">
        <f aca="false">BETADIST(0.15,$D$15,$F$15)</f>
        <v>0.313083219508165</v>
      </c>
      <c r="F21" s="9"/>
    </row>
    <row r="22" customFormat="false" ht="14.25" hidden="false" customHeight="true" outlineLevel="0" collapsed="false">
      <c r="B22" s="136" t="n">
        <v>0.2</v>
      </c>
      <c r="C22" s="137" t="n">
        <f aca="false">BETADIST(0.2,$D$13,$F$13)</f>
        <v>0.503403422783004</v>
      </c>
      <c r="D22" s="137" t="n">
        <f aca="false">BETADIST(0.2,$D$14,$F$14)</f>
        <v>0.104</v>
      </c>
      <c r="E22" s="137" t="n">
        <f aca="false">BETADIST(0.2,$D$15,$F$15)</f>
        <v>0.384082360565849</v>
      </c>
      <c r="F22" s="9"/>
    </row>
    <row r="23" customFormat="false" ht="14.25" hidden="false" customHeight="true" outlineLevel="0" collapsed="false">
      <c r="B23" s="136" t="n">
        <v>0.25</v>
      </c>
      <c r="C23" s="137" t="n">
        <f aca="false">BETADIST(0.25,$D$13,$F$13)</f>
        <v>0.562366658948017</v>
      </c>
      <c r="D23" s="137" t="n">
        <f aca="false">BETADIST(0.25,$D$14,$F$14)</f>
        <v>0.15625</v>
      </c>
      <c r="E23" s="137" t="n">
        <f aca="false">BETADIST(0.25,$D$15,$F$15)</f>
        <v>0.44895038639198</v>
      </c>
      <c r="F23" s="9"/>
    </row>
    <row r="24" customFormat="false" ht="14.25" hidden="false" customHeight="true" outlineLevel="0" collapsed="false">
      <c r="B24" s="136" t="n">
        <v>0.3</v>
      </c>
      <c r="C24" s="137" t="n">
        <f aca="false">BETADIST(0.3,$D$13,$F$13)</f>
        <v>0.614730350199969</v>
      </c>
      <c r="D24" s="137" t="n">
        <f aca="false">BETADIST(0.3,$D$14,$F$14)</f>
        <v>0.216</v>
      </c>
      <c r="E24" s="137" t="n">
        <f aca="false">BETADIST(0.3,$D$15,$F$15)</f>
        <v>0.508901594286085</v>
      </c>
      <c r="F24" s="9"/>
    </row>
    <row r="25" customFormat="false" ht="14.25" hidden="false" customHeight="true" outlineLevel="0" collapsed="false">
      <c r="B25" s="136" t="n">
        <v>0.35</v>
      </c>
      <c r="C25" s="137" t="n">
        <f aca="false">BETADIST(0.35,$D$13,$F$13)</f>
        <v>0.661909917243461</v>
      </c>
      <c r="D25" s="137" t="n">
        <f aca="false">BETADIST(0.35,$D$14,$F$14)</f>
        <v>0.28175</v>
      </c>
      <c r="E25" s="137" t="n">
        <f aca="false">BETADIST(0.35,$D$15,$F$15)</f>
        <v>0.564684426130654</v>
      </c>
      <c r="F25" s="9"/>
    </row>
    <row r="26" customFormat="false" ht="14.25" hidden="false" customHeight="true" outlineLevel="0" collapsed="false">
      <c r="B26" s="136" t="n">
        <v>0.4</v>
      </c>
      <c r="C26" s="137" t="n">
        <f aca="false">BETADIST(0.4,$D$13,$F$13)</f>
        <v>0.704825044336859</v>
      </c>
      <c r="D26" s="137" t="n">
        <f aca="false">BETADIST(0.4,$D$14,$F$14)</f>
        <v>0.352</v>
      </c>
      <c r="E26" s="137" t="n">
        <f aca="false">BETADIST(0.4,$D$15,$F$15)</f>
        <v>0.616793414090898</v>
      </c>
      <c r="F26" s="9"/>
    </row>
    <row r="27" customFormat="false" ht="14.25" hidden="false" customHeight="true" outlineLevel="0" collapsed="false">
      <c r="B27" s="136" t="n">
        <v>0.45</v>
      </c>
      <c r="C27" s="137" t="n">
        <f aca="false">BETADIST(0.45,$D$13,$F$13)</f>
        <v>0.744107985542567</v>
      </c>
      <c r="D27" s="137" t="n">
        <f aca="false">BETADIST(0.45,$D$14,$F$14)</f>
        <v>0.42525</v>
      </c>
      <c r="E27" s="137" t="n">
        <f aca="false">BETADIST(0.45,$D$15,$F$15)</f>
        <v>0.665567911502784</v>
      </c>
      <c r="F27" s="9"/>
    </row>
    <row r="28" customFormat="false" ht="14.25" hidden="false" customHeight="true" outlineLevel="0" collapsed="false">
      <c r="B28" s="136" t="n">
        <v>0.5</v>
      </c>
      <c r="C28" s="137" t="n">
        <f aca="false">BETADIST(0.5,$D$13,$F$13)</f>
        <v>0.780209471286126</v>
      </c>
      <c r="D28" s="137" t="n">
        <f aca="false">BETADIST(0.5,$D$14,$F$14)</f>
        <v>0.5</v>
      </c>
      <c r="E28" s="137" t="n">
        <f aca="false">BETADIST(0.5,$D$15,$F$15)</f>
        <v>0.711243467572612</v>
      </c>
      <c r="F28" s="9"/>
    </row>
    <row r="29" customFormat="false" ht="14.25" hidden="false" customHeight="true" outlineLevel="0" collapsed="false">
      <c r="B29" s="136" t="n">
        <v>0.55</v>
      </c>
      <c r="C29" s="137" t="n">
        <f aca="false">BETADIST(0.55,$D$13,$F$13)</f>
        <v>0.813457247966088</v>
      </c>
      <c r="D29" s="137" t="n">
        <f aca="false">BETADIST(0.55,$D$14,$F$14)</f>
        <v>0.57475</v>
      </c>
      <c r="E29" s="137" t="n">
        <f aca="false">BETADIST(0.55,$D$15,$F$15)</f>
        <v>0.753980278371337</v>
      </c>
      <c r="F29" s="9"/>
    </row>
    <row r="30" customFormat="false" ht="14.25" hidden="false" customHeight="true" outlineLevel="0" collapsed="false">
      <c r="B30" s="136" t="n">
        <v>0.6</v>
      </c>
      <c r="C30" s="137" t="n">
        <f aca="false">BETADIST(0.6,$D$13,$F$13)</f>
        <v>0.844090107767885</v>
      </c>
      <c r="D30" s="137" t="n">
        <f aca="false">BETADIST(0.6,$D$14,$F$14)</f>
        <v>0.648</v>
      </c>
      <c r="E30" s="137" t="n">
        <f aca="false">BETADIST(0.6,$D$15,$F$15)</f>
        <v>0.793879049183958</v>
      </c>
      <c r="F30" s="9"/>
    </row>
    <row r="31" customFormat="false" ht="14.25" hidden="false" customHeight="true" outlineLevel="0" collapsed="false">
      <c r="B31" s="136" t="n">
        <v>0.65</v>
      </c>
      <c r="C31" s="137" t="n">
        <f aca="false">BETADIST(0.65,$D$13,$F$13)</f>
        <v>0.872277837348723</v>
      </c>
      <c r="D31" s="137" t="n">
        <f aca="false">BETADIST(0.65,$D$14,$F$14)</f>
        <v>0.71825</v>
      </c>
      <c r="E31" s="137" t="n">
        <f aca="false">BETADIST(0.65,$D$15,$F$15)</f>
        <v>0.830988875644309</v>
      </c>
      <c r="F31" s="9"/>
    </row>
    <row r="32" customFormat="false" ht="14.25" hidden="false" customHeight="true" outlineLevel="0" collapsed="false">
      <c r="B32" s="136" t="n">
        <v>0.7</v>
      </c>
      <c r="C32" s="137" t="n">
        <f aca="false">BETADIST(0.7,$D$13,$F$13)</f>
        <v>0.89813194829539</v>
      </c>
      <c r="D32" s="137" t="n">
        <f aca="false">BETADIST(0.7,$D$14,$F$14)</f>
        <v>0.784</v>
      </c>
      <c r="E32" s="137" t="n">
        <f aca="false">BETADIST(0.7,$D$15,$F$15)</f>
        <v>0.865308911684011</v>
      </c>
      <c r="F32" s="9"/>
    </row>
    <row r="33" customFormat="false" ht="14.25" hidden="false" customHeight="true" outlineLevel="0" collapsed="false">
      <c r="B33" s="136" t="n">
        <v>0.75</v>
      </c>
      <c r="C33" s="137" t="n">
        <f aca="false">BETADIST(0.75,$D$13,$F$13)</f>
        <v>0.921708980406991</v>
      </c>
      <c r="D33" s="137" t="n">
        <f aca="false">BETADIST(0.75,$D$14,$F$14)</f>
        <v>0.84375</v>
      </c>
      <c r="E33" s="137" t="n">
        <f aca="false">BETADIST(0.75,$D$15,$F$15)</f>
        <v>0.896783583547852</v>
      </c>
      <c r="F33" s="9"/>
    </row>
    <row r="34" customFormat="false" ht="14.25" hidden="false" customHeight="true" outlineLevel="0" collapsed="false">
      <c r="B34" s="136" t="n">
        <v>0.8</v>
      </c>
      <c r="C34" s="137" t="n">
        <f aca="false">BETADIST(0.8,$D$13,$F$13)</f>
        <v>0.943005554797713</v>
      </c>
      <c r="D34" s="137" t="n">
        <f aca="false">BETADIST(0.8,$D$14,$F$14)</f>
        <v>0.896</v>
      </c>
      <c r="E34" s="137" t="n">
        <f aca="false">BETADIST(0.8,$D$15,$F$15)</f>
        <v>0.92528857520697</v>
      </c>
      <c r="F34" s="9"/>
    </row>
    <row r="35" customFormat="false" ht="14.25" hidden="false" customHeight="true" outlineLevel="0" collapsed="false">
      <c r="B35" s="136" t="n">
        <v>0.85</v>
      </c>
      <c r="C35" s="137" t="n">
        <f aca="false">BETADIST(0.85,$D$13,$F$13)</f>
        <v>0.961940037980158</v>
      </c>
      <c r="D35" s="137" t="n">
        <f aca="false">BETADIST(0.85,$D$14,$F$14)</f>
        <v>0.93925</v>
      </c>
      <c r="E35" s="137" t="n">
        <f aca="false">BETADIST(0.85,$D$15,$F$15)</f>
        <v>0.95059935269401</v>
      </c>
      <c r="F35" s="9"/>
    </row>
    <row r="36" customFormat="false" ht="14.25" hidden="false" customHeight="true" outlineLevel="0" collapsed="false">
      <c r="B36" s="136" t="n">
        <v>0.9</v>
      </c>
      <c r="C36" s="137" t="n">
        <f aca="false">BETADIST(0.9,$D$13,$F$13)</f>
        <v>0.978303274143673</v>
      </c>
      <c r="D36" s="137" t="n">
        <f aca="false">BETADIST(0.9,$D$14,$F$14)</f>
        <v>0.972</v>
      </c>
      <c r="E36" s="137" t="n">
        <f aca="false">BETADIST(0.9,$D$15,$F$15)</f>
        <v>0.972317108661161</v>
      </c>
      <c r="F36" s="9"/>
    </row>
    <row r="37" customFormat="false" ht="14.25" hidden="false" customHeight="true" outlineLevel="0" collapsed="false">
      <c r="B37" s="136" t="n">
        <v>0.95</v>
      </c>
      <c r="C37" s="137" t="n">
        <f aca="false">BETADIST(0.95,$D$13,$F$13)</f>
        <v>0.991604516005351</v>
      </c>
      <c r="D37" s="137" t="n">
        <f aca="false">BETADIST(0.95,$D$14,$F$14)</f>
        <v>0.99275</v>
      </c>
      <c r="E37" s="137" t="n">
        <f aca="false">BETADIST(0.95,$D$15,$F$15)</f>
        <v>0.989650514111017</v>
      </c>
      <c r="F37" s="9"/>
    </row>
    <row r="38" customFormat="false" ht="14.25" hidden="false" customHeight="true" outlineLevel="0" collapsed="false">
      <c r="B38" s="136" t="n">
        <v>1</v>
      </c>
      <c r="C38" s="137" t="n">
        <f aca="false">BETADIST(1,$D$13,$F$13)</f>
        <v>1</v>
      </c>
      <c r="D38" s="137" t="n">
        <f aca="false">BETADIST(1,$D$14,$F$14)</f>
        <v>1</v>
      </c>
      <c r="E38" s="137" t="n">
        <f aca="false">BETADIST(1,$D$15,$F$15)</f>
        <v>1</v>
      </c>
      <c r="F38" s="9"/>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L186"/>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7" topLeftCell="A8" activePane="bottomLeft" state="frozen"/>
      <selection pane="topLeft" activeCell="A1" activeCellId="0" sqref="A1"/>
      <selection pane="bottomLeft" activeCell="A1" activeCellId="0" sqref="A1"/>
    </sheetView>
  </sheetViews>
  <sheetFormatPr defaultColWidth="8.6328125" defaultRowHeight="14.25" zeroHeight="false" outlineLevelRow="0" outlineLevelCol="0"/>
  <cols>
    <col collapsed="false" customWidth="true" hidden="false" outlineLevel="0" max="1" min="1" style="29" width="5"/>
    <col collapsed="false" customWidth="true" hidden="false" outlineLevel="0" max="2" min="2" style="29" width="10"/>
    <col collapsed="false" customWidth="true" hidden="false" outlineLevel="0" max="3" min="3" style="29" width="32"/>
    <col collapsed="false" customWidth="true" hidden="false" outlineLevel="0" max="5" min="4" style="29" width="10"/>
    <col collapsed="false" customWidth="true" hidden="false" outlineLevel="0" max="6" min="6" style="29" width="9"/>
    <col collapsed="false" customWidth="true" hidden="false" outlineLevel="0" max="12" min="7" style="29" width="10"/>
  </cols>
  <sheetData>
    <row r="4" customFormat="false" ht="16.5" hidden="false" customHeight="true" outlineLevel="0" collapsed="false">
      <c r="A4" s="92" t="s">
        <v>650</v>
      </c>
      <c r="B4" s="138" t="s">
        <v>245</v>
      </c>
      <c r="C4" s="138" t="s">
        <v>260</v>
      </c>
      <c r="D4" s="138" t="s">
        <v>326</v>
      </c>
      <c r="E4" s="138" t="s">
        <v>280</v>
      </c>
      <c r="F4" s="138" t="s">
        <v>554</v>
      </c>
      <c r="G4" s="9"/>
      <c r="H4" s="9"/>
      <c r="I4" s="9"/>
      <c r="J4" s="9"/>
      <c r="K4" s="9"/>
      <c r="L4" s="9"/>
    </row>
    <row r="5" customFormat="false" ht="14.25" hidden="false" customHeight="true" outlineLevel="0" collapsed="false">
      <c r="A5" s="9"/>
      <c r="B5" s="136" t="n">
        <v>1</v>
      </c>
      <c r="C5" s="136" t="n">
        <v>2</v>
      </c>
      <c r="D5" s="136" t="n">
        <v>3</v>
      </c>
      <c r="E5" s="136" t="n">
        <v>4</v>
      </c>
      <c r="F5" s="136" t="n">
        <v>5</v>
      </c>
      <c r="G5" s="9"/>
      <c r="H5" s="9"/>
      <c r="I5" s="9"/>
      <c r="J5" s="9"/>
      <c r="K5" s="9"/>
      <c r="L5" s="9"/>
    </row>
    <row r="6" customFormat="false" ht="14.25" hidden="false" customHeight="true" outlineLevel="0" collapsed="false">
      <c r="A6" s="9"/>
      <c r="B6" s="9"/>
      <c r="C6" s="9"/>
      <c r="D6" s="9"/>
      <c r="E6" s="9"/>
      <c r="F6" s="9"/>
      <c r="G6" s="9"/>
      <c r="H6" s="9"/>
      <c r="I6" s="9"/>
      <c r="J6" s="9"/>
      <c r="K6" s="9"/>
      <c r="L6" s="9"/>
    </row>
    <row r="7" customFormat="false" ht="25.5" hidden="false" customHeight="true" outlineLevel="0" collapsed="false">
      <c r="A7" s="64" t="s">
        <v>34</v>
      </c>
      <c r="B7" s="64" t="s">
        <v>116</v>
      </c>
      <c r="C7" s="64" t="s">
        <v>651</v>
      </c>
      <c r="D7" s="56" t="s">
        <v>652</v>
      </c>
      <c r="E7" s="56" t="s">
        <v>653</v>
      </c>
      <c r="F7" s="56" t="s">
        <v>654</v>
      </c>
      <c r="G7" s="56" t="s">
        <v>655</v>
      </c>
      <c r="H7" s="64" t="s">
        <v>656</v>
      </c>
      <c r="I7" s="64" t="s">
        <v>657</v>
      </c>
      <c r="J7" s="64" t="s">
        <v>658</v>
      </c>
      <c r="K7" s="64" t="s">
        <v>659</v>
      </c>
      <c r="L7" s="64" t="s">
        <v>660</v>
      </c>
    </row>
    <row r="8" customFormat="false" ht="14.25" hidden="false" customHeight="true" outlineLevel="0" collapsed="false">
      <c r="A8" s="139" t="n">
        <f aca="false">WP_상세!A5</f>
        <v>1</v>
      </c>
      <c r="B8" s="139" t="str">
        <f aca="false">WP_상세!B5</f>
        <v>ACQ.4</v>
      </c>
      <c r="C8" s="139" t="str">
        <f aca="false">WP_상세!F5</f>
        <v>Commitment/Agreement / 공급자 관리 합의서/협약서</v>
      </c>
      <c r="D8" s="139" t="str">
        <f aca="false">WP_상세!G5</f>
        <v>M-Car</v>
      </c>
      <c r="E8" s="139" t="str">
        <f aca="false">WP_상세!H5</f>
        <v>Discrete</v>
      </c>
      <c r="F8" s="139" t="str">
        <f aca="false">WP_상세!I5</f>
        <v>N</v>
      </c>
      <c r="G8" s="140" t="n">
        <f aca="false">WP_상세!J5</f>
        <v>1</v>
      </c>
      <c r="H8" s="141" t="n">
        <f aca="false">IFERROR(IF($E8&lt;&gt;"Discrete",0,IF(1&lt;MATCH($D8,$B$4:$F$4,0),0,IF($F8&lt;&gt;"Y",IF(1=MATCH($D8,$B$4:$F$4,0),1,0),IF(1=MATCH($D8,$B$4:$F$4,0),$G8+(1-$G8)/(5-MATCH($D8,$B$4:$F$4,0)+1),(1-$G8)/(5-MATCH($D8,$B$4:$F$4,0)+1))))),0)</f>
        <v>1</v>
      </c>
      <c r="I8" s="141" t="n">
        <f aca="false">IFERROR(IF($E8&lt;&gt;"Discrete",0,IF(2&lt;MATCH($D8,$B$4:$F$4,0),0,IF($F8&lt;&gt;"Y",IF(2=MATCH($D8,$B$4:$F$4,0),1,0),IF(2=MATCH($D8,$B$4:$F$4,0),$G8+(1-$G8)/(5-MATCH($D8,$B$4:$F$4,0)+1),(1-$G8)/(5-MATCH($D8,$B$4:$F$4,0)+1))))),0)</f>
        <v>0</v>
      </c>
      <c r="J8" s="141" t="n">
        <f aca="false">IFERROR(IF($E8&lt;&gt;"Discrete",0,IF(3&lt;MATCH($D8,$B$4:$F$4,0),0,IF($F8&lt;&gt;"Y",IF(3=MATCH($D8,$B$4:$F$4,0),1,0),IF(3=MATCH($D8,$B$4:$F$4,0),$G8+(1-$G8)/(5-MATCH($D8,$B$4:$F$4,0)+1),(1-$G8)/(5-MATCH($D8,$B$4:$F$4,0)+1))))),0)</f>
        <v>0</v>
      </c>
      <c r="K8" s="141" t="n">
        <f aca="false">IFERROR(IF($E8&lt;&gt;"Discrete",0,IF(4&lt;MATCH($D8,$B$4:$F$4,0),0,IF($F8&lt;&gt;"Y",IF(4=MATCH($D8,$B$4:$F$4,0),1,0),IF(4=MATCH($D8,$B$4:$F$4,0),$G8+(1-$G8)/(5-MATCH($D8,$B$4:$F$4,0)+1),(1-$G8)/(5-MATCH($D8,$B$4:$F$4,0)+1))))),0)</f>
        <v>0</v>
      </c>
      <c r="L8" s="141" t="n">
        <f aca="false">IFERROR(IF($E8&lt;&gt;"Discrete",0,IF(5&lt;MATCH($D8,$B$4:$F$4,0),0,IF($F8&lt;&gt;"Y",IF(5=MATCH($D8,$B$4:$F$4,0),1,0),IF(5=MATCH($D8,$B$4:$F$4,0),$G8+(1-$G8)/(5-MATCH($D8,$B$4:$F$4,0)+1),(1-$G8)/(5-MATCH($D8,$B$4:$F$4,0)+1))))),0)</f>
        <v>0</v>
      </c>
    </row>
    <row r="9" customFormat="false" ht="14.25" hidden="false" customHeight="true" outlineLevel="0" collapsed="false">
      <c r="A9" s="139" t="n">
        <f aca="false">WP_상세!A6</f>
        <v>2</v>
      </c>
      <c r="B9" s="139" t="str">
        <f aca="false">WP_상세!B6</f>
        <v>ACQ.4</v>
      </c>
      <c r="C9" s="139" t="str">
        <f aca="false">WP_상세!F6</f>
        <v>Communication Evidence / 공급자 교신/커뮤니케이션 증적</v>
      </c>
      <c r="D9" s="139" t="str">
        <f aca="false">WP_상세!G6</f>
        <v>Proto</v>
      </c>
      <c r="E9" s="139" t="str">
        <f aca="false">WP_상세!H6</f>
        <v>Discrete</v>
      </c>
      <c r="F9" s="139" t="str">
        <f aca="false">WP_상세!I6</f>
        <v>N</v>
      </c>
      <c r="G9" s="140" t="n">
        <f aca="false">WP_상세!J6</f>
        <v>1</v>
      </c>
      <c r="H9" s="141" t="n">
        <f aca="false">IFERROR(IF($E9&lt;&gt;"Discrete",0,IF(1&lt;MATCH($D9,$B$4:$F$4,0),0,IF($F9&lt;&gt;"Y",IF(1=MATCH($D9,$B$4:$F$4,0),1,0),IF(1=MATCH($D9,$B$4:$F$4,0),$G9+(1-$G9)/(5-MATCH($D9,$B$4:$F$4,0)+1),(1-$G9)/(5-MATCH($D9,$B$4:$F$4,0)+1))))),0)</f>
        <v>0</v>
      </c>
      <c r="I9" s="141" t="n">
        <f aca="false">IFERROR(IF($E9&lt;&gt;"Discrete",0,IF(2&lt;MATCH($D9,$B$4:$F$4,0),0,IF($F9&lt;&gt;"Y",IF(2=MATCH($D9,$B$4:$F$4,0),1,0),IF(2=MATCH($D9,$B$4:$F$4,0),$G9+(1-$G9)/(5-MATCH($D9,$B$4:$F$4,0)+1),(1-$G9)/(5-MATCH($D9,$B$4:$F$4,0)+1))))),0)</f>
        <v>1</v>
      </c>
      <c r="J9" s="141" t="n">
        <f aca="false">IFERROR(IF($E9&lt;&gt;"Discrete",0,IF(3&lt;MATCH($D9,$B$4:$F$4,0),0,IF($F9&lt;&gt;"Y",IF(3=MATCH($D9,$B$4:$F$4,0),1,0),IF(3=MATCH($D9,$B$4:$F$4,0),$G9+(1-$G9)/(5-MATCH($D9,$B$4:$F$4,0)+1),(1-$G9)/(5-MATCH($D9,$B$4:$F$4,0)+1))))),0)</f>
        <v>0</v>
      </c>
      <c r="K9" s="141" t="n">
        <f aca="false">IFERROR(IF($E9&lt;&gt;"Discrete",0,IF(4&lt;MATCH($D9,$B$4:$F$4,0),0,IF($F9&lt;&gt;"Y",IF(4=MATCH($D9,$B$4:$F$4,0),1,0),IF(4=MATCH($D9,$B$4:$F$4,0),$G9+(1-$G9)/(5-MATCH($D9,$B$4:$F$4,0)+1),(1-$G9)/(5-MATCH($D9,$B$4:$F$4,0)+1))))),0)</f>
        <v>0</v>
      </c>
      <c r="L9" s="141" t="n">
        <f aca="false">IFERROR(IF($E9&lt;&gt;"Discrete",0,IF(5&lt;MATCH($D9,$B$4:$F$4,0),0,IF($F9&lt;&gt;"Y",IF(5=MATCH($D9,$B$4:$F$4,0),1,0),IF(5=MATCH($D9,$B$4:$F$4,0),$G9+(1-$G9)/(5-MATCH($D9,$B$4:$F$4,0)+1),(1-$G9)/(5-MATCH($D9,$B$4:$F$4,0)+1))))),0)</f>
        <v>0</v>
      </c>
    </row>
    <row r="10" customFormat="false" ht="14.25" hidden="false" customHeight="true" outlineLevel="0" collapsed="false">
      <c r="A10" s="139" t="n">
        <f aca="false">WP_상세!A7</f>
        <v>3</v>
      </c>
      <c r="B10" s="139" t="str">
        <f aca="false">WP_상세!B7</f>
        <v>ACQ.4</v>
      </c>
      <c r="C10" s="139" t="str">
        <f aca="false">WP_상세!F7</f>
        <v>Review Evidence / 개발 작업산출물 공동검토 기록</v>
      </c>
      <c r="D10" s="139" t="str">
        <f aca="false">WP_상세!G7</f>
        <v>Proto</v>
      </c>
      <c r="E10" s="139" t="str">
        <f aca="false">WP_상세!H7</f>
        <v>LOE</v>
      </c>
      <c r="F10" s="139" t="n">
        <f aca="false">WP_상세!I7</f>
        <v>0</v>
      </c>
      <c r="G10" s="139" t="n">
        <f aca="false">WP_상세!J7</f>
        <v>0</v>
      </c>
      <c r="H10" s="141" t="n">
        <f aca="false">IFERROR(IF($E10&lt;&gt;"Discrete",0,IF(1&lt;MATCH($D10,$B$4:$F$4,0),0,IF($F10&lt;&gt;"Y",IF(1=MATCH($D10,$B$4:$F$4,0),1,0),IF(1=MATCH($D10,$B$4:$F$4,0),$G10+(1-$G10)/(5-MATCH($D10,$B$4:$F$4,0)+1),(1-$G10)/(5-MATCH($D10,$B$4:$F$4,0)+1))))),0)</f>
        <v>0</v>
      </c>
      <c r="I10" s="141" t="n">
        <f aca="false">IFERROR(IF($E10&lt;&gt;"Discrete",0,IF(2&lt;MATCH($D10,$B$4:$F$4,0),0,IF($F10&lt;&gt;"Y",IF(2=MATCH($D10,$B$4:$F$4,0),1,0),IF(2=MATCH($D10,$B$4:$F$4,0),$G10+(1-$G10)/(5-MATCH($D10,$B$4:$F$4,0)+1),(1-$G10)/(5-MATCH($D10,$B$4:$F$4,0)+1))))),0)</f>
        <v>0</v>
      </c>
      <c r="J10" s="141" t="n">
        <f aca="false">IFERROR(IF($E10&lt;&gt;"Discrete",0,IF(3&lt;MATCH($D10,$B$4:$F$4,0),0,IF($F10&lt;&gt;"Y",IF(3=MATCH($D10,$B$4:$F$4,0),1,0),IF(3=MATCH($D10,$B$4:$F$4,0),$G10+(1-$G10)/(5-MATCH($D10,$B$4:$F$4,0)+1),(1-$G10)/(5-MATCH($D10,$B$4:$F$4,0)+1))))),0)</f>
        <v>0</v>
      </c>
      <c r="K10" s="141" t="n">
        <f aca="false">IFERROR(IF($E10&lt;&gt;"Discrete",0,IF(4&lt;MATCH($D10,$B$4:$F$4,0),0,IF($F10&lt;&gt;"Y",IF(4=MATCH($D10,$B$4:$F$4,0),1,0),IF(4=MATCH($D10,$B$4:$F$4,0),$G10+(1-$G10)/(5-MATCH($D10,$B$4:$F$4,0)+1),(1-$G10)/(5-MATCH($D10,$B$4:$F$4,0)+1))))),0)</f>
        <v>0</v>
      </c>
      <c r="L10" s="141" t="n">
        <f aca="false">IFERROR(IF($E10&lt;&gt;"Discrete",0,IF(5&lt;MATCH($D10,$B$4:$F$4,0),0,IF($F10&lt;&gt;"Y",IF(5=MATCH($D10,$B$4:$F$4,0),1,0),IF(5=MATCH($D10,$B$4:$F$4,0),$G10+(1-$G10)/(5-MATCH($D10,$B$4:$F$4,0)+1),(1-$G10)/(5-MATCH($D10,$B$4:$F$4,0)+1))))),0)</f>
        <v>0</v>
      </c>
    </row>
    <row r="11" customFormat="false" ht="14.25" hidden="false" customHeight="true" outlineLevel="0" collapsed="false">
      <c r="A11" s="139" t="n">
        <f aca="false">WP_상세!A8</f>
        <v>4</v>
      </c>
      <c r="B11" s="139" t="str">
        <f aca="false">WP_상세!B8</f>
        <v>ACQ.4</v>
      </c>
      <c r="C11" s="139" t="str">
        <f aca="false">WP_상세!F8</f>
        <v>Progress Status / 공급자 진척현황 보고서</v>
      </c>
      <c r="D11" s="139" t="str">
        <f aca="false">WP_상세!G8</f>
        <v>Proto</v>
      </c>
      <c r="E11" s="139" t="str">
        <f aca="false">WP_상세!H8</f>
        <v>LOE</v>
      </c>
      <c r="F11" s="139" t="n">
        <f aca="false">WP_상세!I8</f>
        <v>0</v>
      </c>
      <c r="G11" s="139" t="n">
        <f aca="false">WP_상세!J8</f>
        <v>0</v>
      </c>
      <c r="H11" s="141" t="n">
        <f aca="false">IFERROR(IF($E11&lt;&gt;"Discrete",0,IF(1&lt;MATCH($D11,$B$4:$F$4,0),0,IF($F11&lt;&gt;"Y",IF(1=MATCH($D11,$B$4:$F$4,0),1,0),IF(1=MATCH($D11,$B$4:$F$4,0),$G11+(1-$G11)/(5-MATCH($D11,$B$4:$F$4,0)+1),(1-$G11)/(5-MATCH($D11,$B$4:$F$4,0)+1))))),0)</f>
        <v>0</v>
      </c>
      <c r="I11" s="141" t="n">
        <f aca="false">IFERROR(IF($E11&lt;&gt;"Discrete",0,IF(2&lt;MATCH($D11,$B$4:$F$4,0),0,IF($F11&lt;&gt;"Y",IF(2=MATCH($D11,$B$4:$F$4,0),1,0),IF(2=MATCH($D11,$B$4:$F$4,0),$G11+(1-$G11)/(5-MATCH($D11,$B$4:$F$4,0)+1),(1-$G11)/(5-MATCH($D11,$B$4:$F$4,0)+1))))),0)</f>
        <v>0</v>
      </c>
      <c r="J11" s="141" t="n">
        <f aca="false">IFERROR(IF($E11&lt;&gt;"Discrete",0,IF(3&lt;MATCH($D11,$B$4:$F$4,0),0,IF($F11&lt;&gt;"Y",IF(3=MATCH($D11,$B$4:$F$4,0),1,0),IF(3=MATCH($D11,$B$4:$F$4,0),$G11+(1-$G11)/(5-MATCH($D11,$B$4:$F$4,0)+1),(1-$G11)/(5-MATCH($D11,$B$4:$F$4,0)+1))))),0)</f>
        <v>0</v>
      </c>
      <c r="K11" s="141" t="n">
        <f aca="false">IFERROR(IF($E11&lt;&gt;"Discrete",0,IF(4&lt;MATCH($D11,$B$4:$F$4,0),0,IF($F11&lt;&gt;"Y",IF(4=MATCH($D11,$B$4:$F$4,0),1,0),IF(4=MATCH($D11,$B$4:$F$4,0),$G11+(1-$G11)/(5-MATCH($D11,$B$4:$F$4,0)+1),(1-$G11)/(5-MATCH($D11,$B$4:$F$4,0)+1))))),0)</f>
        <v>0</v>
      </c>
      <c r="L11" s="141" t="n">
        <f aca="false">IFERROR(IF($E11&lt;&gt;"Discrete",0,IF(5&lt;MATCH($D11,$B$4:$F$4,0),0,IF($F11&lt;&gt;"Y",IF(5=MATCH($D11,$B$4:$F$4,0),1,0),IF(5=MATCH($D11,$B$4:$F$4,0),$G11+(1-$G11)/(5-MATCH($D11,$B$4:$F$4,0)+1),(1-$G11)/(5-MATCH($D11,$B$4:$F$4,0)+1))))),0)</f>
        <v>0</v>
      </c>
    </row>
    <row r="12" customFormat="false" ht="14.25" hidden="false" customHeight="true" outlineLevel="0" collapsed="false">
      <c r="A12" s="139" t="n">
        <f aca="false">WP_상세!A9</f>
        <v>5</v>
      </c>
      <c r="B12" s="139" t="str">
        <f aca="false">WP_상세!B9</f>
        <v>ACQ.4</v>
      </c>
      <c r="C12" s="139" t="str">
        <f aca="false">WP_상세!F9</f>
        <v>Corrective Action / 시정조치 기록서</v>
      </c>
      <c r="D12" s="139" t="str">
        <f aca="false">WP_상세!G9</f>
        <v>P1</v>
      </c>
      <c r="E12" s="139" t="str">
        <f aca="false">WP_상세!H9</f>
        <v>LOE</v>
      </c>
      <c r="F12" s="139" t="n">
        <f aca="false">WP_상세!I9</f>
        <v>0</v>
      </c>
      <c r="G12" s="139" t="n">
        <f aca="false">WP_상세!J9</f>
        <v>0</v>
      </c>
      <c r="H12" s="141" t="n">
        <f aca="false">IFERROR(IF($E12&lt;&gt;"Discrete",0,IF(1&lt;MATCH($D12,$B$4:$F$4,0),0,IF($F12&lt;&gt;"Y",IF(1=MATCH($D12,$B$4:$F$4,0),1,0),IF(1=MATCH($D12,$B$4:$F$4,0),$G12+(1-$G12)/(5-MATCH($D12,$B$4:$F$4,0)+1),(1-$G12)/(5-MATCH($D12,$B$4:$F$4,0)+1))))),0)</f>
        <v>0</v>
      </c>
      <c r="I12" s="141" t="n">
        <f aca="false">IFERROR(IF($E12&lt;&gt;"Discrete",0,IF(2&lt;MATCH($D12,$B$4:$F$4,0),0,IF($F12&lt;&gt;"Y",IF(2=MATCH($D12,$B$4:$F$4,0),1,0),IF(2=MATCH($D12,$B$4:$F$4,0),$G12+(1-$G12)/(5-MATCH($D12,$B$4:$F$4,0)+1),(1-$G12)/(5-MATCH($D12,$B$4:$F$4,0)+1))))),0)</f>
        <v>0</v>
      </c>
      <c r="J12" s="141" t="n">
        <f aca="false">IFERROR(IF($E12&lt;&gt;"Discrete",0,IF(3&lt;MATCH($D12,$B$4:$F$4,0),0,IF($F12&lt;&gt;"Y",IF(3=MATCH($D12,$B$4:$F$4,0),1,0),IF(3=MATCH($D12,$B$4:$F$4,0),$G12+(1-$G12)/(5-MATCH($D12,$B$4:$F$4,0)+1),(1-$G12)/(5-MATCH($D12,$B$4:$F$4,0)+1))))),0)</f>
        <v>0</v>
      </c>
      <c r="K12" s="141" t="n">
        <f aca="false">IFERROR(IF($E12&lt;&gt;"Discrete",0,IF(4&lt;MATCH($D12,$B$4:$F$4,0),0,IF($F12&lt;&gt;"Y",IF(4=MATCH($D12,$B$4:$F$4,0),1,0),IF(4=MATCH($D12,$B$4:$F$4,0),$G12+(1-$G12)/(5-MATCH($D12,$B$4:$F$4,0)+1),(1-$G12)/(5-MATCH($D12,$B$4:$F$4,0)+1))))),0)</f>
        <v>0</v>
      </c>
      <c r="L12" s="141" t="n">
        <f aca="false">IFERROR(IF($E12&lt;&gt;"Discrete",0,IF(5&lt;MATCH($D12,$B$4:$F$4,0),0,IF($F12&lt;&gt;"Y",IF(5=MATCH($D12,$B$4:$F$4,0),1,0),IF(5=MATCH($D12,$B$4:$F$4,0),$G12+(1-$G12)/(5-MATCH($D12,$B$4:$F$4,0)+1),(1-$G12)/(5-MATCH($D12,$B$4:$F$4,0)+1))))),0)</f>
        <v>0</v>
      </c>
    </row>
    <row r="13" customFormat="false" ht="14.25" hidden="false" customHeight="true" outlineLevel="0" collapsed="false">
      <c r="A13" s="139" t="n">
        <f aca="false">WP_상세!A10</f>
        <v>6</v>
      </c>
      <c r="B13" s="139" t="str">
        <f aca="false">WP_상세!B10</f>
        <v>SPL.2</v>
      </c>
      <c r="C13" s="139" t="str">
        <f aca="false">WP_상세!F10</f>
        <v>Product Release Criteria / 릴리스 기능내용/기준 정의서</v>
      </c>
      <c r="D13" s="139" t="str">
        <f aca="false">WP_상세!G10</f>
        <v>릴리즈이력 참조</v>
      </c>
      <c r="E13" s="139" t="str">
        <f aca="false">WP_상세!H10</f>
        <v>Discrete</v>
      </c>
      <c r="F13" s="139" t="n">
        <f aca="false">WP_상세!I10</f>
        <v>0</v>
      </c>
      <c r="G13" s="139" t="n">
        <f aca="false">WP_상세!J10</f>
        <v>0</v>
      </c>
      <c r="H13" s="141" t="n">
        <f aca="false">IFERROR(IF($E13&lt;&gt;"Discrete",0,IF(1&lt;MATCH($D13,$B$4:$F$4,0),0,IF($F13&lt;&gt;"Y",IF(1=MATCH($D13,$B$4:$F$4,0),1,0),IF(1=MATCH($D13,$B$4:$F$4,0),$G13+(1-$G13)/(5-MATCH($D13,$B$4:$F$4,0)+1),(1-$G13)/(5-MATCH($D13,$B$4:$F$4,0)+1))))),0)</f>
        <v>0</v>
      </c>
      <c r="I13" s="141" t="n">
        <f aca="false">IFERROR(IF($E13&lt;&gt;"Discrete",0,IF(2&lt;MATCH($D13,$B$4:$F$4,0),0,IF($F13&lt;&gt;"Y",IF(2=MATCH($D13,$B$4:$F$4,0),1,0),IF(2=MATCH($D13,$B$4:$F$4,0),$G13+(1-$G13)/(5-MATCH($D13,$B$4:$F$4,0)+1),(1-$G13)/(5-MATCH($D13,$B$4:$F$4,0)+1))))),0)</f>
        <v>0</v>
      </c>
      <c r="J13" s="141" t="n">
        <f aca="false">IFERROR(IF($E13&lt;&gt;"Discrete",0,IF(3&lt;MATCH($D13,$B$4:$F$4,0),0,IF($F13&lt;&gt;"Y",IF(3=MATCH($D13,$B$4:$F$4,0),1,0),IF(3=MATCH($D13,$B$4:$F$4,0),$G13+(1-$G13)/(5-MATCH($D13,$B$4:$F$4,0)+1),(1-$G13)/(5-MATCH($D13,$B$4:$F$4,0)+1))))),0)</f>
        <v>0</v>
      </c>
      <c r="K13" s="141" t="n">
        <f aca="false">IFERROR(IF($E13&lt;&gt;"Discrete",0,IF(4&lt;MATCH($D13,$B$4:$F$4,0),0,IF($F13&lt;&gt;"Y",IF(4=MATCH($D13,$B$4:$F$4,0),1,0),IF(4=MATCH($D13,$B$4:$F$4,0),$G13+(1-$G13)/(5-MATCH($D13,$B$4:$F$4,0)+1),(1-$G13)/(5-MATCH($D13,$B$4:$F$4,0)+1))))),0)</f>
        <v>0</v>
      </c>
      <c r="L13" s="141" t="n">
        <f aca="false">IFERROR(IF($E13&lt;&gt;"Discrete",0,IF(5&lt;MATCH($D13,$B$4:$F$4,0),0,IF($F13&lt;&gt;"Y",IF(5=MATCH($D13,$B$4:$F$4,0),1,0),IF(5=MATCH($D13,$B$4:$F$4,0),$G13+(1-$G13)/(5-MATCH($D13,$B$4:$F$4,0)+1),(1-$G13)/(5-MATCH($D13,$B$4:$F$4,0)+1))))),0)</f>
        <v>0</v>
      </c>
    </row>
    <row r="14" customFormat="false" ht="14.25" hidden="false" customHeight="true" outlineLevel="0" collapsed="false">
      <c r="A14" s="139" t="n">
        <f aca="false">WP_상세!A11</f>
        <v>7</v>
      </c>
      <c r="B14" s="139" t="str">
        <f aca="false">WP_상세!B11</f>
        <v>SPL.2</v>
      </c>
      <c r="C14" s="139" t="str">
        <f aca="false">WP_상세!F11</f>
        <v>Product Release Criteria / 릴리스 패키지 정의서</v>
      </c>
      <c r="D14" s="139" t="str">
        <f aca="false">WP_상세!G11</f>
        <v>릴리즈이력 참조</v>
      </c>
      <c r="E14" s="139" t="str">
        <f aca="false">WP_상세!H11</f>
        <v>Discrete</v>
      </c>
      <c r="F14" s="139" t="n">
        <f aca="false">WP_상세!I11</f>
        <v>0</v>
      </c>
      <c r="G14" s="139" t="n">
        <f aca="false">WP_상세!J11</f>
        <v>0</v>
      </c>
      <c r="H14" s="141" t="n">
        <f aca="false">IFERROR(IF($E14&lt;&gt;"Discrete",0,IF(1&lt;MATCH($D14,$B$4:$F$4,0),0,IF($F14&lt;&gt;"Y",IF(1=MATCH($D14,$B$4:$F$4,0),1,0),IF(1=MATCH($D14,$B$4:$F$4,0),$G14+(1-$G14)/(5-MATCH($D14,$B$4:$F$4,0)+1),(1-$G14)/(5-MATCH($D14,$B$4:$F$4,0)+1))))),0)</f>
        <v>0</v>
      </c>
      <c r="I14" s="141" t="n">
        <f aca="false">IFERROR(IF($E14&lt;&gt;"Discrete",0,IF(2&lt;MATCH($D14,$B$4:$F$4,0),0,IF($F14&lt;&gt;"Y",IF(2=MATCH($D14,$B$4:$F$4,0),1,0),IF(2=MATCH($D14,$B$4:$F$4,0),$G14+(1-$G14)/(5-MATCH($D14,$B$4:$F$4,0)+1),(1-$G14)/(5-MATCH($D14,$B$4:$F$4,0)+1))))),0)</f>
        <v>0</v>
      </c>
      <c r="J14" s="141" t="n">
        <f aca="false">IFERROR(IF($E14&lt;&gt;"Discrete",0,IF(3&lt;MATCH($D14,$B$4:$F$4,0),0,IF($F14&lt;&gt;"Y",IF(3=MATCH($D14,$B$4:$F$4,0),1,0),IF(3=MATCH($D14,$B$4:$F$4,0),$G14+(1-$G14)/(5-MATCH($D14,$B$4:$F$4,0)+1),(1-$G14)/(5-MATCH($D14,$B$4:$F$4,0)+1))))),0)</f>
        <v>0</v>
      </c>
      <c r="K14" s="141" t="n">
        <f aca="false">IFERROR(IF($E14&lt;&gt;"Discrete",0,IF(4&lt;MATCH($D14,$B$4:$F$4,0),0,IF($F14&lt;&gt;"Y",IF(4=MATCH($D14,$B$4:$F$4,0),1,0),IF(4=MATCH($D14,$B$4:$F$4,0),$G14+(1-$G14)/(5-MATCH($D14,$B$4:$F$4,0)+1),(1-$G14)/(5-MATCH($D14,$B$4:$F$4,0)+1))))),0)</f>
        <v>0</v>
      </c>
      <c r="L14" s="141" t="n">
        <f aca="false">IFERROR(IF($E14&lt;&gt;"Discrete",0,IF(5&lt;MATCH($D14,$B$4:$F$4,0),0,IF($F14&lt;&gt;"Y",IF(5=MATCH($D14,$B$4:$F$4,0),1,0),IF(5=MATCH($D14,$B$4:$F$4,0),$G14+(1-$G14)/(5-MATCH($D14,$B$4:$F$4,0)+1),(1-$G14)/(5-MATCH($D14,$B$4:$F$4,0)+1))))),0)</f>
        <v>0</v>
      </c>
    </row>
    <row r="15" customFormat="false" ht="14.25" hidden="false" customHeight="true" outlineLevel="0" collapsed="false">
      <c r="A15" s="139" t="n">
        <f aca="false">WP_상세!A12</f>
        <v>8</v>
      </c>
      <c r="B15" s="139" t="str">
        <f aca="false">WP_상세!B12</f>
        <v>SPL.2</v>
      </c>
      <c r="C15" s="139" t="str">
        <f aca="false">WP_상세!F12</f>
        <v>Release Note / 릴리스 고유식별/번호체계 문서(릴리스 노트 내 포함)</v>
      </c>
      <c r="D15" s="139" t="str">
        <f aca="false">WP_상세!G12</f>
        <v>릴리즈이력 참조</v>
      </c>
      <c r="E15" s="139" t="str">
        <f aca="false">WP_상세!H12</f>
        <v>Discrete</v>
      </c>
      <c r="F15" s="139" t="n">
        <f aca="false">WP_상세!I12</f>
        <v>0</v>
      </c>
      <c r="G15" s="139" t="n">
        <f aca="false">WP_상세!J12</f>
        <v>0</v>
      </c>
      <c r="H15" s="141" t="n">
        <f aca="false">IFERROR(IF($E15&lt;&gt;"Discrete",0,IF(1&lt;MATCH($D15,$B$4:$F$4,0),0,IF($F15&lt;&gt;"Y",IF(1=MATCH($D15,$B$4:$F$4,0),1,0),IF(1=MATCH($D15,$B$4:$F$4,0),$G15+(1-$G15)/(5-MATCH($D15,$B$4:$F$4,0)+1),(1-$G15)/(5-MATCH($D15,$B$4:$F$4,0)+1))))),0)</f>
        <v>0</v>
      </c>
      <c r="I15" s="141" t="n">
        <f aca="false">IFERROR(IF($E15&lt;&gt;"Discrete",0,IF(2&lt;MATCH($D15,$B$4:$F$4,0),0,IF($F15&lt;&gt;"Y",IF(2=MATCH($D15,$B$4:$F$4,0),1,0),IF(2=MATCH($D15,$B$4:$F$4,0),$G15+(1-$G15)/(5-MATCH($D15,$B$4:$F$4,0)+1),(1-$G15)/(5-MATCH($D15,$B$4:$F$4,0)+1))))),0)</f>
        <v>0</v>
      </c>
      <c r="J15" s="141" t="n">
        <f aca="false">IFERROR(IF($E15&lt;&gt;"Discrete",0,IF(3&lt;MATCH($D15,$B$4:$F$4,0),0,IF($F15&lt;&gt;"Y",IF(3=MATCH($D15,$B$4:$F$4,0),1,0),IF(3=MATCH($D15,$B$4:$F$4,0),$G15+(1-$G15)/(5-MATCH($D15,$B$4:$F$4,0)+1),(1-$G15)/(5-MATCH($D15,$B$4:$F$4,0)+1))))),0)</f>
        <v>0</v>
      </c>
      <c r="K15" s="141" t="n">
        <f aca="false">IFERROR(IF($E15&lt;&gt;"Discrete",0,IF(4&lt;MATCH($D15,$B$4:$F$4,0),0,IF($F15&lt;&gt;"Y",IF(4=MATCH($D15,$B$4:$F$4,0),1,0),IF(4=MATCH($D15,$B$4:$F$4,0),$G15+(1-$G15)/(5-MATCH($D15,$B$4:$F$4,0)+1),(1-$G15)/(5-MATCH($D15,$B$4:$F$4,0)+1))))),0)</f>
        <v>0</v>
      </c>
      <c r="L15" s="141" t="n">
        <f aca="false">IFERROR(IF($E15&lt;&gt;"Discrete",0,IF(5&lt;MATCH($D15,$B$4:$F$4,0),0,IF($F15&lt;&gt;"Y",IF(5=MATCH($D15,$B$4:$F$4,0),1,0),IF(5=MATCH($D15,$B$4:$F$4,0),$G15+(1-$G15)/(5-MATCH($D15,$B$4:$F$4,0)+1),(1-$G15)/(5-MATCH($D15,$B$4:$F$4,0)+1))))),0)</f>
        <v>0</v>
      </c>
    </row>
    <row r="16" customFormat="false" ht="14.25" hidden="false" customHeight="true" outlineLevel="0" collapsed="false">
      <c r="A16" s="139" t="n">
        <f aca="false">WP_상세!A13</f>
        <v>9</v>
      </c>
      <c r="B16" s="139" t="str">
        <f aca="false">WP_상세!B13</f>
        <v>SPL.2</v>
      </c>
      <c r="C16" s="139" t="str">
        <f aca="false">WP_상세!F13</f>
        <v>Product Release Package / 릴리스 패키지(형상통제 항목 기반 빌드)</v>
      </c>
      <c r="D16" s="139" t="str">
        <f aca="false">WP_상세!G13</f>
        <v>릴리즈이력 참조</v>
      </c>
      <c r="E16" s="139" t="str">
        <f aca="false">WP_상세!H13</f>
        <v>Discrete</v>
      </c>
      <c r="F16" s="139" t="n">
        <f aca="false">WP_상세!I13</f>
        <v>0</v>
      </c>
      <c r="G16" s="139" t="n">
        <f aca="false">WP_상세!J13</f>
        <v>0</v>
      </c>
      <c r="H16" s="141" t="n">
        <f aca="false">IFERROR(IF($E16&lt;&gt;"Discrete",0,IF(1&lt;MATCH($D16,$B$4:$F$4,0),0,IF($F16&lt;&gt;"Y",IF(1=MATCH($D16,$B$4:$F$4,0),1,0),IF(1=MATCH($D16,$B$4:$F$4,0),$G16+(1-$G16)/(5-MATCH($D16,$B$4:$F$4,0)+1),(1-$G16)/(5-MATCH($D16,$B$4:$F$4,0)+1))))),0)</f>
        <v>0</v>
      </c>
      <c r="I16" s="141" t="n">
        <f aca="false">IFERROR(IF($E16&lt;&gt;"Discrete",0,IF(2&lt;MATCH($D16,$B$4:$F$4,0),0,IF($F16&lt;&gt;"Y",IF(2=MATCH($D16,$B$4:$F$4,0),1,0),IF(2=MATCH($D16,$B$4:$F$4,0),$G16+(1-$G16)/(5-MATCH($D16,$B$4:$F$4,0)+1),(1-$G16)/(5-MATCH($D16,$B$4:$F$4,0)+1))))),0)</f>
        <v>0</v>
      </c>
      <c r="J16" s="141" t="n">
        <f aca="false">IFERROR(IF($E16&lt;&gt;"Discrete",0,IF(3&lt;MATCH($D16,$B$4:$F$4,0),0,IF($F16&lt;&gt;"Y",IF(3=MATCH($D16,$B$4:$F$4,0),1,0),IF(3=MATCH($D16,$B$4:$F$4,0),$G16+(1-$G16)/(5-MATCH($D16,$B$4:$F$4,0)+1),(1-$G16)/(5-MATCH($D16,$B$4:$F$4,0)+1))))),0)</f>
        <v>0</v>
      </c>
      <c r="K16" s="141" t="n">
        <f aca="false">IFERROR(IF($E16&lt;&gt;"Discrete",0,IF(4&lt;MATCH($D16,$B$4:$F$4,0),0,IF($F16&lt;&gt;"Y",IF(4=MATCH($D16,$B$4:$F$4,0),1,0),IF(4=MATCH($D16,$B$4:$F$4,0),$G16+(1-$G16)/(5-MATCH($D16,$B$4:$F$4,0)+1),(1-$G16)/(5-MATCH($D16,$B$4:$F$4,0)+1))))),0)</f>
        <v>0</v>
      </c>
      <c r="L16" s="141" t="n">
        <f aca="false">IFERROR(IF($E16&lt;&gt;"Discrete",0,IF(5&lt;MATCH($D16,$B$4:$F$4,0),0,IF($F16&lt;&gt;"Y",IF(5=MATCH($D16,$B$4:$F$4,0),1,0),IF(5=MATCH($D16,$B$4:$F$4,0),$G16+(1-$G16)/(5-MATCH($D16,$B$4:$F$4,0)+1),(1-$G16)/(5-MATCH($D16,$B$4:$F$4,0)+1))))),0)</f>
        <v>0</v>
      </c>
    </row>
    <row r="17" customFormat="false" ht="14.25" hidden="false" customHeight="true" outlineLevel="0" collapsed="false">
      <c r="A17" s="139" t="n">
        <f aca="false">WP_상세!A14</f>
        <v>10</v>
      </c>
      <c r="B17" s="139" t="str">
        <f aca="false">WP_상세!B14</f>
        <v>SPL.2</v>
      </c>
      <c r="C17" s="139" t="str">
        <f aca="false">WP_상세!F14</f>
        <v>Product Release Approval / 릴리스 승인서</v>
      </c>
      <c r="D17" s="139" t="str">
        <f aca="false">WP_상세!G14</f>
        <v>릴리즈이력 참조</v>
      </c>
      <c r="E17" s="139" t="str">
        <f aca="false">WP_상세!H14</f>
        <v>Discrete</v>
      </c>
      <c r="F17" s="139" t="n">
        <f aca="false">WP_상세!I14</f>
        <v>0</v>
      </c>
      <c r="G17" s="139" t="n">
        <f aca="false">WP_상세!J14</f>
        <v>0</v>
      </c>
      <c r="H17" s="141" t="n">
        <f aca="false">IFERROR(IF($E17&lt;&gt;"Discrete",0,IF(1&lt;MATCH($D17,$B$4:$F$4,0),0,IF($F17&lt;&gt;"Y",IF(1=MATCH($D17,$B$4:$F$4,0),1,0),IF(1=MATCH($D17,$B$4:$F$4,0),$G17+(1-$G17)/(5-MATCH($D17,$B$4:$F$4,0)+1),(1-$G17)/(5-MATCH($D17,$B$4:$F$4,0)+1))))),0)</f>
        <v>0</v>
      </c>
      <c r="I17" s="141" t="n">
        <f aca="false">IFERROR(IF($E17&lt;&gt;"Discrete",0,IF(2&lt;MATCH($D17,$B$4:$F$4,0),0,IF($F17&lt;&gt;"Y",IF(2=MATCH($D17,$B$4:$F$4,0),1,0),IF(2=MATCH($D17,$B$4:$F$4,0),$G17+(1-$G17)/(5-MATCH($D17,$B$4:$F$4,0)+1),(1-$G17)/(5-MATCH($D17,$B$4:$F$4,0)+1))))),0)</f>
        <v>0</v>
      </c>
      <c r="J17" s="141" t="n">
        <f aca="false">IFERROR(IF($E17&lt;&gt;"Discrete",0,IF(3&lt;MATCH($D17,$B$4:$F$4,0),0,IF($F17&lt;&gt;"Y",IF(3=MATCH($D17,$B$4:$F$4,0),1,0),IF(3=MATCH($D17,$B$4:$F$4,0),$G17+(1-$G17)/(5-MATCH($D17,$B$4:$F$4,0)+1),(1-$G17)/(5-MATCH($D17,$B$4:$F$4,0)+1))))),0)</f>
        <v>0</v>
      </c>
      <c r="K17" s="141" t="n">
        <f aca="false">IFERROR(IF($E17&lt;&gt;"Discrete",0,IF(4&lt;MATCH($D17,$B$4:$F$4,0),0,IF($F17&lt;&gt;"Y",IF(4=MATCH($D17,$B$4:$F$4,0),1,0),IF(4=MATCH($D17,$B$4:$F$4,0),$G17+(1-$G17)/(5-MATCH($D17,$B$4:$F$4,0)+1),(1-$G17)/(5-MATCH($D17,$B$4:$F$4,0)+1))))),0)</f>
        <v>0</v>
      </c>
      <c r="L17" s="141" t="n">
        <f aca="false">IFERROR(IF($E17&lt;&gt;"Discrete",0,IF(5&lt;MATCH($D17,$B$4:$F$4,0),0,IF($F17&lt;&gt;"Y",IF(5=MATCH($D17,$B$4:$F$4,0),1,0),IF(5=MATCH($D17,$B$4:$F$4,0),$G17+(1-$G17)/(5-MATCH($D17,$B$4:$F$4,0)+1),(1-$G17)/(5-MATCH($D17,$B$4:$F$4,0)+1))))),0)</f>
        <v>0</v>
      </c>
    </row>
    <row r="18" customFormat="false" ht="14.25" hidden="false" customHeight="true" outlineLevel="0" collapsed="false">
      <c r="A18" s="139" t="n">
        <f aca="false">WP_상세!A15</f>
        <v>11</v>
      </c>
      <c r="B18" s="139" t="str">
        <f aca="false">WP_상세!B15</f>
        <v>SPL.2</v>
      </c>
      <c r="C18" s="139" t="str">
        <f aca="false">WP_상세!F15</f>
        <v>Release Note / 릴리스 노트</v>
      </c>
      <c r="D18" s="139" t="str">
        <f aca="false">WP_상세!G15</f>
        <v>릴리즈이력 참조</v>
      </c>
      <c r="E18" s="139" t="str">
        <f aca="false">WP_상세!H15</f>
        <v>Discrete</v>
      </c>
      <c r="F18" s="139" t="n">
        <f aca="false">WP_상세!I15</f>
        <v>0</v>
      </c>
      <c r="G18" s="139" t="n">
        <f aca="false">WP_상세!J15</f>
        <v>0</v>
      </c>
      <c r="H18" s="141" t="n">
        <f aca="false">IFERROR(IF($E18&lt;&gt;"Discrete",0,IF(1&lt;MATCH($D18,$B$4:$F$4,0),0,IF($F18&lt;&gt;"Y",IF(1=MATCH($D18,$B$4:$F$4,0),1,0),IF(1=MATCH($D18,$B$4:$F$4,0),$G18+(1-$G18)/(5-MATCH($D18,$B$4:$F$4,0)+1),(1-$G18)/(5-MATCH($D18,$B$4:$F$4,0)+1))))),0)</f>
        <v>0</v>
      </c>
      <c r="I18" s="141" t="n">
        <f aca="false">IFERROR(IF($E18&lt;&gt;"Discrete",0,IF(2&lt;MATCH($D18,$B$4:$F$4,0),0,IF($F18&lt;&gt;"Y",IF(2=MATCH($D18,$B$4:$F$4,0),1,0),IF(2=MATCH($D18,$B$4:$F$4,0),$G18+(1-$G18)/(5-MATCH($D18,$B$4:$F$4,0)+1),(1-$G18)/(5-MATCH($D18,$B$4:$F$4,0)+1))))),0)</f>
        <v>0</v>
      </c>
      <c r="J18" s="141" t="n">
        <f aca="false">IFERROR(IF($E18&lt;&gt;"Discrete",0,IF(3&lt;MATCH($D18,$B$4:$F$4,0),0,IF($F18&lt;&gt;"Y",IF(3=MATCH($D18,$B$4:$F$4,0),1,0),IF(3=MATCH($D18,$B$4:$F$4,0),$G18+(1-$G18)/(5-MATCH($D18,$B$4:$F$4,0)+1),(1-$G18)/(5-MATCH($D18,$B$4:$F$4,0)+1))))),0)</f>
        <v>0</v>
      </c>
      <c r="K18" s="141" t="n">
        <f aca="false">IFERROR(IF($E18&lt;&gt;"Discrete",0,IF(4&lt;MATCH($D18,$B$4:$F$4,0),0,IF($F18&lt;&gt;"Y",IF(4=MATCH($D18,$B$4:$F$4,0),1,0),IF(4=MATCH($D18,$B$4:$F$4,0),$G18+(1-$G18)/(5-MATCH($D18,$B$4:$F$4,0)+1),(1-$G18)/(5-MATCH($D18,$B$4:$F$4,0)+1))))),0)</f>
        <v>0</v>
      </c>
      <c r="L18" s="141" t="n">
        <f aca="false">IFERROR(IF($E18&lt;&gt;"Discrete",0,IF(5&lt;MATCH($D18,$B$4:$F$4,0),0,IF($F18&lt;&gt;"Y",IF(5=MATCH($D18,$B$4:$F$4,0),1,0),IF(5=MATCH($D18,$B$4:$F$4,0),$G18+(1-$G18)/(5-MATCH($D18,$B$4:$F$4,0)+1),(1-$G18)/(5-MATCH($D18,$B$4:$F$4,0)+1))))),0)</f>
        <v>0</v>
      </c>
    </row>
    <row r="19" customFormat="false" ht="14.25" hidden="false" customHeight="true" outlineLevel="0" collapsed="false">
      <c r="A19" s="139" t="n">
        <f aca="false">WP_상세!A16</f>
        <v>12</v>
      </c>
      <c r="B19" s="139" t="str">
        <f aca="false">WP_상세!B16</f>
        <v>SPL.2</v>
      </c>
      <c r="C19" s="139" t="str">
        <f aca="false">WP_상세!F16</f>
        <v>Release Note / 릴리스 지원유형/수준/기간 안내서(릴리스 노트 내 포함)</v>
      </c>
      <c r="D19" s="139" t="str">
        <f aca="false">WP_상세!G16</f>
        <v>릴리즈이력 참조</v>
      </c>
      <c r="E19" s="139" t="str">
        <f aca="false">WP_상세!H16</f>
        <v>Discrete</v>
      </c>
      <c r="F19" s="139" t="n">
        <f aca="false">WP_상세!I16</f>
        <v>0</v>
      </c>
      <c r="G19" s="139" t="n">
        <f aca="false">WP_상세!J16</f>
        <v>0</v>
      </c>
      <c r="H19" s="141" t="n">
        <f aca="false">IFERROR(IF($E19&lt;&gt;"Discrete",0,IF(1&lt;MATCH($D19,$B$4:$F$4,0),0,IF($F19&lt;&gt;"Y",IF(1=MATCH($D19,$B$4:$F$4,0),1,0),IF(1=MATCH($D19,$B$4:$F$4,0),$G19+(1-$G19)/(5-MATCH($D19,$B$4:$F$4,0)+1),(1-$G19)/(5-MATCH($D19,$B$4:$F$4,0)+1))))),0)</f>
        <v>0</v>
      </c>
      <c r="I19" s="141" t="n">
        <f aca="false">IFERROR(IF($E19&lt;&gt;"Discrete",0,IF(2&lt;MATCH($D19,$B$4:$F$4,0),0,IF($F19&lt;&gt;"Y",IF(2=MATCH($D19,$B$4:$F$4,0),1,0),IF(2=MATCH($D19,$B$4:$F$4,0),$G19+(1-$G19)/(5-MATCH($D19,$B$4:$F$4,0)+1),(1-$G19)/(5-MATCH($D19,$B$4:$F$4,0)+1))))),0)</f>
        <v>0</v>
      </c>
      <c r="J19" s="141" t="n">
        <f aca="false">IFERROR(IF($E19&lt;&gt;"Discrete",0,IF(3&lt;MATCH($D19,$B$4:$F$4,0),0,IF($F19&lt;&gt;"Y",IF(3=MATCH($D19,$B$4:$F$4,0),1,0),IF(3=MATCH($D19,$B$4:$F$4,0),$G19+(1-$G19)/(5-MATCH($D19,$B$4:$F$4,0)+1),(1-$G19)/(5-MATCH($D19,$B$4:$F$4,0)+1))))),0)</f>
        <v>0</v>
      </c>
      <c r="K19" s="141" t="n">
        <f aca="false">IFERROR(IF($E19&lt;&gt;"Discrete",0,IF(4&lt;MATCH($D19,$B$4:$F$4,0),0,IF($F19&lt;&gt;"Y",IF(4=MATCH($D19,$B$4:$F$4,0),1,0),IF(4=MATCH($D19,$B$4:$F$4,0),$G19+(1-$G19)/(5-MATCH($D19,$B$4:$F$4,0)+1),(1-$G19)/(5-MATCH($D19,$B$4:$F$4,0)+1))))),0)</f>
        <v>0</v>
      </c>
      <c r="L19" s="141" t="n">
        <f aca="false">IFERROR(IF($E19&lt;&gt;"Discrete",0,IF(5&lt;MATCH($D19,$B$4:$F$4,0),0,IF($F19&lt;&gt;"Y",IF(5=MATCH($D19,$B$4:$F$4,0),1,0),IF(5=MATCH($D19,$B$4:$F$4,0),$G19+(1-$G19)/(5-MATCH($D19,$B$4:$F$4,0)+1),(1-$G19)/(5-MATCH($D19,$B$4:$F$4,0)+1))))),0)</f>
        <v>0</v>
      </c>
    </row>
    <row r="20" customFormat="false" ht="14.25" hidden="false" customHeight="true" outlineLevel="0" collapsed="false">
      <c r="A20" s="139" t="n">
        <f aca="false">WP_상세!A17</f>
        <v>13</v>
      </c>
      <c r="B20" s="139" t="str">
        <f aca="false">WP_상세!B17</f>
        <v>SPL.2</v>
      </c>
      <c r="C20" s="139" t="str">
        <f aca="false">WP_상세!F17</f>
        <v>Delivery Evidence / 릴리스 패키지 인도/납품 증적</v>
      </c>
      <c r="D20" s="139" t="str">
        <f aca="false">WP_상세!G17</f>
        <v>릴리즈이력 참조</v>
      </c>
      <c r="E20" s="139" t="str">
        <f aca="false">WP_상세!H17</f>
        <v>Discrete</v>
      </c>
      <c r="F20" s="139" t="n">
        <f aca="false">WP_상세!I17</f>
        <v>0</v>
      </c>
      <c r="G20" s="139" t="n">
        <f aca="false">WP_상세!J17</f>
        <v>0</v>
      </c>
      <c r="H20" s="141" t="n">
        <f aca="false">IFERROR(IF($E20&lt;&gt;"Discrete",0,IF(1&lt;MATCH($D20,$B$4:$F$4,0),0,IF($F20&lt;&gt;"Y",IF(1=MATCH($D20,$B$4:$F$4,0),1,0),IF(1=MATCH($D20,$B$4:$F$4,0),$G20+(1-$G20)/(5-MATCH($D20,$B$4:$F$4,0)+1),(1-$G20)/(5-MATCH($D20,$B$4:$F$4,0)+1))))),0)</f>
        <v>0</v>
      </c>
      <c r="I20" s="141" t="n">
        <f aca="false">IFERROR(IF($E20&lt;&gt;"Discrete",0,IF(2&lt;MATCH($D20,$B$4:$F$4,0),0,IF($F20&lt;&gt;"Y",IF(2=MATCH($D20,$B$4:$F$4,0),1,0),IF(2=MATCH($D20,$B$4:$F$4,0),$G20+(1-$G20)/(5-MATCH($D20,$B$4:$F$4,0)+1),(1-$G20)/(5-MATCH($D20,$B$4:$F$4,0)+1))))),0)</f>
        <v>0</v>
      </c>
      <c r="J20" s="141" t="n">
        <f aca="false">IFERROR(IF($E20&lt;&gt;"Discrete",0,IF(3&lt;MATCH($D20,$B$4:$F$4,0),0,IF($F20&lt;&gt;"Y",IF(3=MATCH($D20,$B$4:$F$4,0),1,0),IF(3=MATCH($D20,$B$4:$F$4,0),$G20+(1-$G20)/(5-MATCH($D20,$B$4:$F$4,0)+1),(1-$G20)/(5-MATCH($D20,$B$4:$F$4,0)+1))))),0)</f>
        <v>0</v>
      </c>
      <c r="K20" s="141" t="n">
        <f aca="false">IFERROR(IF($E20&lt;&gt;"Discrete",0,IF(4&lt;MATCH($D20,$B$4:$F$4,0),0,IF($F20&lt;&gt;"Y",IF(4=MATCH($D20,$B$4:$F$4,0),1,0),IF(4=MATCH($D20,$B$4:$F$4,0),$G20+(1-$G20)/(5-MATCH($D20,$B$4:$F$4,0)+1),(1-$G20)/(5-MATCH($D20,$B$4:$F$4,0)+1))))),0)</f>
        <v>0</v>
      </c>
      <c r="L20" s="141" t="n">
        <f aca="false">IFERROR(IF($E20&lt;&gt;"Discrete",0,IF(5&lt;MATCH($D20,$B$4:$F$4,0),0,IF($F20&lt;&gt;"Y",IF(5=MATCH($D20,$B$4:$F$4,0),1,0),IF(5=MATCH($D20,$B$4:$F$4,0),$G20+(1-$G20)/(5-MATCH($D20,$B$4:$F$4,0)+1),(1-$G20)/(5-MATCH($D20,$B$4:$F$4,0)+1))))),0)</f>
        <v>0</v>
      </c>
    </row>
    <row r="21" customFormat="false" ht="14.25" hidden="false" customHeight="true" outlineLevel="0" collapsed="false">
      <c r="A21" s="139" t="n">
        <f aca="false">WP_상세!A18</f>
        <v>14</v>
      </c>
      <c r="B21" s="139" t="str">
        <f aca="false">WP_상세!B18</f>
        <v>MAN.3</v>
      </c>
      <c r="C21" s="139" t="str">
        <f aca="false">WP_상세!F18</f>
        <v>Project Plan / 프로젝트 작업범위 정의서(프로젝트 계획서 내 포함)</v>
      </c>
      <c r="D21" s="139" t="str">
        <f aca="false">WP_상세!G18</f>
        <v>M-Car</v>
      </c>
      <c r="E21" s="139" t="str">
        <f aca="false">WP_상세!H18</f>
        <v>Discrete</v>
      </c>
      <c r="F21" s="139" t="str">
        <f aca="false">WP_상세!I18</f>
        <v>Y</v>
      </c>
      <c r="G21" s="140" t="n">
        <f aca="false">WP_상세!J18</f>
        <v>0.4</v>
      </c>
      <c r="H21" s="141" t="n">
        <f aca="false">IFERROR(IF($E21&lt;&gt;"Discrete",0,IF(1&lt;MATCH($D21,$B$4:$F$4,0),0,IF($F21&lt;&gt;"Y",IF(1=MATCH($D21,$B$4:$F$4,0),1,0),IF(1=MATCH($D21,$B$4:$F$4,0),$G21+(1-$G21)/(5-MATCH($D21,$B$4:$F$4,0)+1),(1-$G21)/(5-MATCH($D21,$B$4:$F$4,0)+1))))),0)</f>
        <v>0.52</v>
      </c>
      <c r="I21" s="141" t="n">
        <f aca="false">IFERROR(IF($E21&lt;&gt;"Discrete",0,IF(2&lt;MATCH($D21,$B$4:$F$4,0),0,IF($F21&lt;&gt;"Y",IF(2=MATCH($D21,$B$4:$F$4,0),1,0),IF(2=MATCH($D21,$B$4:$F$4,0),$G21+(1-$G21)/(5-MATCH($D21,$B$4:$F$4,0)+1),(1-$G21)/(5-MATCH($D21,$B$4:$F$4,0)+1))))),0)</f>
        <v>0.12</v>
      </c>
      <c r="J21" s="141" t="n">
        <f aca="false">IFERROR(IF($E21&lt;&gt;"Discrete",0,IF(3&lt;MATCH($D21,$B$4:$F$4,0),0,IF($F21&lt;&gt;"Y",IF(3=MATCH($D21,$B$4:$F$4,0),1,0),IF(3=MATCH($D21,$B$4:$F$4,0),$G21+(1-$G21)/(5-MATCH($D21,$B$4:$F$4,0)+1),(1-$G21)/(5-MATCH($D21,$B$4:$F$4,0)+1))))),0)</f>
        <v>0.12</v>
      </c>
      <c r="K21" s="141" t="n">
        <f aca="false">IFERROR(IF($E21&lt;&gt;"Discrete",0,IF(4&lt;MATCH($D21,$B$4:$F$4,0),0,IF($F21&lt;&gt;"Y",IF(4=MATCH($D21,$B$4:$F$4,0),1,0),IF(4=MATCH($D21,$B$4:$F$4,0),$G21+(1-$G21)/(5-MATCH($D21,$B$4:$F$4,0)+1),(1-$G21)/(5-MATCH($D21,$B$4:$F$4,0)+1))))),0)</f>
        <v>0.12</v>
      </c>
      <c r="L21" s="141" t="n">
        <f aca="false">IFERROR(IF($E21&lt;&gt;"Discrete",0,IF(5&lt;MATCH($D21,$B$4:$F$4,0),0,IF($F21&lt;&gt;"Y",IF(5=MATCH($D21,$B$4:$F$4,0),1,0),IF(5=MATCH($D21,$B$4:$F$4,0),$G21+(1-$G21)/(5-MATCH($D21,$B$4:$F$4,0)+1),(1-$G21)/(5-MATCH($D21,$B$4:$F$4,0)+1))))),0)</f>
        <v>0.12</v>
      </c>
    </row>
    <row r="22" customFormat="false" ht="14.25" hidden="false" customHeight="true" outlineLevel="0" collapsed="false">
      <c r="A22" s="139" t="n">
        <f aca="false">WP_상세!A19</f>
        <v>15</v>
      </c>
      <c r="B22" s="139" t="str">
        <f aca="false">WP_상세!B19</f>
        <v>MAN.3</v>
      </c>
      <c r="C22" s="139" t="str">
        <f aca="false">WP_상세!F19</f>
        <v>Project Plan / 프로젝트 생명주기 정의서(프로젝트 계획서 내 포함)</v>
      </c>
      <c r="D22" s="139" t="str">
        <f aca="false">WP_상세!G19</f>
        <v>M-Car</v>
      </c>
      <c r="E22" s="139" t="str">
        <f aca="false">WP_상세!H19</f>
        <v>Discrete</v>
      </c>
      <c r="F22" s="139" t="str">
        <f aca="false">WP_상세!I19</f>
        <v>Y</v>
      </c>
      <c r="G22" s="140" t="n">
        <f aca="false">WP_상세!J19</f>
        <v>0.4</v>
      </c>
      <c r="H22" s="141" t="n">
        <f aca="false">IFERROR(IF($E22&lt;&gt;"Discrete",0,IF(1&lt;MATCH($D22,$B$4:$F$4,0),0,IF($F22&lt;&gt;"Y",IF(1=MATCH($D22,$B$4:$F$4,0),1,0),IF(1=MATCH($D22,$B$4:$F$4,0),$G22+(1-$G22)/(5-MATCH($D22,$B$4:$F$4,0)+1),(1-$G22)/(5-MATCH($D22,$B$4:$F$4,0)+1))))),0)</f>
        <v>0.52</v>
      </c>
      <c r="I22" s="141" t="n">
        <f aca="false">IFERROR(IF($E22&lt;&gt;"Discrete",0,IF(2&lt;MATCH($D22,$B$4:$F$4,0),0,IF($F22&lt;&gt;"Y",IF(2=MATCH($D22,$B$4:$F$4,0),1,0),IF(2=MATCH($D22,$B$4:$F$4,0),$G22+(1-$G22)/(5-MATCH($D22,$B$4:$F$4,0)+1),(1-$G22)/(5-MATCH($D22,$B$4:$F$4,0)+1))))),0)</f>
        <v>0.12</v>
      </c>
      <c r="J22" s="141" t="n">
        <f aca="false">IFERROR(IF($E22&lt;&gt;"Discrete",0,IF(3&lt;MATCH($D22,$B$4:$F$4,0),0,IF($F22&lt;&gt;"Y",IF(3=MATCH($D22,$B$4:$F$4,0),1,0),IF(3=MATCH($D22,$B$4:$F$4,0),$G22+(1-$G22)/(5-MATCH($D22,$B$4:$F$4,0)+1),(1-$G22)/(5-MATCH($D22,$B$4:$F$4,0)+1))))),0)</f>
        <v>0.12</v>
      </c>
      <c r="K22" s="141" t="n">
        <f aca="false">IFERROR(IF($E22&lt;&gt;"Discrete",0,IF(4&lt;MATCH($D22,$B$4:$F$4,0),0,IF($F22&lt;&gt;"Y",IF(4=MATCH($D22,$B$4:$F$4,0),1,0),IF(4=MATCH($D22,$B$4:$F$4,0),$G22+(1-$G22)/(5-MATCH($D22,$B$4:$F$4,0)+1),(1-$G22)/(5-MATCH($D22,$B$4:$F$4,0)+1))))),0)</f>
        <v>0.12</v>
      </c>
      <c r="L22" s="141" t="n">
        <f aca="false">IFERROR(IF($E22&lt;&gt;"Discrete",0,IF(5&lt;MATCH($D22,$B$4:$F$4,0),0,IF($F22&lt;&gt;"Y",IF(5=MATCH($D22,$B$4:$F$4,0),1,0),IF(5=MATCH($D22,$B$4:$F$4,0),$G22+(1-$G22)/(5-MATCH($D22,$B$4:$F$4,0)+1),(1-$G22)/(5-MATCH($D22,$B$4:$F$4,0)+1))))),0)</f>
        <v>0.12</v>
      </c>
    </row>
    <row r="23" customFormat="false" ht="14.25" hidden="false" customHeight="true" outlineLevel="0" collapsed="false">
      <c r="A23" s="139" t="n">
        <f aca="false">WP_상세!A20</f>
        <v>16</v>
      </c>
      <c r="B23" s="139" t="str">
        <f aca="false">WP_상세!B20</f>
        <v>MAN.3</v>
      </c>
      <c r="C23" s="139" t="str">
        <f aca="false">WP_상세!F20</f>
        <v>Analysis Results / 프로젝트 실현가능성 분석서</v>
      </c>
      <c r="D23" s="139" t="str">
        <f aca="false">WP_상세!G20</f>
        <v>M-Car</v>
      </c>
      <c r="E23" s="139" t="str">
        <f aca="false">WP_상세!H20</f>
        <v>Discrete</v>
      </c>
      <c r="F23" s="139" t="str">
        <f aca="false">WP_상세!I20</f>
        <v>N</v>
      </c>
      <c r="G23" s="140" t="n">
        <f aca="false">WP_상세!J20</f>
        <v>1</v>
      </c>
      <c r="H23" s="141" t="n">
        <f aca="false">IFERROR(IF($E23&lt;&gt;"Discrete",0,IF(1&lt;MATCH($D23,$B$4:$F$4,0),0,IF($F23&lt;&gt;"Y",IF(1=MATCH($D23,$B$4:$F$4,0),1,0),IF(1=MATCH($D23,$B$4:$F$4,0),$G23+(1-$G23)/(5-MATCH($D23,$B$4:$F$4,0)+1),(1-$G23)/(5-MATCH($D23,$B$4:$F$4,0)+1))))),0)</f>
        <v>1</v>
      </c>
      <c r="I23" s="141" t="n">
        <f aca="false">IFERROR(IF($E23&lt;&gt;"Discrete",0,IF(2&lt;MATCH($D23,$B$4:$F$4,0),0,IF($F23&lt;&gt;"Y",IF(2=MATCH($D23,$B$4:$F$4,0),1,0),IF(2=MATCH($D23,$B$4:$F$4,0),$G23+(1-$G23)/(5-MATCH($D23,$B$4:$F$4,0)+1),(1-$G23)/(5-MATCH($D23,$B$4:$F$4,0)+1))))),0)</f>
        <v>0</v>
      </c>
      <c r="J23" s="141" t="n">
        <f aca="false">IFERROR(IF($E23&lt;&gt;"Discrete",0,IF(3&lt;MATCH($D23,$B$4:$F$4,0),0,IF($F23&lt;&gt;"Y",IF(3=MATCH($D23,$B$4:$F$4,0),1,0),IF(3=MATCH($D23,$B$4:$F$4,0),$G23+(1-$G23)/(5-MATCH($D23,$B$4:$F$4,0)+1),(1-$G23)/(5-MATCH($D23,$B$4:$F$4,0)+1))))),0)</f>
        <v>0</v>
      </c>
      <c r="K23" s="141" t="n">
        <f aca="false">IFERROR(IF($E23&lt;&gt;"Discrete",0,IF(4&lt;MATCH($D23,$B$4:$F$4,0),0,IF($F23&lt;&gt;"Y",IF(4=MATCH($D23,$B$4:$F$4,0),1,0),IF(4=MATCH($D23,$B$4:$F$4,0),$G23+(1-$G23)/(5-MATCH($D23,$B$4:$F$4,0)+1),(1-$G23)/(5-MATCH($D23,$B$4:$F$4,0)+1))))),0)</f>
        <v>0</v>
      </c>
      <c r="L23" s="141" t="n">
        <f aca="false">IFERROR(IF($E23&lt;&gt;"Discrete",0,IF(5&lt;MATCH($D23,$B$4:$F$4,0),0,IF($F23&lt;&gt;"Y",IF(5=MATCH($D23,$B$4:$F$4,0),1,0),IF(5=MATCH($D23,$B$4:$F$4,0),$G23+(1-$G23)/(5-MATCH($D23,$B$4:$F$4,0)+1),(1-$G23)/(5-MATCH($D23,$B$4:$F$4,0)+1))))),0)</f>
        <v>0</v>
      </c>
    </row>
    <row r="24" customFormat="false" ht="14.25" hidden="false" customHeight="true" outlineLevel="0" collapsed="false">
      <c r="A24" s="139" t="n">
        <f aca="false">WP_상세!A21</f>
        <v>17</v>
      </c>
      <c r="B24" s="139" t="str">
        <f aca="false">WP_상세!B21</f>
        <v>MAN.3</v>
      </c>
      <c r="C24" s="139" t="str">
        <f aca="false">WP_상세!F21</f>
        <v>Project Plan / 작업패키지/WBS 정의서(프로젝트 계획서 내 포함)</v>
      </c>
      <c r="D24" s="139" t="str">
        <f aca="false">WP_상세!G21</f>
        <v>M-Car</v>
      </c>
      <c r="E24" s="139" t="str">
        <f aca="false">WP_상세!H21</f>
        <v>Discrete</v>
      </c>
      <c r="F24" s="139" t="str">
        <f aca="false">WP_상세!I21</f>
        <v>Y</v>
      </c>
      <c r="G24" s="140" t="n">
        <f aca="false">WP_상세!J21</f>
        <v>0.4</v>
      </c>
      <c r="H24" s="141" t="n">
        <f aca="false">IFERROR(IF($E24&lt;&gt;"Discrete",0,IF(1&lt;MATCH($D24,$B$4:$F$4,0),0,IF($F24&lt;&gt;"Y",IF(1=MATCH($D24,$B$4:$F$4,0),1,0),IF(1=MATCH($D24,$B$4:$F$4,0),$G24+(1-$G24)/(5-MATCH($D24,$B$4:$F$4,0)+1),(1-$G24)/(5-MATCH($D24,$B$4:$F$4,0)+1))))),0)</f>
        <v>0.52</v>
      </c>
      <c r="I24" s="141" t="n">
        <f aca="false">IFERROR(IF($E24&lt;&gt;"Discrete",0,IF(2&lt;MATCH($D24,$B$4:$F$4,0),0,IF($F24&lt;&gt;"Y",IF(2=MATCH($D24,$B$4:$F$4,0),1,0),IF(2=MATCH($D24,$B$4:$F$4,0),$G24+(1-$G24)/(5-MATCH($D24,$B$4:$F$4,0)+1),(1-$G24)/(5-MATCH($D24,$B$4:$F$4,0)+1))))),0)</f>
        <v>0.12</v>
      </c>
      <c r="J24" s="141" t="n">
        <f aca="false">IFERROR(IF($E24&lt;&gt;"Discrete",0,IF(3&lt;MATCH($D24,$B$4:$F$4,0),0,IF($F24&lt;&gt;"Y",IF(3=MATCH($D24,$B$4:$F$4,0),1,0),IF(3=MATCH($D24,$B$4:$F$4,0),$G24+(1-$G24)/(5-MATCH($D24,$B$4:$F$4,0)+1),(1-$G24)/(5-MATCH($D24,$B$4:$F$4,0)+1))))),0)</f>
        <v>0.12</v>
      </c>
      <c r="K24" s="141" t="n">
        <f aca="false">IFERROR(IF($E24&lt;&gt;"Discrete",0,IF(4&lt;MATCH($D24,$B$4:$F$4,0),0,IF($F24&lt;&gt;"Y",IF(4=MATCH($D24,$B$4:$F$4,0),1,0),IF(4=MATCH($D24,$B$4:$F$4,0),$G24+(1-$G24)/(5-MATCH($D24,$B$4:$F$4,0)+1),(1-$G24)/(5-MATCH($D24,$B$4:$F$4,0)+1))))),0)</f>
        <v>0.12</v>
      </c>
      <c r="L24" s="141" t="n">
        <f aca="false">IFERROR(IF($E24&lt;&gt;"Discrete",0,IF(5&lt;MATCH($D24,$B$4:$F$4,0),0,IF($F24&lt;&gt;"Y",IF(5=MATCH($D24,$B$4:$F$4,0),1,0),IF(5=MATCH($D24,$B$4:$F$4,0),$G24+(1-$G24)/(5-MATCH($D24,$B$4:$F$4,0)+1),(1-$G24)/(5-MATCH($D24,$B$4:$F$4,0)+1))))),0)</f>
        <v>0.12</v>
      </c>
    </row>
    <row r="25" customFormat="false" ht="14.25" hidden="false" customHeight="true" outlineLevel="0" collapsed="false">
      <c r="A25" s="139" t="n">
        <f aca="false">WP_상세!A22</f>
        <v>18</v>
      </c>
      <c r="B25" s="139" t="str">
        <f aca="false">WP_상세!B22</f>
        <v>MAN.3</v>
      </c>
      <c r="C25" s="139" t="str">
        <f aca="false">WP_상세!F22</f>
        <v>Project Plan / 프로젝트 산정치 및 자원계획서(프로젝트 계획서 내 포함)</v>
      </c>
      <c r="D25" s="139" t="str">
        <f aca="false">WP_상세!G22</f>
        <v>M-Car</v>
      </c>
      <c r="E25" s="139" t="str">
        <f aca="false">WP_상세!H22</f>
        <v>Discrete</v>
      </c>
      <c r="F25" s="139" t="str">
        <f aca="false">WP_상세!I22</f>
        <v>Y</v>
      </c>
      <c r="G25" s="140" t="n">
        <f aca="false">WP_상세!J22</f>
        <v>0.4</v>
      </c>
      <c r="H25" s="141" t="n">
        <f aca="false">IFERROR(IF($E25&lt;&gt;"Discrete",0,IF(1&lt;MATCH($D25,$B$4:$F$4,0),0,IF($F25&lt;&gt;"Y",IF(1=MATCH($D25,$B$4:$F$4,0),1,0),IF(1=MATCH($D25,$B$4:$F$4,0),$G25+(1-$G25)/(5-MATCH($D25,$B$4:$F$4,0)+1),(1-$G25)/(5-MATCH($D25,$B$4:$F$4,0)+1))))),0)</f>
        <v>0.52</v>
      </c>
      <c r="I25" s="141" t="n">
        <f aca="false">IFERROR(IF($E25&lt;&gt;"Discrete",0,IF(2&lt;MATCH($D25,$B$4:$F$4,0),0,IF($F25&lt;&gt;"Y",IF(2=MATCH($D25,$B$4:$F$4,0),1,0),IF(2=MATCH($D25,$B$4:$F$4,0),$G25+(1-$G25)/(5-MATCH($D25,$B$4:$F$4,0)+1),(1-$G25)/(5-MATCH($D25,$B$4:$F$4,0)+1))))),0)</f>
        <v>0.12</v>
      </c>
      <c r="J25" s="141" t="n">
        <f aca="false">IFERROR(IF($E25&lt;&gt;"Discrete",0,IF(3&lt;MATCH($D25,$B$4:$F$4,0),0,IF($F25&lt;&gt;"Y",IF(3=MATCH($D25,$B$4:$F$4,0),1,0),IF(3=MATCH($D25,$B$4:$F$4,0),$G25+(1-$G25)/(5-MATCH($D25,$B$4:$F$4,0)+1),(1-$G25)/(5-MATCH($D25,$B$4:$F$4,0)+1))))),0)</f>
        <v>0.12</v>
      </c>
      <c r="K25" s="141" t="n">
        <f aca="false">IFERROR(IF($E25&lt;&gt;"Discrete",0,IF(4&lt;MATCH($D25,$B$4:$F$4,0),0,IF($F25&lt;&gt;"Y",IF(4=MATCH($D25,$B$4:$F$4,0),1,0),IF(4=MATCH($D25,$B$4:$F$4,0),$G25+(1-$G25)/(5-MATCH($D25,$B$4:$F$4,0)+1),(1-$G25)/(5-MATCH($D25,$B$4:$F$4,0)+1))))),0)</f>
        <v>0.12</v>
      </c>
      <c r="L25" s="141" t="n">
        <f aca="false">IFERROR(IF($E25&lt;&gt;"Discrete",0,IF(5&lt;MATCH($D25,$B$4:$F$4,0),0,IF($F25&lt;&gt;"Y",IF(5=MATCH($D25,$B$4:$F$4,0),1,0),IF(5=MATCH($D25,$B$4:$F$4,0),$G25+(1-$G25)/(5-MATCH($D25,$B$4:$F$4,0)+1),(1-$G25)/(5-MATCH($D25,$B$4:$F$4,0)+1))))),0)</f>
        <v>0.12</v>
      </c>
    </row>
    <row r="26" customFormat="false" ht="14.25" hidden="false" customHeight="true" outlineLevel="0" collapsed="false">
      <c r="A26" s="139" t="n">
        <f aca="false">WP_상세!A23</f>
        <v>19</v>
      </c>
      <c r="B26" s="139" t="str">
        <f aca="false">WP_상세!B23</f>
        <v>MAN.3</v>
      </c>
      <c r="C26" s="139" t="str">
        <f aca="false">WP_상세!F23</f>
        <v>Project Plan / 필요 기술/지식/경험(역량) 계획서(프로젝트 계획서 내 포함)</v>
      </c>
      <c r="D26" s="139" t="str">
        <f aca="false">WP_상세!G23</f>
        <v>M-Car</v>
      </c>
      <c r="E26" s="139" t="str">
        <f aca="false">WP_상세!H23</f>
        <v>Discrete</v>
      </c>
      <c r="F26" s="139" t="str">
        <f aca="false">WP_상세!I23</f>
        <v>Y</v>
      </c>
      <c r="G26" s="140" t="n">
        <f aca="false">WP_상세!J23</f>
        <v>0.4</v>
      </c>
      <c r="H26" s="141" t="n">
        <f aca="false">IFERROR(IF($E26&lt;&gt;"Discrete",0,IF(1&lt;MATCH($D26,$B$4:$F$4,0),0,IF($F26&lt;&gt;"Y",IF(1=MATCH($D26,$B$4:$F$4,0),1,0),IF(1=MATCH($D26,$B$4:$F$4,0),$G26+(1-$G26)/(5-MATCH($D26,$B$4:$F$4,0)+1),(1-$G26)/(5-MATCH($D26,$B$4:$F$4,0)+1))))),0)</f>
        <v>0.52</v>
      </c>
      <c r="I26" s="141" t="n">
        <f aca="false">IFERROR(IF($E26&lt;&gt;"Discrete",0,IF(2&lt;MATCH($D26,$B$4:$F$4,0),0,IF($F26&lt;&gt;"Y",IF(2=MATCH($D26,$B$4:$F$4,0),1,0),IF(2=MATCH($D26,$B$4:$F$4,0),$G26+(1-$G26)/(5-MATCH($D26,$B$4:$F$4,0)+1),(1-$G26)/(5-MATCH($D26,$B$4:$F$4,0)+1))))),0)</f>
        <v>0.12</v>
      </c>
      <c r="J26" s="141" t="n">
        <f aca="false">IFERROR(IF($E26&lt;&gt;"Discrete",0,IF(3&lt;MATCH($D26,$B$4:$F$4,0),0,IF($F26&lt;&gt;"Y",IF(3=MATCH($D26,$B$4:$F$4,0),1,0),IF(3=MATCH($D26,$B$4:$F$4,0),$G26+(1-$G26)/(5-MATCH($D26,$B$4:$F$4,0)+1),(1-$G26)/(5-MATCH($D26,$B$4:$F$4,0)+1))))),0)</f>
        <v>0.12</v>
      </c>
      <c r="K26" s="141" t="n">
        <f aca="false">IFERROR(IF($E26&lt;&gt;"Discrete",0,IF(4&lt;MATCH($D26,$B$4:$F$4,0),0,IF($F26&lt;&gt;"Y",IF(4=MATCH($D26,$B$4:$F$4,0),1,0),IF(4=MATCH($D26,$B$4:$F$4,0),$G26+(1-$G26)/(5-MATCH($D26,$B$4:$F$4,0)+1),(1-$G26)/(5-MATCH($D26,$B$4:$F$4,0)+1))))),0)</f>
        <v>0.12</v>
      </c>
      <c r="L26" s="141" t="n">
        <f aca="false">IFERROR(IF($E26&lt;&gt;"Discrete",0,IF(5&lt;MATCH($D26,$B$4:$F$4,0),0,IF($F26&lt;&gt;"Y",IF(5=MATCH($D26,$B$4:$F$4,0),1,0),IF(5=MATCH($D26,$B$4:$F$4,0),$G26+(1-$G26)/(5-MATCH($D26,$B$4:$F$4,0)+1),(1-$G26)/(5-MATCH($D26,$B$4:$F$4,0)+1))))),0)</f>
        <v>0.12</v>
      </c>
    </row>
    <row r="27" customFormat="false" ht="14.25" hidden="false" customHeight="true" outlineLevel="0" collapsed="false">
      <c r="A27" s="139" t="n">
        <f aca="false">WP_상세!A24</f>
        <v>20</v>
      </c>
      <c r="B27" s="139" t="str">
        <f aca="false">WP_상세!B24</f>
        <v>MAN.3</v>
      </c>
      <c r="C27" s="139" t="str">
        <f aca="false">WP_상세!F24</f>
        <v>Project Plan / 프로젝트 인터페이스 및 합의된 약속사항 정의서(프로젝트 계획서 내 포함)</v>
      </c>
      <c r="D27" s="139" t="str">
        <f aca="false">WP_상세!G24</f>
        <v>M-Car</v>
      </c>
      <c r="E27" s="139" t="str">
        <f aca="false">WP_상세!H24</f>
        <v>Discrete</v>
      </c>
      <c r="F27" s="139" t="str">
        <f aca="false">WP_상세!I24</f>
        <v>Y</v>
      </c>
      <c r="G27" s="140" t="n">
        <f aca="false">WP_상세!J24</f>
        <v>0.4</v>
      </c>
      <c r="H27" s="141" t="n">
        <f aca="false">IFERROR(IF($E27&lt;&gt;"Discrete",0,IF(1&lt;MATCH($D27,$B$4:$F$4,0),0,IF($F27&lt;&gt;"Y",IF(1=MATCH($D27,$B$4:$F$4,0),1,0),IF(1=MATCH($D27,$B$4:$F$4,0),$G27+(1-$G27)/(5-MATCH($D27,$B$4:$F$4,0)+1),(1-$G27)/(5-MATCH($D27,$B$4:$F$4,0)+1))))),0)</f>
        <v>0.52</v>
      </c>
      <c r="I27" s="141" t="n">
        <f aca="false">IFERROR(IF($E27&lt;&gt;"Discrete",0,IF(2&lt;MATCH($D27,$B$4:$F$4,0),0,IF($F27&lt;&gt;"Y",IF(2=MATCH($D27,$B$4:$F$4,0),1,0),IF(2=MATCH($D27,$B$4:$F$4,0),$G27+(1-$G27)/(5-MATCH($D27,$B$4:$F$4,0)+1),(1-$G27)/(5-MATCH($D27,$B$4:$F$4,0)+1))))),0)</f>
        <v>0.12</v>
      </c>
      <c r="J27" s="141" t="n">
        <f aca="false">IFERROR(IF($E27&lt;&gt;"Discrete",0,IF(3&lt;MATCH($D27,$B$4:$F$4,0),0,IF($F27&lt;&gt;"Y",IF(3=MATCH($D27,$B$4:$F$4,0),1,0),IF(3=MATCH($D27,$B$4:$F$4,0),$G27+(1-$G27)/(5-MATCH($D27,$B$4:$F$4,0)+1),(1-$G27)/(5-MATCH($D27,$B$4:$F$4,0)+1))))),0)</f>
        <v>0.12</v>
      </c>
      <c r="K27" s="141" t="n">
        <f aca="false">IFERROR(IF($E27&lt;&gt;"Discrete",0,IF(4&lt;MATCH($D27,$B$4:$F$4,0),0,IF($F27&lt;&gt;"Y",IF(4=MATCH($D27,$B$4:$F$4,0),1,0),IF(4=MATCH($D27,$B$4:$F$4,0),$G27+(1-$G27)/(5-MATCH($D27,$B$4:$F$4,0)+1),(1-$G27)/(5-MATCH($D27,$B$4:$F$4,0)+1))))),0)</f>
        <v>0.12</v>
      </c>
      <c r="L27" s="141" t="n">
        <f aca="false">IFERROR(IF($E27&lt;&gt;"Discrete",0,IF(5&lt;MATCH($D27,$B$4:$F$4,0),0,IF($F27&lt;&gt;"Y",IF(5=MATCH($D27,$B$4:$F$4,0),1,0),IF(5=MATCH($D27,$B$4:$F$4,0),$G27+(1-$G27)/(5-MATCH($D27,$B$4:$F$4,0)+1),(1-$G27)/(5-MATCH($D27,$B$4:$F$4,0)+1))))),0)</f>
        <v>0.12</v>
      </c>
    </row>
    <row r="28" customFormat="false" ht="14.25" hidden="false" customHeight="true" outlineLevel="0" collapsed="false">
      <c r="A28" s="139" t="n">
        <f aca="false">WP_상세!A25</f>
        <v>21</v>
      </c>
      <c r="B28" s="139" t="str">
        <f aca="false">WP_상세!B25</f>
        <v>MAN.3</v>
      </c>
      <c r="C28" s="139" t="str">
        <f aca="false">WP_상세!F25</f>
        <v>Project Plan / 프로젝트 일정표(프로젝트 계획서 내 포함)</v>
      </c>
      <c r="D28" s="139" t="str">
        <f aca="false">WP_상세!G25</f>
        <v>M-Car</v>
      </c>
      <c r="E28" s="139" t="str">
        <f aca="false">WP_상세!H25</f>
        <v>Discrete</v>
      </c>
      <c r="F28" s="139" t="str">
        <f aca="false">WP_상세!I25</f>
        <v>Y</v>
      </c>
      <c r="G28" s="140" t="n">
        <f aca="false">WP_상세!J25</f>
        <v>0.4</v>
      </c>
      <c r="H28" s="141" t="n">
        <f aca="false">IFERROR(IF($E28&lt;&gt;"Discrete",0,IF(1&lt;MATCH($D28,$B$4:$F$4,0),0,IF($F28&lt;&gt;"Y",IF(1=MATCH($D28,$B$4:$F$4,0),1,0),IF(1=MATCH($D28,$B$4:$F$4,0),$G28+(1-$G28)/(5-MATCH($D28,$B$4:$F$4,0)+1),(1-$G28)/(5-MATCH($D28,$B$4:$F$4,0)+1))))),0)</f>
        <v>0.52</v>
      </c>
      <c r="I28" s="141" t="n">
        <f aca="false">IFERROR(IF($E28&lt;&gt;"Discrete",0,IF(2&lt;MATCH($D28,$B$4:$F$4,0),0,IF($F28&lt;&gt;"Y",IF(2=MATCH($D28,$B$4:$F$4,0),1,0),IF(2=MATCH($D28,$B$4:$F$4,0),$G28+(1-$G28)/(5-MATCH($D28,$B$4:$F$4,0)+1),(1-$G28)/(5-MATCH($D28,$B$4:$F$4,0)+1))))),0)</f>
        <v>0.12</v>
      </c>
      <c r="J28" s="141" t="n">
        <f aca="false">IFERROR(IF($E28&lt;&gt;"Discrete",0,IF(3&lt;MATCH($D28,$B$4:$F$4,0),0,IF($F28&lt;&gt;"Y",IF(3=MATCH($D28,$B$4:$F$4,0),1,0),IF(3=MATCH($D28,$B$4:$F$4,0),$G28+(1-$G28)/(5-MATCH($D28,$B$4:$F$4,0)+1),(1-$G28)/(5-MATCH($D28,$B$4:$F$4,0)+1))))),0)</f>
        <v>0.12</v>
      </c>
      <c r="K28" s="141" t="n">
        <f aca="false">IFERROR(IF($E28&lt;&gt;"Discrete",0,IF(4&lt;MATCH($D28,$B$4:$F$4,0),0,IF($F28&lt;&gt;"Y",IF(4=MATCH($D28,$B$4:$F$4,0),1,0),IF(4=MATCH($D28,$B$4:$F$4,0),$G28+(1-$G28)/(5-MATCH($D28,$B$4:$F$4,0)+1),(1-$G28)/(5-MATCH($D28,$B$4:$F$4,0)+1))))),0)</f>
        <v>0.12</v>
      </c>
      <c r="L28" s="141" t="n">
        <f aca="false">IFERROR(IF($E28&lt;&gt;"Discrete",0,IF(5&lt;MATCH($D28,$B$4:$F$4,0),0,IF($F28&lt;&gt;"Y",IF(5=MATCH($D28,$B$4:$F$4,0),1,0),IF(5=MATCH($D28,$B$4:$F$4,0),$G28+(1-$G28)/(5-MATCH($D28,$B$4:$F$4,0)+1),(1-$G28)/(5-MATCH($D28,$B$4:$F$4,0)+1))))),0)</f>
        <v>0.12</v>
      </c>
    </row>
    <row r="29" customFormat="false" ht="14.25" hidden="false" customHeight="true" outlineLevel="0" collapsed="false">
      <c r="A29" s="139" t="n">
        <f aca="false">WP_상세!A26</f>
        <v>22</v>
      </c>
      <c r="B29" s="139" t="str">
        <f aca="false">WP_상세!B26</f>
        <v>MAN.3</v>
      </c>
      <c r="C29" s="139" t="str">
        <f aca="false">WP_상세!F26</f>
        <v>Consistency Evidence / 프로젝트 계획 일관성 검증 근거</v>
      </c>
      <c r="D29" s="139" t="str">
        <f aca="false">WP_상세!G26</f>
        <v>P1</v>
      </c>
      <c r="E29" s="139" t="str">
        <f aca="false">WP_상세!H26</f>
        <v>Discrete</v>
      </c>
      <c r="F29" s="139" t="str">
        <f aca="false">WP_상세!I26</f>
        <v>N</v>
      </c>
      <c r="G29" s="140" t="n">
        <f aca="false">WP_상세!J26</f>
        <v>1</v>
      </c>
      <c r="H29" s="141" t="n">
        <f aca="false">IFERROR(IF($E29&lt;&gt;"Discrete",0,IF(1&lt;MATCH($D29,$B$4:$F$4,0),0,IF($F29&lt;&gt;"Y",IF(1=MATCH($D29,$B$4:$F$4,0),1,0),IF(1=MATCH($D29,$B$4:$F$4,0),$G29+(1-$G29)/(5-MATCH($D29,$B$4:$F$4,0)+1),(1-$G29)/(5-MATCH($D29,$B$4:$F$4,0)+1))))),0)</f>
        <v>0</v>
      </c>
      <c r="I29" s="141" t="n">
        <f aca="false">IFERROR(IF($E29&lt;&gt;"Discrete",0,IF(2&lt;MATCH($D29,$B$4:$F$4,0),0,IF($F29&lt;&gt;"Y",IF(2=MATCH($D29,$B$4:$F$4,0),1,0),IF(2=MATCH($D29,$B$4:$F$4,0),$G29+(1-$G29)/(5-MATCH($D29,$B$4:$F$4,0)+1),(1-$G29)/(5-MATCH($D29,$B$4:$F$4,0)+1))))),0)</f>
        <v>0</v>
      </c>
      <c r="J29" s="141" t="n">
        <f aca="false">IFERROR(IF($E29&lt;&gt;"Discrete",0,IF(3&lt;MATCH($D29,$B$4:$F$4,0),0,IF($F29&lt;&gt;"Y",IF(3=MATCH($D29,$B$4:$F$4,0),1,0),IF(3=MATCH($D29,$B$4:$F$4,0),$G29+(1-$G29)/(5-MATCH($D29,$B$4:$F$4,0)+1),(1-$G29)/(5-MATCH($D29,$B$4:$F$4,0)+1))))),0)</f>
        <v>1</v>
      </c>
      <c r="K29" s="141" t="n">
        <f aca="false">IFERROR(IF($E29&lt;&gt;"Discrete",0,IF(4&lt;MATCH($D29,$B$4:$F$4,0),0,IF($F29&lt;&gt;"Y",IF(4=MATCH($D29,$B$4:$F$4,0),1,0),IF(4=MATCH($D29,$B$4:$F$4,0),$G29+(1-$G29)/(5-MATCH($D29,$B$4:$F$4,0)+1),(1-$G29)/(5-MATCH($D29,$B$4:$F$4,0)+1))))),0)</f>
        <v>0</v>
      </c>
      <c r="L29" s="141" t="n">
        <f aca="false">IFERROR(IF($E29&lt;&gt;"Discrete",0,IF(5&lt;MATCH($D29,$B$4:$F$4,0),0,IF($F29&lt;&gt;"Y",IF(5=MATCH($D29,$B$4:$F$4,0),1,0),IF(5=MATCH($D29,$B$4:$F$4,0),$G29+(1-$G29)/(5-MATCH($D29,$B$4:$F$4,0)+1),(1-$G29)/(5-MATCH($D29,$B$4:$F$4,0)+1))))),0)</f>
        <v>0</v>
      </c>
    </row>
    <row r="30" customFormat="false" ht="14.25" hidden="false" customHeight="true" outlineLevel="0" collapsed="false">
      <c r="A30" s="139" t="n">
        <f aca="false">WP_상세!A27</f>
        <v>23</v>
      </c>
      <c r="B30" s="139" t="str">
        <f aca="false">WP_상세!B27</f>
        <v>MAN.3</v>
      </c>
      <c r="C30" s="139" t="str">
        <f aca="false">WP_상세!F27</f>
        <v>Progress Status / 프로젝트 진척현황 보고서</v>
      </c>
      <c r="D30" s="139" t="str">
        <f aca="false">WP_상세!G27</f>
        <v>P1</v>
      </c>
      <c r="E30" s="139" t="str">
        <f aca="false">WP_상세!H27</f>
        <v>LOE</v>
      </c>
      <c r="F30" s="139" t="n">
        <f aca="false">WP_상세!I27</f>
        <v>0</v>
      </c>
      <c r="G30" s="139" t="n">
        <f aca="false">WP_상세!J27</f>
        <v>0</v>
      </c>
      <c r="H30" s="141" t="n">
        <f aca="false">IFERROR(IF($E30&lt;&gt;"Discrete",0,IF(1&lt;MATCH($D30,$B$4:$F$4,0),0,IF($F30&lt;&gt;"Y",IF(1=MATCH($D30,$B$4:$F$4,0),1,0),IF(1=MATCH($D30,$B$4:$F$4,0),$G30+(1-$G30)/(5-MATCH($D30,$B$4:$F$4,0)+1),(1-$G30)/(5-MATCH($D30,$B$4:$F$4,0)+1))))),0)</f>
        <v>0</v>
      </c>
      <c r="I30" s="141" t="n">
        <f aca="false">IFERROR(IF($E30&lt;&gt;"Discrete",0,IF(2&lt;MATCH($D30,$B$4:$F$4,0),0,IF($F30&lt;&gt;"Y",IF(2=MATCH($D30,$B$4:$F$4,0),1,0),IF(2=MATCH($D30,$B$4:$F$4,0),$G30+(1-$G30)/(5-MATCH($D30,$B$4:$F$4,0)+1),(1-$G30)/(5-MATCH($D30,$B$4:$F$4,0)+1))))),0)</f>
        <v>0</v>
      </c>
      <c r="J30" s="141" t="n">
        <f aca="false">IFERROR(IF($E30&lt;&gt;"Discrete",0,IF(3&lt;MATCH($D30,$B$4:$F$4,0),0,IF($F30&lt;&gt;"Y",IF(3=MATCH($D30,$B$4:$F$4,0),1,0),IF(3=MATCH($D30,$B$4:$F$4,0),$G30+(1-$G30)/(5-MATCH($D30,$B$4:$F$4,0)+1),(1-$G30)/(5-MATCH($D30,$B$4:$F$4,0)+1))))),0)</f>
        <v>0</v>
      </c>
      <c r="K30" s="141" t="n">
        <f aca="false">IFERROR(IF($E30&lt;&gt;"Discrete",0,IF(4&lt;MATCH($D30,$B$4:$F$4,0),0,IF($F30&lt;&gt;"Y",IF(4=MATCH($D30,$B$4:$F$4,0),1,0),IF(4=MATCH($D30,$B$4:$F$4,0),$G30+(1-$G30)/(5-MATCH($D30,$B$4:$F$4,0)+1),(1-$G30)/(5-MATCH($D30,$B$4:$F$4,0)+1))))),0)</f>
        <v>0</v>
      </c>
      <c r="L30" s="141" t="n">
        <f aca="false">IFERROR(IF($E30&lt;&gt;"Discrete",0,IF(5&lt;MATCH($D30,$B$4:$F$4,0),0,IF($F30&lt;&gt;"Y",IF(5=MATCH($D30,$B$4:$F$4,0),1,0),IF(5=MATCH($D30,$B$4:$F$4,0),$G30+(1-$G30)/(5-MATCH($D30,$B$4:$F$4,0)+1),(1-$G30)/(5-MATCH($D30,$B$4:$F$4,0)+1))))),0)</f>
        <v>0</v>
      </c>
    </row>
    <row r="31" customFormat="false" ht="14.25" hidden="false" customHeight="true" outlineLevel="0" collapsed="false">
      <c r="A31" s="139" t="n">
        <f aca="false">WP_상세!A28</f>
        <v>24</v>
      </c>
      <c r="B31" s="139" t="str">
        <f aca="false">WP_상세!B28</f>
        <v>SUP.1</v>
      </c>
      <c r="C31" s="139" t="str">
        <f aca="false">WP_상세!F28</f>
        <v>Quality Assurance Plan / 품질보증 독립성 명시 문서(품질보증계획서 내 포함)</v>
      </c>
      <c r="D31" s="139" t="str">
        <f aca="false">WP_상세!G28</f>
        <v>M-Car</v>
      </c>
      <c r="E31" s="139" t="str">
        <f aca="false">WP_상세!H28</f>
        <v>Discrete</v>
      </c>
      <c r="F31" s="139" t="str">
        <f aca="false">WP_상세!I28</f>
        <v>Y</v>
      </c>
      <c r="G31" s="140" t="n">
        <f aca="false">WP_상세!J28</f>
        <v>0.4</v>
      </c>
      <c r="H31" s="141" t="n">
        <f aca="false">IFERROR(IF($E31&lt;&gt;"Discrete",0,IF(1&lt;MATCH($D31,$B$4:$F$4,0),0,IF($F31&lt;&gt;"Y",IF(1=MATCH($D31,$B$4:$F$4,0),1,0),IF(1=MATCH($D31,$B$4:$F$4,0),$G31+(1-$G31)/(5-MATCH($D31,$B$4:$F$4,0)+1),(1-$G31)/(5-MATCH($D31,$B$4:$F$4,0)+1))))),0)</f>
        <v>0.52</v>
      </c>
      <c r="I31" s="141" t="n">
        <f aca="false">IFERROR(IF($E31&lt;&gt;"Discrete",0,IF(2&lt;MATCH($D31,$B$4:$F$4,0),0,IF($F31&lt;&gt;"Y",IF(2=MATCH($D31,$B$4:$F$4,0),1,0),IF(2=MATCH($D31,$B$4:$F$4,0),$G31+(1-$G31)/(5-MATCH($D31,$B$4:$F$4,0)+1),(1-$G31)/(5-MATCH($D31,$B$4:$F$4,0)+1))))),0)</f>
        <v>0.12</v>
      </c>
      <c r="J31" s="141" t="n">
        <f aca="false">IFERROR(IF($E31&lt;&gt;"Discrete",0,IF(3&lt;MATCH($D31,$B$4:$F$4,0),0,IF($F31&lt;&gt;"Y",IF(3=MATCH($D31,$B$4:$F$4,0),1,0),IF(3=MATCH($D31,$B$4:$F$4,0),$G31+(1-$G31)/(5-MATCH($D31,$B$4:$F$4,0)+1),(1-$G31)/(5-MATCH($D31,$B$4:$F$4,0)+1))))),0)</f>
        <v>0.12</v>
      </c>
      <c r="K31" s="141" t="n">
        <f aca="false">IFERROR(IF($E31&lt;&gt;"Discrete",0,IF(4&lt;MATCH($D31,$B$4:$F$4,0),0,IF($F31&lt;&gt;"Y",IF(4=MATCH($D31,$B$4:$F$4,0),1,0),IF(4=MATCH($D31,$B$4:$F$4,0),$G31+(1-$G31)/(5-MATCH($D31,$B$4:$F$4,0)+1),(1-$G31)/(5-MATCH($D31,$B$4:$F$4,0)+1))))),0)</f>
        <v>0.12</v>
      </c>
      <c r="L31" s="141" t="n">
        <f aca="false">IFERROR(IF($E31&lt;&gt;"Discrete",0,IF(5&lt;MATCH($D31,$B$4:$F$4,0),0,IF($F31&lt;&gt;"Y",IF(5=MATCH($D31,$B$4:$F$4,0),1,0),IF(5=MATCH($D31,$B$4:$F$4,0),$G31+(1-$G31)/(5-MATCH($D31,$B$4:$F$4,0)+1),(1-$G31)/(5-MATCH($D31,$B$4:$F$4,0)+1))))),0)</f>
        <v>0.12</v>
      </c>
    </row>
    <row r="32" customFormat="false" ht="14.25" hidden="false" customHeight="true" outlineLevel="0" collapsed="false">
      <c r="A32" s="139" t="n">
        <f aca="false">WP_상세!A29</f>
        <v>25</v>
      </c>
      <c r="B32" s="139" t="str">
        <f aca="false">WP_상세!B29</f>
        <v>SUP.1</v>
      </c>
      <c r="C32" s="139" t="str">
        <f aca="false">WP_상세!F29</f>
        <v>Quality Assurance Plan / 품질보증 기준/체크리스트(품질보증계획서 내 포함)</v>
      </c>
      <c r="D32" s="139" t="str">
        <f aca="false">WP_상세!G29</f>
        <v>M-Car</v>
      </c>
      <c r="E32" s="139" t="str">
        <f aca="false">WP_상세!H29</f>
        <v>Discrete</v>
      </c>
      <c r="F32" s="139" t="str">
        <f aca="false">WP_상세!I29</f>
        <v>Y</v>
      </c>
      <c r="G32" s="140" t="n">
        <f aca="false">WP_상세!J29</f>
        <v>0.4</v>
      </c>
      <c r="H32" s="141" t="n">
        <f aca="false">IFERROR(IF($E32&lt;&gt;"Discrete",0,IF(1&lt;MATCH($D32,$B$4:$F$4,0),0,IF($F32&lt;&gt;"Y",IF(1=MATCH($D32,$B$4:$F$4,0),1,0),IF(1=MATCH($D32,$B$4:$F$4,0),$G32+(1-$G32)/(5-MATCH($D32,$B$4:$F$4,0)+1),(1-$G32)/(5-MATCH($D32,$B$4:$F$4,0)+1))))),0)</f>
        <v>0.52</v>
      </c>
      <c r="I32" s="141" t="n">
        <f aca="false">IFERROR(IF($E32&lt;&gt;"Discrete",0,IF(2&lt;MATCH($D32,$B$4:$F$4,0),0,IF($F32&lt;&gt;"Y",IF(2=MATCH($D32,$B$4:$F$4,0),1,0),IF(2=MATCH($D32,$B$4:$F$4,0),$G32+(1-$G32)/(5-MATCH($D32,$B$4:$F$4,0)+1),(1-$G32)/(5-MATCH($D32,$B$4:$F$4,0)+1))))),0)</f>
        <v>0.12</v>
      </c>
      <c r="J32" s="141" t="n">
        <f aca="false">IFERROR(IF($E32&lt;&gt;"Discrete",0,IF(3&lt;MATCH($D32,$B$4:$F$4,0),0,IF($F32&lt;&gt;"Y",IF(3=MATCH($D32,$B$4:$F$4,0),1,0),IF(3=MATCH($D32,$B$4:$F$4,0),$G32+(1-$G32)/(5-MATCH($D32,$B$4:$F$4,0)+1),(1-$G32)/(5-MATCH($D32,$B$4:$F$4,0)+1))))),0)</f>
        <v>0.12</v>
      </c>
      <c r="K32" s="141" t="n">
        <f aca="false">IFERROR(IF($E32&lt;&gt;"Discrete",0,IF(4&lt;MATCH($D32,$B$4:$F$4,0),0,IF($F32&lt;&gt;"Y",IF(4=MATCH($D32,$B$4:$F$4,0),1,0),IF(4=MATCH($D32,$B$4:$F$4,0),$G32+(1-$G32)/(5-MATCH($D32,$B$4:$F$4,0)+1),(1-$G32)/(5-MATCH($D32,$B$4:$F$4,0)+1))))),0)</f>
        <v>0.12</v>
      </c>
      <c r="L32" s="141" t="n">
        <f aca="false">IFERROR(IF($E32&lt;&gt;"Discrete",0,IF(5&lt;MATCH($D32,$B$4:$F$4,0),0,IF($F32&lt;&gt;"Y",IF(5=MATCH($D32,$B$4:$F$4,0),1,0),IF(5=MATCH($D32,$B$4:$F$4,0),$G32+(1-$G32)/(5-MATCH($D32,$B$4:$F$4,0)+1),(1-$G32)/(5-MATCH($D32,$B$4:$F$4,0)+1))))),0)</f>
        <v>0.12</v>
      </c>
    </row>
    <row r="33" customFormat="false" ht="14.25" hidden="false" customHeight="true" outlineLevel="0" collapsed="false">
      <c r="A33" s="139" t="n">
        <f aca="false">WP_상세!A30</f>
        <v>26</v>
      </c>
      <c r="B33" s="139" t="str">
        <f aca="false">WP_상세!B30</f>
        <v>SUP.1</v>
      </c>
      <c r="C33" s="139" t="str">
        <f aca="false">WP_상세!F30</f>
        <v>Review Evidence / 작업산출물 품질검토 기록</v>
      </c>
      <c r="D33" s="139" t="str">
        <f aca="false">WP_상세!G30</f>
        <v>Proto</v>
      </c>
      <c r="E33" s="139" t="str">
        <f aca="false">WP_상세!H30</f>
        <v>LOE</v>
      </c>
      <c r="F33" s="139" t="n">
        <f aca="false">WP_상세!I30</f>
        <v>0</v>
      </c>
      <c r="G33" s="139" t="n">
        <f aca="false">WP_상세!J30</f>
        <v>0</v>
      </c>
      <c r="H33" s="141" t="n">
        <f aca="false">IFERROR(IF($E33&lt;&gt;"Discrete",0,IF(1&lt;MATCH($D33,$B$4:$F$4,0),0,IF($F33&lt;&gt;"Y",IF(1=MATCH($D33,$B$4:$F$4,0),1,0),IF(1=MATCH($D33,$B$4:$F$4,0),$G33+(1-$G33)/(5-MATCH($D33,$B$4:$F$4,0)+1),(1-$G33)/(5-MATCH($D33,$B$4:$F$4,0)+1))))),0)</f>
        <v>0</v>
      </c>
      <c r="I33" s="141" t="n">
        <f aca="false">IFERROR(IF($E33&lt;&gt;"Discrete",0,IF(2&lt;MATCH($D33,$B$4:$F$4,0),0,IF($F33&lt;&gt;"Y",IF(2=MATCH($D33,$B$4:$F$4,0),1,0),IF(2=MATCH($D33,$B$4:$F$4,0),$G33+(1-$G33)/(5-MATCH($D33,$B$4:$F$4,0)+1),(1-$G33)/(5-MATCH($D33,$B$4:$F$4,0)+1))))),0)</f>
        <v>0</v>
      </c>
      <c r="J33" s="141" t="n">
        <f aca="false">IFERROR(IF($E33&lt;&gt;"Discrete",0,IF(3&lt;MATCH($D33,$B$4:$F$4,0),0,IF($F33&lt;&gt;"Y",IF(3=MATCH($D33,$B$4:$F$4,0),1,0),IF(3=MATCH($D33,$B$4:$F$4,0),$G33+(1-$G33)/(5-MATCH($D33,$B$4:$F$4,0)+1),(1-$G33)/(5-MATCH($D33,$B$4:$F$4,0)+1))))),0)</f>
        <v>0</v>
      </c>
      <c r="K33" s="141" t="n">
        <f aca="false">IFERROR(IF($E33&lt;&gt;"Discrete",0,IF(4&lt;MATCH($D33,$B$4:$F$4,0),0,IF($F33&lt;&gt;"Y",IF(4=MATCH($D33,$B$4:$F$4,0),1,0),IF(4=MATCH($D33,$B$4:$F$4,0),$G33+(1-$G33)/(5-MATCH($D33,$B$4:$F$4,0)+1),(1-$G33)/(5-MATCH($D33,$B$4:$F$4,0)+1))))),0)</f>
        <v>0</v>
      </c>
      <c r="L33" s="141" t="n">
        <f aca="false">IFERROR(IF($E33&lt;&gt;"Discrete",0,IF(5&lt;MATCH($D33,$B$4:$F$4,0),0,IF($F33&lt;&gt;"Y",IF(5=MATCH($D33,$B$4:$F$4,0),1,0),IF(5=MATCH($D33,$B$4:$F$4,0),$G33+(1-$G33)/(5-MATCH($D33,$B$4:$F$4,0)+1),(1-$G33)/(5-MATCH($D33,$B$4:$F$4,0)+1))))),0)</f>
        <v>0</v>
      </c>
    </row>
    <row r="34" customFormat="false" ht="14.25" hidden="false" customHeight="true" outlineLevel="0" collapsed="false">
      <c r="A34" s="139" t="n">
        <f aca="false">WP_상세!A31</f>
        <v>27</v>
      </c>
      <c r="B34" s="139" t="str">
        <f aca="false">WP_상세!B31</f>
        <v>SUP.1</v>
      </c>
      <c r="C34" s="139" t="str">
        <f aca="false">WP_상세!F31</f>
        <v>Audit Report / 프로세스 활동 품질감사 보고서</v>
      </c>
      <c r="D34" s="139" t="str">
        <f aca="false">WP_상세!G31</f>
        <v>Proto</v>
      </c>
      <c r="E34" s="139" t="str">
        <f aca="false">WP_상세!H31</f>
        <v>Discrete</v>
      </c>
      <c r="F34" s="139" t="str">
        <f aca="false">WP_상세!I31</f>
        <v>N</v>
      </c>
      <c r="G34" s="140" t="n">
        <f aca="false">WP_상세!J31</f>
        <v>1</v>
      </c>
      <c r="H34" s="141" t="n">
        <f aca="false">IFERROR(IF($E34&lt;&gt;"Discrete",0,IF(1&lt;MATCH($D34,$B$4:$F$4,0),0,IF($F34&lt;&gt;"Y",IF(1=MATCH($D34,$B$4:$F$4,0),1,0),IF(1=MATCH($D34,$B$4:$F$4,0),$G34+(1-$G34)/(5-MATCH($D34,$B$4:$F$4,0)+1),(1-$G34)/(5-MATCH($D34,$B$4:$F$4,0)+1))))),0)</f>
        <v>0</v>
      </c>
      <c r="I34" s="141" t="n">
        <f aca="false">IFERROR(IF($E34&lt;&gt;"Discrete",0,IF(2&lt;MATCH($D34,$B$4:$F$4,0),0,IF($F34&lt;&gt;"Y",IF(2=MATCH($D34,$B$4:$F$4,0),1,0),IF(2=MATCH($D34,$B$4:$F$4,0),$G34+(1-$G34)/(5-MATCH($D34,$B$4:$F$4,0)+1),(1-$G34)/(5-MATCH($D34,$B$4:$F$4,0)+1))))),0)</f>
        <v>1</v>
      </c>
      <c r="J34" s="141" t="n">
        <f aca="false">IFERROR(IF($E34&lt;&gt;"Discrete",0,IF(3&lt;MATCH($D34,$B$4:$F$4,0),0,IF($F34&lt;&gt;"Y",IF(3=MATCH($D34,$B$4:$F$4,0),1,0),IF(3=MATCH($D34,$B$4:$F$4,0),$G34+(1-$G34)/(5-MATCH($D34,$B$4:$F$4,0)+1),(1-$G34)/(5-MATCH($D34,$B$4:$F$4,0)+1))))),0)</f>
        <v>0</v>
      </c>
      <c r="K34" s="141" t="n">
        <f aca="false">IFERROR(IF($E34&lt;&gt;"Discrete",0,IF(4&lt;MATCH($D34,$B$4:$F$4,0),0,IF($F34&lt;&gt;"Y",IF(4=MATCH($D34,$B$4:$F$4,0),1,0),IF(4=MATCH($D34,$B$4:$F$4,0),$G34+(1-$G34)/(5-MATCH($D34,$B$4:$F$4,0)+1),(1-$G34)/(5-MATCH($D34,$B$4:$F$4,0)+1))))),0)</f>
        <v>0</v>
      </c>
      <c r="L34" s="141" t="n">
        <f aca="false">IFERROR(IF($E34&lt;&gt;"Discrete",0,IF(5&lt;MATCH($D34,$B$4:$F$4,0),0,IF($F34&lt;&gt;"Y",IF(5=MATCH($D34,$B$4:$F$4,0),1,0),IF(5=MATCH($D34,$B$4:$F$4,0),$G34+(1-$G34)/(5-MATCH($D34,$B$4:$F$4,0)+1),(1-$G34)/(5-MATCH($D34,$B$4:$F$4,0)+1))))),0)</f>
        <v>0</v>
      </c>
    </row>
    <row r="35" customFormat="false" ht="14.25" hidden="false" customHeight="true" outlineLevel="0" collapsed="false">
      <c r="A35" s="139" t="n">
        <f aca="false">WP_상세!A32</f>
        <v>28</v>
      </c>
      <c r="B35" s="139" t="str">
        <f aca="false">WP_상세!B32</f>
        <v>SUP.1</v>
      </c>
      <c r="C35" s="139" t="str">
        <f aca="false">WP_상세!F32</f>
        <v>Communication Evidence / 품질보증 활동/결과 요약보고서</v>
      </c>
      <c r="D35" s="139" t="str">
        <f aca="false">WP_상세!G32</f>
        <v>P1</v>
      </c>
      <c r="E35" s="139" t="str">
        <f aca="false">WP_상세!H32</f>
        <v>LOE</v>
      </c>
      <c r="F35" s="139" t="n">
        <f aca="false">WP_상세!I32</f>
        <v>0</v>
      </c>
      <c r="G35" s="139" t="n">
        <f aca="false">WP_상세!J32</f>
        <v>0</v>
      </c>
      <c r="H35" s="141" t="n">
        <f aca="false">IFERROR(IF($E35&lt;&gt;"Discrete",0,IF(1&lt;MATCH($D35,$B$4:$F$4,0),0,IF($F35&lt;&gt;"Y",IF(1=MATCH($D35,$B$4:$F$4,0),1,0),IF(1=MATCH($D35,$B$4:$F$4,0),$G35+(1-$G35)/(5-MATCH($D35,$B$4:$F$4,0)+1),(1-$G35)/(5-MATCH($D35,$B$4:$F$4,0)+1))))),0)</f>
        <v>0</v>
      </c>
      <c r="I35" s="141" t="n">
        <f aca="false">IFERROR(IF($E35&lt;&gt;"Discrete",0,IF(2&lt;MATCH($D35,$B$4:$F$4,0),0,IF($F35&lt;&gt;"Y",IF(2=MATCH($D35,$B$4:$F$4,0),1,0),IF(2=MATCH($D35,$B$4:$F$4,0),$G35+(1-$G35)/(5-MATCH($D35,$B$4:$F$4,0)+1),(1-$G35)/(5-MATCH($D35,$B$4:$F$4,0)+1))))),0)</f>
        <v>0</v>
      </c>
      <c r="J35" s="141" t="n">
        <f aca="false">IFERROR(IF($E35&lt;&gt;"Discrete",0,IF(3&lt;MATCH($D35,$B$4:$F$4,0),0,IF($F35&lt;&gt;"Y",IF(3=MATCH($D35,$B$4:$F$4,0),1,0),IF(3=MATCH($D35,$B$4:$F$4,0),$G35+(1-$G35)/(5-MATCH($D35,$B$4:$F$4,0)+1),(1-$G35)/(5-MATCH($D35,$B$4:$F$4,0)+1))))),0)</f>
        <v>0</v>
      </c>
      <c r="K35" s="141" t="n">
        <f aca="false">IFERROR(IF($E35&lt;&gt;"Discrete",0,IF(4&lt;MATCH($D35,$B$4:$F$4,0),0,IF($F35&lt;&gt;"Y",IF(4=MATCH($D35,$B$4:$F$4,0),1,0),IF(4=MATCH($D35,$B$4:$F$4,0),$G35+(1-$G35)/(5-MATCH($D35,$B$4:$F$4,0)+1),(1-$G35)/(5-MATCH($D35,$B$4:$F$4,0)+1))))),0)</f>
        <v>0</v>
      </c>
      <c r="L35" s="141" t="n">
        <f aca="false">IFERROR(IF($E35&lt;&gt;"Discrete",0,IF(5&lt;MATCH($D35,$B$4:$F$4,0),0,IF($F35&lt;&gt;"Y",IF(5=MATCH($D35,$B$4:$F$4,0),1,0),IF(5=MATCH($D35,$B$4:$F$4,0),$G35+(1-$G35)/(5-MATCH($D35,$B$4:$F$4,0)+1),(1-$G35)/(5-MATCH($D35,$B$4:$F$4,0)+1))))),0)</f>
        <v>0</v>
      </c>
    </row>
    <row r="36" customFormat="false" ht="14.25" hidden="false" customHeight="true" outlineLevel="0" collapsed="false">
      <c r="A36" s="139" t="n">
        <f aca="false">WP_상세!A33</f>
        <v>29</v>
      </c>
      <c r="B36" s="139" t="str">
        <f aca="false">WP_상세!B33</f>
        <v>SUP.1</v>
      </c>
      <c r="C36" s="139" t="str">
        <f aca="false">WP_상세!F33</f>
        <v>Corrective Action / 부적합사항 시정조치 기록</v>
      </c>
      <c r="D36" s="139" t="str">
        <f aca="false">WP_상세!G33</f>
        <v>P1</v>
      </c>
      <c r="E36" s="139" t="str">
        <f aca="false">WP_상세!H33</f>
        <v>LOE</v>
      </c>
      <c r="F36" s="139" t="n">
        <f aca="false">WP_상세!I33</f>
        <v>0</v>
      </c>
      <c r="G36" s="139" t="n">
        <f aca="false">WP_상세!J33</f>
        <v>0</v>
      </c>
      <c r="H36" s="141" t="n">
        <f aca="false">IFERROR(IF($E36&lt;&gt;"Discrete",0,IF(1&lt;MATCH($D36,$B$4:$F$4,0),0,IF($F36&lt;&gt;"Y",IF(1=MATCH($D36,$B$4:$F$4,0),1,0),IF(1=MATCH($D36,$B$4:$F$4,0),$G36+(1-$G36)/(5-MATCH($D36,$B$4:$F$4,0)+1),(1-$G36)/(5-MATCH($D36,$B$4:$F$4,0)+1))))),0)</f>
        <v>0</v>
      </c>
      <c r="I36" s="141" t="n">
        <f aca="false">IFERROR(IF($E36&lt;&gt;"Discrete",0,IF(2&lt;MATCH($D36,$B$4:$F$4,0),0,IF($F36&lt;&gt;"Y",IF(2=MATCH($D36,$B$4:$F$4,0),1,0),IF(2=MATCH($D36,$B$4:$F$4,0),$G36+(1-$G36)/(5-MATCH($D36,$B$4:$F$4,0)+1),(1-$G36)/(5-MATCH($D36,$B$4:$F$4,0)+1))))),0)</f>
        <v>0</v>
      </c>
      <c r="J36" s="141" t="n">
        <f aca="false">IFERROR(IF($E36&lt;&gt;"Discrete",0,IF(3&lt;MATCH($D36,$B$4:$F$4,0),0,IF($F36&lt;&gt;"Y",IF(3=MATCH($D36,$B$4:$F$4,0),1,0),IF(3=MATCH($D36,$B$4:$F$4,0),$G36+(1-$G36)/(5-MATCH($D36,$B$4:$F$4,0)+1),(1-$G36)/(5-MATCH($D36,$B$4:$F$4,0)+1))))),0)</f>
        <v>0</v>
      </c>
      <c r="K36" s="141" t="n">
        <f aca="false">IFERROR(IF($E36&lt;&gt;"Discrete",0,IF(4&lt;MATCH($D36,$B$4:$F$4,0),0,IF($F36&lt;&gt;"Y",IF(4=MATCH($D36,$B$4:$F$4,0),1,0),IF(4=MATCH($D36,$B$4:$F$4,0),$G36+(1-$G36)/(5-MATCH($D36,$B$4:$F$4,0)+1),(1-$G36)/(5-MATCH($D36,$B$4:$F$4,0)+1))))),0)</f>
        <v>0</v>
      </c>
      <c r="L36" s="141" t="n">
        <f aca="false">IFERROR(IF($E36&lt;&gt;"Discrete",0,IF(5&lt;MATCH($D36,$B$4:$F$4,0),0,IF($F36&lt;&gt;"Y",IF(5=MATCH($D36,$B$4:$F$4,0),1,0),IF(5=MATCH($D36,$B$4:$F$4,0),$G36+(1-$G36)/(5-MATCH($D36,$B$4:$F$4,0)+1),(1-$G36)/(5-MATCH($D36,$B$4:$F$4,0)+1))))),0)</f>
        <v>0</v>
      </c>
    </row>
    <row r="37" customFormat="false" ht="14.25" hidden="false" customHeight="true" outlineLevel="0" collapsed="false">
      <c r="A37" s="139" t="n">
        <f aca="false">WP_상세!A34</f>
        <v>30</v>
      </c>
      <c r="B37" s="139" t="str">
        <f aca="false">WP_상세!B34</f>
        <v>SUP.1</v>
      </c>
      <c r="C37" s="139" t="str">
        <f aca="false">WP_상세!F34</f>
        <v>Corrective Action / 부적합사항 에스컬레이션(상위보고) 기록</v>
      </c>
      <c r="D37" s="139" t="str">
        <f aca="false">WP_상세!G34</f>
        <v>P1</v>
      </c>
      <c r="E37" s="139" t="str">
        <f aca="false">WP_상세!H34</f>
        <v>LOE</v>
      </c>
      <c r="F37" s="139" t="n">
        <f aca="false">WP_상세!I34</f>
        <v>0</v>
      </c>
      <c r="G37" s="139" t="n">
        <f aca="false">WP_상세!J34</f>
        <v>0</v>
      </c>
      <c r="H37" s="141" t="n">
        <f aca="false">IFERROR(IF($E37&lt;&gt;"Discrete",0,IF(1&lt;MATCH($D37,$B$4:$F$4,0),0,IF($F37&lt;&gt;"Y",IF(1=MATCH($D37,$B$4:$F$4,0),1,0),IF(1=MATCH($D37,$B$4:$F$4,0),$G37+(1-$G37)/(5-MATCH($D37,$B$4:$F$4,0)+1),(1-$G37)/(5-MATCH($D37,$B$4:$F$4,0)+1))))),0)</f>
        <v>0</v>
      </c>
      <c r="I37" s="141" t="n">
        <f aca="false">IFERROR(IF($E37&lt;&gt;"Discrete",0,IF(2&lt;MATCH($D37,$B$4:$F$4,0),0,IF($F37&lt;&gt;"Y",IF(2=MATCH($D37,$B$4:$F$4,0),1,0),IF(2=MATCH($D37,$B$4:$F$4,0),$G37+(1-$G37)/(5-MATCH($D37,$B$4:$F$4,0)+1),(1-$G37)/(5-MATCH($D37,$B$4:$F$4,0)+1))))),0)</f>
        <v>0</v>
      </c>
      <c r="J37" s="141" t="n">
        <f aca="false">IFERROR(IF($E37&lt;&gt;"Discrete",0,IF(3&lt;MATCH($D37,$B$4:$F$4,0),0,IF($F37&lt;&gt;"Y",IF(3=MATCH($D37,$B$4:$F$4,0),1,0),IF(3=MATCH($D37,$B$4:$F$4,0),$G37+(1-$G37)/(5-MATCH($D37,$B$4:$F$4,0)+1),(1-$G37)/(5-MATCH($D37,$B$4:$F$4,0)+1))))),0)</f>
        <v>0</v>
      </c>
      <c r="K37" s="141" t="n">
        <f aca="false">IFERROR(IF($E37&lt;&gt;"Discrete",0,IF(4&lt;MATCH($D37,$B$4:$F$4,0),0,IF($F37&lt;&gt;"Y",IF(4=MATCH($D37,$B$4:$F$4,0),1,0),IF(4=MATCH($D37,$B$4:$F$4,0),$G37+(1-$G37)/(5-MATCH($D37,$B$4:$F$4,0)+1),(1-$G37)/(5-MATCH($D37,$B$4:$F$4,0)+1))))),0)</f>
        <v>0</v>
      </c>
      <c r="L37" s="141" t="n">
        <f aca="false">IFERROR(IF($E37&lt;&gt;"Discrete",0,IF(5&lt;MATCH($D37,$B$4:$F$4,0),0,IF($F37&lt;&gt;"Y",IF(5=MATCH($D37,$B$4:$F$4,0),1,0),IF(5=MATCH($D37,$B$4:$F$4,0),$G37+(1-$G37)/(5-MATCH($D37,$B$4:$F$4,0)+1),(1-$G37)/(5-MATCH($D37,$B$4:$F$4,0)+1))))),0)</f>
        <v>0</v>
      </c>
    </row>
    <row r="38" customFormat="false" ht="14.25" hidden="false" customHeight="true" outlineLevel="0" collapsed="false">
      <c r="A38" s="139" t="n">
        <f aca="false">WP_상세!A35</f>
        <v>31</v>
      </c>
      <c r="B38" s="139" t="str">
        <f aca="false">WP_상세!B35</f>
        <v>SUP.8</v>
      </c>
      <c r="C38" s="139" t="str">
        <f aca="false">WP_상세!F35</f>
        <v>Configuration Item List / 형상항목 식별목록</v>
      </c>
      <c r="D38" s="139" t="str">
        <f aca="false">WP_상세!G35</f>
        <v>M-Car</v>
      </c>
      <c r="E38" s="139" t="str">
        <f aca="false">WP_상세!H35</f>
        <v>Discrete</v>
      </c>
      <c r="F38" s="139" t="str">
        <f aca="false">WP_상세!I35</f>
        <v>N</v>
      </c>
      <c r="G38" s="140" t="n">
        <f aca="false">WP_상세!J35</f>
        <v>1</v>
      </c>
      <c r="H38" s="141" t="n">
        <f aca="false">IFERROR(IF($E38&lt;&gt;"Discrete",0,IF(1&lt;MATCH($D38,$B$4:$F$4,0),0,IF($F38&lt;&gt;"Y",IF(1=MATCH($D38,$B$4:$F$4,0),1,0),IF(1=MATCH($D38,$B$4:$F$4,0),$G38+(1-$G38)/(5-MATCH($D38,$B$4:$F$4,0)+1),(1-$G38)/(5-MATCH($D38,$B$4:$F$4,0)+1))))),0)</f>
        <v>1</v>
      </c>
      <c r="I38" s="141" t="n">
        <f aca="false">IFERROR(IF($E38&lt;&gt;"Discrete",0,IF(2&lt;MATCH($D38,$B$4:$F$4,0),0,IF($F38&lt;&gt;"Y",IF(2=MATCH($D38,$B$4:$F$4,0),1,0),IF(2=MATCH($D38,$B$4:$F$4,0),$G38+(1-$G38)/(5-MATCH($D38,$B$4:$F$4,0)+1),(1-$G38)/(5-MATCH($D38,$B$4:$F$4,0)+1))))),0)</f>
        <v>0</v>
      </c>
      <c r="J38" s="141" t="n">
        <f aca="false">IFERROR(IF($E38&lt;&gt;"Discrete",0,IF(3&lt;MATCH($D38,$B$4:$F$4,0),0,IF($F38&lt;&gt;"Y",IF(3=MATCH($D38,$B$4:$F$4,0),1,0),IF(3=MATCH($D38,$B$4:$F$4,0),$G38+(1-$G38)/(5-MATCH($D38,$B$4:$F$4,0)+1),(1-$G38)/(5-MATCH($D38,$B$4:$F$4,0)+1))))),0)</f>
        <v>0</v>
      </c>
      <c r="K38" s="141" t="n">
        <f aca="false">IFERROR(IF($E38&lt;&gt;"Discrete",0,IF(4&lt;MATCH($D38,$B$4:$F$4,0),0,IF($F38&lt;&gt;"Y",IF(4=MATCH($D38,$B$4:$F$4,0),1,0),IF(4=MATCH($D38,$B$4:$F$4,0),$G38+(1-$G38)/(5-MATCH($D38,$B$4:$F$4,0)+1),(1-$G38)/(5-MATCH($D38,$B$4:$F$4,0)+1))))),0)</f>
        <v>0</v>
      </c>
      <c r="L38" s="141" t="n">
        <f aca="false">IFERROR(IF($E38&lt;&gt;"Discrete",0,IF(5&lt;MATCH($D38,$B$4:$F$4,0),0,IF($F38&lt;&gt;"Y",IF(5=MATCH($D38,$B$4:$F$4,0),1,0),IF(5=MATCH($D38,$B$4:$F$4,0),$G38+(1-$G38)/(5-MATCH($D38,$B$4:$F$4,0)+1),(1-$G38)/(5-MATCH($D38,$B$4:$F$4,0)+1))))),0)</f>
        <v>0</v>
      </c>
    </row>
    <row r="39" customFormat="false" ht="14.25" hidden="false" customHeight="true" outlineLevel="0" collapsed="false">
      <c r="A39" s="139" t="n">
        <f aca="false">WP_상세!A36</f>
        <v>32</v>
      </c>
      <c r="B39" s="139" t="str">
        <f aca="false">WP_상세!B36</f>
        <v>SUP.8</v>
      </c>
      <c r="C39" s="139" t="str">
        <f aca="false">WP_상세!F36</f>
        <v>Configuration Item List / 형상항목 속성정의서</v>
      </c>
      <c r="D39" s="139" t="str">
        <f aca="false">WP_상세!G36</f>
        <v>M-Car</v>
      </c>
      <c r="E39" s="139" t="str">
        <f aca="false">WP_상세!H36</f>
        <v>Discrete</v>
      </c>
      <c r="F39" s="139" t="str">
        <f aca="false">WP_상세!I36</f>
        <v>N</v>
      </c>
      <c r="G39" s="140" t="n">
        <f aca="false">WP_상세!J36</f>
        <v>1</v>
      </c>
      <c r="H39" s="141" t="n">
        <f aca="false">IFERROR(IF($E39&lt;&gt;"Discrete",0,IF(1&lt;MATCH($D39,$B$4:$F$4,0),0,IF($F39&lt;&gt;"Y",IF(1=MATCH($D39,$B$4:$F$4,0),1,0),IF(1=MATCH($D39,$B$4:$F$4,0),$G39+(1-$G39)/(5-MATCH($D39,$B$4:$F$4,0)+1),(1-$G39)/(5-MATCH($D39,$B$4:$F$4,0)+1))))),0)</f>
        <v>1</v>
      </c>
      <c r="I39" s="141" t="n">
        <f aca="false">IFERROR(IF($E39&lt;&gt;"Discrete",0,IF(2&lt;MATCH($D39,$B$4:$F$4,0),0,IF($F39&lt;&gt;"Y",IF(2=MATCH($D39,$B$4:$F$4,0),1,0),IF(2=MATCH($D39,$B$4:$F$4,0),$G39+(1-$G39)/(5-MATCH($D39,$B$4:$F$4,0)+1),(1-$G39)/(5-MATCH($D39,$B$4:$F$4,0)+1))))),0)</f>
        <v>0</v>
      </c>
      <c r="J39" s="141" t="n">
        <f aca="false">IFERROR(IF($E39&lt;&gt;"Discrete",0,IF(3&lt;MATCH($D39,$B$4:$F$4,0),0,IF($F39&lt;&gt;"Y",IF(3=MATCH($D39,$B$4:$F$4,0),1,0),IF(3=MATCH($D39,$B$4:$F$4,0),$G39+(1-$G39)/(5-MATCH($D39,$B$4:$F$4,0)+1),(1-$G39)/(5-MATCH($D39,$B$4:$F$4,0)+1))))),0)</f>
        <v>0</v>
      </c>
      <c r="K39" s="141" t="n">
        <f aca="false">IFERROR(IF($E39&lt;&gt;"Discrete",0,IF(4&lt;MATCH($D39,$B$4:$F$4,0),0,IF($F39&lt;&gt;"Y",IF(4=MATCH($D39,$B$4:$F$4,0),1,0),IF(4=MATCH($D39,$B$4:$F$4,0),$G39+(1-$G39)/(5-MATCH($D39,$B$4:$F$4,0)+1),(1-$G39)/(5-MATCH($D39,$B$4:$F$4,0)+1))))),0)</f>
        <v>0</v>
      </c>
      <c r="L39" s="141" t="n">
        <f aca="false">IFERROR(IF($E39&lt;&gt;"Discrete",0,IF(5&lt;MATCH($D39,$B$4:$F$4,0),0,IF($F39&lt;&gt;"Y",IF(5=MATCH($D39,$B$4:$F$4,0),1,0),IF(5=MATCH($D39,$B$4:$F$4,0),$G39+(1-$G39)/(5-MATCH($D39,$B$4:$F$4,0)+1),(1-$G39)/(5-MATCH($D39,$B$4:$F$4,0)+1))))),0)</f>
        <v>0</v>
      </c>
    </row>
    <row r="40" customFormat="false" ht="14.25" hidden="false" customHeight="true" outlineLevel="0" collapsed="false">
      <c r="A40" s="139" t="n">
        <f aca="false">WP_상세!A37</f>
        <v>33</v>
      </c>
      <c r="B40" s="139" t="str">
        <f aca="false">WP_상세!B37</f>
        <v>SUP.8</v>
      </c>
      <c r="C40" s="139" t="str">
        <f aca="false">WP_상세!F37</f>
        <v>Configuration Management Plan / 형상관리계획서</v>
      </c>
      <c r="D40" s="139" t="str">
        <f aca="false">WP_상세!G37</f>
        <v>M-Car</v>
      </c>
      <c r="E40" s="139" t="str">
        <f aca="false">WP_상세!H37</f>
        <v>Discrete</v>
      </c>
      <c r="F40" s="139" t="str">
        <f aca="false">WP_상세!I37</f>
        <v>Y</v>
      </c>
      <c r="G40" s="140" t="n">
        <f aca="false">WP_상세!J37</f>
        <v>0.4</v>
      </c>
      <c r="H40" s="141" t="n">
        <f aca="false">IFERROR(IF($E40&lt;&gt;"Discrete",0,IF(1&lt;MATCH($D40,$B$4:$F$4,0),0,IF($F40&lt;&gt;"Y",IF(1=MATCH($D40,$B$4:$F$4,0),1,0),IF(1=MATCH($D40,$B$4:$F$4,0),$G40+(1-$G40)/(5-MATCH($D40,$B$4:$F$4,0)+1),(1-$G40)/(5-MATCH($D40,$B$4:$F$4,0)+1))))),0)</f>
        <v>0.52</v>
      </c>
      <c r="I40" s="141" t="n">
        <f aca="false">IFERROR(IF($E40&lt;&gt;"Discrete",0,IF(2&lt;MATCH($D40,$B$4:$F$4,0),0,IF($F40&lt;&gt;"Y",IF(2=MATCH($D40,$B$4:$F$4,0),1,0),IF(2=MATCH($D40,$B$4:$F$4,0),$G40+(1-$G40)/(5-MATCH($D40,$B$4:$F$4,0)+1),(1-$G40)/(5-MATCH($D40,$B$4:$F$4,0)+1))))),0)</f>
        <v>0.12</v>
      </c>
      <c r="J40" s="141" t="n">
        <f aca="false">IFERROR(IF($E40&lt;&gt;"Discrete",0,IF(3&lt;MATCH($D40,$B$4:$F$4,0),0,IF($F40&lt;&gt;"Y",IF(3=MATCH($D40,$B$4:$F$4,0),1,0),IF(3=MATCH($D40,$B$4:$F$4,0),$G40+(1-$G40)/(5-MATCH($D40,$B$4:$F$4,0)+1),(1-$G40)/(5-MATCH($D40,$B$4:$F$4,0)+1))))),0)</f>
        <v>0.12</v>
      </c>
      <c r="K40" s="141" t="n">
        <f aca="false">IFERROR(IF($E40&lt;&gt;"Discrete",0,IF(4&lt;MATCH($D40,$B$4:$F$4,0),0,IF($F40&lt;&gt;"Y",IF(4=MATCH($D40,$B$4:$F$4,0),1,0),IF(4=MATCH($D40,$B$4:$F$4,0),$G40+(1-$G40)/(5-MATCH($D40,$B$4:$F$4,0)+1),(1-$G40)/(5-MATCH($D40,$B$4:$F$4,0)+1))))),0)</f>
        <v>0.12</v>
      </c>
      <c r="L40" s="141" t="n">
        <f aca="false">IFERROR(IF($E40&lt;&gt;"Discrete",0,IF(5&lt;MATCH($D40,$B$4:$F$4,0),0,IF($F40&lt;&gt;"Y",IF(5=MATCH($D40,$B$4:$F$4,0),1,0),IF(5=MATCH($D40,$B$4:$F$4,0),$G40+(1-$G40)/(5-MATCH($D40,$B$4:$F$4,0)+1),(1-$G40)/(5-MATCH($D40,$B$4:$F$4,0)+1))))),0)</f>
        <v>0.12</v>
      </c>
    </row>
    <row r="41" customFormat="false" ht="14.25" hidden="false" customHeight="true" outlineLevel="0" collapsed="false">
      <c r="A41" s="139" t="n">
        <f aca="false">WP_상세!A38</f>
        <v>34</v>
      </c>
      <c r="B41" s="139" t="str">
        <f aca="false">WP_상세!B38</f>
        <v>SUP.8</v>
      </c>
      <c r="C41" s="139" t="str">
        <f aca="false">WP_상세!F38</f>
        <v>Change Request / 형상항목 변경통제 기록</v>
      </c>
      <c r="D41" s="139" t="str">
        <f aca="false">WP_상세!G38</f>
        <v>Proto</v>
      </c>
      <c r="E41" s="139" t="str">
        <f aca="false">WP_상세!H38</f>
        <v>LOE</v>
      </c>
      <c r="F41" s="139" t="n">
        <f aca="false">WP_상세!I38</f>
        <v>0</v>
      </c>
      <c r="G41" s="139" t="n">
        <f aca="false">WP_상세!J38</f>
        <v>0</v>
      </c>
      <c r="H41" s="141" t="n">
        <f aca="false">IFERROR(IF($E41&lt;&gt;"Discrete",0,IF(1&lt;MATCH($D41,$B$4:$F$4,0),0,IF($F41&lt;&gt;"Y",IF(1=MATCH($D41,$B$4:$F$4,0),1,0),IF(1=MATCH($D41,$B$4:$F$4,0),$G41+(1-$G41)/(5-MATCH($D41,$B$4:$F$4,0)+1),(1-$G41)/(5-MATCH($D41,$B$4:$F$4,0)+1))))),0)</f>
        <v>0</v>
      </c>
      <c r="I41" s="141" t="n">
        <f aca="false">IFERROR(IF($E41&lt;&gt;"Discrete",0,IF(2&lt;MATCH($D41,$B$4:$F$4,0),0,IF($F41&lt;&gt;"Y",IF(2=MATCH($D41,$B$4:$F$4,0),1,0),IF(2=MATCH($D41,$B$4:$F$4,0),$G41+(1-$G41)/(5-MATCH($D41,$B$4:$F$4,0)+1),(1-$G41)/(5-MATCH($D41,$B$4:$F$4,0)+1))))),0)</f>
        <v>0</v>
      </c>
      <c r="J41" s="141" t="n">
        <f aca="false">IFERROR(IF($E41&lt;&gt;"Discrete",0,IF(3&lt;MATCH($D41,$B$4:$F$4,0),0,IF($F41&lt;&gt;"Y",IF(3=MATCH($D41,$B$4:$F$4,0),1,0),IF(3=MATCH($D41,$B$4:$F$4,0),$G41+(1-$G41)/(5-MATCH($D41,$B$4:$F$4,0)+1),(1-$G41)/(5-MATCH($D41,$B$4:$F$4,0)+1))))),0)</f>
        <v>0</v>
      </c>
      <c r="K41" s="141" t="n">
        <f aca="false">IFERROR(IF($E41&lt;&gt;"Discrete",0,IF(4&lt;MATCH($D41,$B$4:$F$4,0),0,IF($F41&lt;&gt;"Y",IF(4=MATCH($D41,$B$4:$F$4,0),1,0),IF(4=MATCH($D41,$B$4:$F$4,0),$G41+(1-$G41)/(5-MATCH($D41,$B$4:$F$4,0)+1),(1-$G41)/(5-MATCH($D41,$B$4:$F$4,0)+1))))),0)</f>
        <v>0</v>
      </c>
      <c r="L41" s="141" t="n">
        <f aca="false">IFERROR(IF($E41&lt;&gt;"Discrete",0,IF(5&lt;MATCH($D41,$B$4:$F$4,0),0,IF($F41&lt;&gt;"Y",IF(5=MATCH($D41,$B$4:$F$4,0),1,0),IF(5=MATCH($D41,$B$4:$F$4,0),$G41+(1-$G41)/(5-MATCH($D41,$B$4:$F$4,0)+1),(1-$G41)/(5-MATCH($D41,$B$4:$F$4,0)+1))))),0)</f>
        <v>0</v>
      </c>
    </row>
    <row r="42" customFormat="false" ht="14.25" hidden="false" customHeight="true" outlineLevel="0" collapsed="false">
      <c r="A42" s="139" t="n">
        <f aca="false">WP_상세!A39</f>
        <v>35</v>
      </c>
      <c r="B42" s="139" t="str">
        <f aca="false">WP_상세!B39</f>
        <v>SUP.8</v>
      </c>
      <c r="C42" s="139" t="str">
        <f aca="false">WP_상세!F39</f>
        <v>Baseline / 베이스라인 기록서</v>
      </c>
      <c r="D42" s="139" t="str">
        <f aca="false">WP_상세!G39</f>
        <v>Proto</v>
      </c>
      <c r="E42" s="139" t="str">
        <f aca="false">WP_상세!H39</f>
        <v>Discrete</v>
      </c>
      <c r="F42" s="139" t="str">
        <f aca="false">WP_상세!I39</f>
        <v>N</v>
      </c>
      <c r="G42" s="140" t="n">
        <f aca="false">WP_상세!J39</f>
        <v>1</v>
      </c>
      <c r="H42" s="141" t="n">
        <f aca="false">IFERROR(IF($E42&lt;&gt;"Discrete",0,IF(1&lt;MATCH($D42,$B$4:$F$4,0),0,IF($F42&lt;&gt;"Y",IF(1=MATCH($D42,$B$4:$F$4,0),1,0),IF(1=MATCH($D42,$B$4:$F$4,0),$G42+(1-$G42)/(5-MATCH($D42,$B$4:$F$4,0)+1),(1-$G42)/(5-MATCH($D42,$B$4:$F$4,0)+1))))),0)</f>
        <v>0</v>
      </c>
      <c r="I42" s="141" t="n">
        <f aca="false">IFERROR(IF($E42&lt;&gt;"Discrete",0,IF(2&lt;MATCH($D42,$B$4:$F$4,0),0,IF($F42&lt;&gt;"Y",IF(2=MATCH($D42,$B$4:$F$4,0),1,0),IF(2=MATCH($D42,$B$4:$F$4,0),$G42+(1-$G42)/(5-MATCH($D42,$B$4:$F$4,0)+1),(1-$G42)/(5-MATCH($D42,$B$4:$F$4,0)+1))))),0)</f>
        <v>1</v>
      </c>
      <c r="J42" s="141" t="n">
        <f aca="false">IFERROR(IF($E42&lt;&gt;"Discrete",0,IF(3&lt;MATCH($D42,$B$4:$F$4,0),0,IF($F42&lt;&gt;"Y",IF(3=MATCH($D42,$B$4:$F$4,0),1,0),IF(3=MATCH($D42,$B$4:$F$4,0),$G42+(1-$G42)/(5-MATCH($D42,$B$4:$F$4,0)+1),(1-$G42)/(5-MATCH($D42,$B$4:$F$4,0)+1))))),0)</f>
        <v>0</v>
      </c>
      <c r="K42" s="141" t="n">
        <f aca="false">IFERROR(IF($E42&lt;&gt;"Discrete",0,IF(4&lt;MATCH($D42,$B$4:$F$4,0),0,IF($F42&lt;&gt;"Y",IF(4=MATCH($D42,$B$4:$F$4,0),1,0),IF(4=MATCH($D42,$B$4:$F$4,0),$G42+(1-$G42)/(5-MATCH($D42,$B$4:$F$4,0)+1),(1-$G42)/(5-MATCH($D42,$B$4:$F$4,0)+1))))),0)</f>
        <v>0</v>
      </c>
      <c r="L42" s="141" t="n">
        <f aca="false">IFERROR(IF($E42&lt;&gt;"Discrete",0,IF(5&lt;MATCH($D42,$B$4:$F$4,0),0,IF($F42&lt;&gt;"Y",IF(5=MATCH($D42,$B$4:$F$4,0),1,0),IF(5=MATCH($D42,$B$4:$F$4,0),$G42+(1-$G42)/(5-MATCH($D42,$B$4:$F$4,0)+1),(1-$G42)/(5-MATCH($D42,$B$4:$F$4,0)+1))))),0)</f>
        <v>0</v>
      </c>
    </row>
    <row r="43" customFormat="false" ht="14.25" hidden="false" customHeight="true" outlineLevel="0" collapsed="false">
      <c r="A43" s="139" t="n">
        <f aca="false">WP_상세!A40</f>
        <v>36</v>
      </c>
      <c r="B43" s="139" t="str">
        <f aca="false">WP_상세!B40</f>
        <v>SUP.8</v>
      </c>
      <c r="C43" s="139" t="str">
        <f aca="false">WP_상세!F40</f>
        <v>Communication Evidence / 형상현황 요약/공유 보고서</v>
      </c>
      <c r="D43" s="139" t="str">
        <f aca="false">WP_상세!G40</f>
        <v>P1</v>
      </c>
      <c r="E43" s="139" t="str">
        <f aca="false">WP_상세!H40</f>
        <v>LOE</v>
      </c>
      <c r="F43" s="139" t="n">
        <f aca="false">WP_상세!I40</f>
        <v>0</v>
      </c>
      <c r="G43" s="139" t="n">
        <f aca="false">WP_상세!J40</f>
        <v>0</v>
      </c>
      <c r="H43" s="141" t="n">
        <f aca="false">IFERROR(IF($E43&lt;&gt;"Discrete",0,IF(1&lt;MATCH($D43,$B$4:$F$4,0),0,IF($F43&lt;&gt;"Y",IF(1=MATCH($D43,$B$4:$F$4,0),1,0),IF(1=MATCH($D43,$B$4:$F$4,0),$G43+(1-$G43)/(5-MATCH($D43,$B$4:$F$4,0)+1),(1-$G43)/(5-MATCH($D43,$B$4:$F$4,0)+1))))),0)</f>
        <v>0</v>
      </c>
      <c r="I43" s="141" t="n">
        <f aca="false">IFERROR(IF($E43&lt;&gt;"Discrete",0,IF(2&lt;MATCH($D43,$B$4:$F$4,0),0,IF($F43&lt;&gt;"Y",IF(2=MATCH($D43,$B$4:$F$4,0),1,0),IF(2=MATCH($D43,$B$4:$F$4,0),$G43+(1-$G43)/(5-MATCH($D43,$B$4:$F$4,0)+1),(1-$G43)/(5-MATCH($D43,$B$4:$F$4,0)+1))))),0)</f>
        <v>0</v>
      </c>
      <c r="J43" s="141" t="n">
        <f aca="false">IFERROR(IF($E43&lt;&gt;"Discrete",0,IF(3&lt;MATCH($D43,$B$4:$F$4,0),0,IF($F43&lt;&gt;"Y",IF(3=MATCH($D43,$B$4:$F$4,0),1,0),IF(3=MATCH($D43,$B$4:$F$4,0),$G43+(1-$G43)/(5-MATCH($D43,$B$4:$F$4,0)+1),(1-$G43)/(5-MATCH($D43,$B$4:$F$4,0)+1))))),0)</f>
        <v>0</v>
      </c>
      <c r="K43" s="141" t="n">
        <f aca="false">IFERROR(IF($E43&lt;&gt;"Discrete",0,IF(4&lt;MATCH($D43,$B$4:$F$4,0),0,IF($F43&lt;&gt;"Y",IF(4=MATCH($D43,$B$4:$F$4,0),1,0),IF(4=MATCH($D43,$B$4:$F$4,0),$G43+(1-$G43)/(5-MATCH($D43,$B$4:$F$4,0)+1),(1-$G43)/(5-MATCH($D43,$B$4:$F$4,0)+1))))),0)</f>
        <v>0</v>
      </c>
      <c r="L43" s="141" t="n">
        <f aca="false">IFERROR(IF($E43&lt;&gt;"Discrete",0,IF(5&lt;MATCH($D43,$B$4:$F$4,0),0,IF($F43&lt;&gt;"Y",IF(5=MATCH($D43,$B$4:$F$4,0),1,0),IF(5=MATCH($D43,$B$4:$F$4,0),$G43+(1-$G43)/(5-MATCH($D43,$B$4:$F$4,0)+1),(1-$G43)/(5-MATCH($D43,$B$4:$F$4,0)+1))))),0)</f>
        <v>0</v>
      </c>
    </row>
    <row r="44" customFormat="false" ht="14.25" hidden="false" customHeight="true" outlineLevel="0" collapsed="false">
      <c r="A44" s="139" t="n">
        <f aca="false">WP_상세!A41</f>
        <v>37</v>
      </c>
      <c r="B44" s="139" t="str">
        <f aca="false">WP_상세!B41</f>
        <v>SUP.8</v>
      </c>
      <c r="C44" s="139" t="str">
        <f aca="false">WP_상세!F41</f>
        <v>Consistency Evidence / 형상항목 완전성/일관성 검증 기록</v>
      </c>
      <c r="D44" s="139" t="str">
        <f aca="false">WP_상세!G41</f>
        <v>P1</v>
      </c>
      <c r="E44" s="139" t="str">
        <f aca="false">WP_상세!H41</f>
        <v>Discrete</v>
      </c>
      <c r="F44" s="139" t="str">
        <f aca="false">WP_상세!I41</f>
        <v>N</v>
      </c>
      <c r="G44" s="140" t="n">
        <f aca="false">WP_상세!J41</f>
        <v>1</v>
      </c>
      <c r="H44" s="141" t="n">
        <f aca="false">IFERROR(IF($E44&lt;&gt;"Discrete",0,IF(1&lt;MATCH($D44,$B$4:$F$4,0),0,IF($F44&lt;&gt;"Y",IF(1=MATCH($D44,$B$4:$F$4,0),1,0),IF(1=MATCH($D44,$B$4:$F$4,0),$G44+(1-$G44)/(5-MATCH($D44,$B$4:$F$4,0)+1),(1-$G44)/(5-MATCH($D44,$B$4:$F$4,0)+1))))),0)</f>
        <v>0</v>
      </c>
      <c r="I44" s="141" t="n">
        <f aca="false">IFERROR(IF($E44&lt;&gt;"Discrete",0,IF(2&lt;MATCH($D44,$B$4:$F$4,0),0,IF($F44&lt;&gt;"Y",IF(2=MATCH($D44,$B$4:$F$4,0),1,0),IF(2=MATCH($D44,$B$4:$F$4,0),$G44+(1-$G44)/(5-MATCH($D44,$B$4:$F$4,0)+1),(1-$G44)/(5-MATCH($D44,$B$4:$F$4,0)+1))))),0)</f>
        <v>0</v>
      </c>
      <c r="J44" s="141" t="n">
        <f aca="false">IFERROR(IF($E44&lt;&gt;"Discrete",0,IF(3&lt;MATCH($D44,$B$4:$F$4,0),0,IF($F44&lt;&gt;"Y",IF(3=MATCH($D44,$B$4:$F$4,0),1,0),IF(3=MATCH($D44,$B$4:$F$4,0),$G44+(1-$G44)/(5-MATCH($D44,$B$4:$F$4,0)+1),(1-$G44)/(5-MATCH($D44,$B$4:$F$4,0)+1))))),0)</f>
        <v>1</v>
      </c>
      <c r="K44" s="141" t="n">
        <f aca="false">IFERROR(IF($E44&lt;&gt;"Discrete",0,IF(4&lt;MATCH($D44,$B$4:$F$4,0),0,IF($F44&lt;&gt;"Y",IF(4=MATCH($D44,$B$4:$F$4,0),1,0),IF(4=MATCH($D44,$B$4:$F$4,0),$G44+(1-$G44)/(5-MATCH($D44,$B$4:$F$4,0)+1),(1-$G44)/(5-MATCH($D44,$B$4:$F$4,0)+1))))),0)</f>
        <v>0</v>
      </c>
      <c r="L44" s="141" t="n">
        <f aca="false">IFERROR(IF($E44&lt;&gt;"Discrete",0,IF(5&lt;MATCH($D44,$B$4:$F$4,0),0,IF($F44&lt;&gt;"Y",IF(5=MATCH($D44,$B$4:$F$4,0),1,0),IF(5=MATCH($D44,$B$4:$F$4,0),$G44+(1-$G44)/(5-MATCH($D44,$B$4:$F$4,0)+1),(1-$G44)/(5-MATCH($D44,$B$4:$F$4,0)+1))))),0)</f>
        <v>0</v>
      </c>
    </row>
    <row r="45" customFormat="false" ht="14.25" hidden="false" customHeight="true" outlineLevel="0" collapsed="false">
      <c r="A45" s="139" t="n">
        <f aca="false">WP_상세!A42</f>
        <v>38</v>
      </c>
      <c r="B45" s="139" t="str">
        <f aca="false">WP_상세!B42</f>
        <v>SUP.8</v>
      </c>
      <c r="C45" s="139" t="str">
        <f aca="false">WP_상세!F42</f>
        <v>Verification Results / 백업 및 복구 메커니즘 가용성 검증 기록</v>
      </c>
      <c r="D45" s="139" t="str">
        <f aca="false">WP_상세!G42</f>
        <v>P1</v>
      </c>
      <c r="E45" s="139" t="str">
        <f aca="false">WP_상세!H42</f>
        <v>Discrete</v>
      </c>
      <c r="F45" s="139" t="str">
        <f aca="false">WP_상세!I42</f>
        <v>N</v>
      </c>
      <c r="G45" s="140" t="n">
        <f aca="false">WP_상세!J42</f>
        <v>1</v>
      </c>
      <c r="H45" s="141" t="n">
        <f aca="false">IFERROR(IF($E45&lt;&gt;"Discrete",0,IF(1&lt;MATCH($D45,$B$4:$F$4,0),0,IF($F45&lt;&gt;"Y",IF(1=MATCH($D45,$B$4:$F$4,0),1,0),IF(1=MATCH($D45,$B$4:$F$4,0),$G45+(1-$G45)/(5-MATCH($D45,$B$4:$F$4,0)+1),(1-$G45)/(5-MATCH($D45,$B$4:$F$4,0)+1))))),0)</f>
        <v>0</v>
      </c>
      <c r="I45" s="141" t="n">
        <f aca="false">IFERROR(IF($E45&lt;&gt;"Discrete",0,IF(2&lt;MATCH($D45,$B$4:$F$4,0),0,IF($F45&lt;&gt;"Y",IF(2=MATCH($D45,$B$4:$F$4,0),1,0),IF(2=MATCH($D45,$B$4:$F$4,0),$G45+(1-$G45)/(5-MATCH($D45,$B$4:$F$4,0)+1),(1-$G45)/(5-MATCH($D45,$B$4:$F$4,0)+1))))),0)</f>
        <v>0</v>
      </c>
      <c r="J45" s="141" t="n">
        <f aca="false">IFERROR(IF($E45&lt;&gt;"Discrete",0,IF(3&lt;MATCH($D45,$B$4:$F$4,0),0,IF($F45&lt;&gt;"Y",IF(3=MATCH($D45,$B$4:$F$4,0),1,0),IF(3=MATCH($D45,$B$4:$F$4,0),$G45+(1-$G45)/(5-MATCH($D45,$B$4:$F$4,0)+1),(1-$G45)/(5-MATCH($D45,$B$4:$F$4,0)+1))))),0)</f>
        <v>1</v>
      </c>
      <c r="K45" s="141" t="n">
        <f aca="false">IFERROR(IF($E45&lt;&gt;"Discrete",0,IF(4&lt;MATCH($D45,$B$4:$F$4,0),0,IF($F45&lt;&gt;"Y",IF(4=MATCH($D45,$B$4:$F$4,0),1,0),IF(4=MATCH($D45,$B$4:$F$4,0),$G45+(1-$G45)/(5-MATCH($D45,$B$4:$F$4,0)+1),(1-$G45)/(5-MATCH($D45,$B$4:$F$4,0)+1))))),0)</f>
        <v>0</v>
      </c>
      <c r="L45" s="141" t="n">
        <f aca="false">IFERROR(IF($E45&lt;&gt;"Discrete",0,IF(5&lt;MATCH($D45,$B$4:$F$4,0),0,IF($F45&lt;&gt;"Y",IF(5=MATCH($D45,$B$4:$F$4,0),1,0),IF(5=MATCH($D45,$B$4:$F$4,0),$G45+(1-$G45)/(5-MATCH($D45,$B$4:$F$4,0)+1),(1-$G45)/(5-MATCH($D45,$B$4:$F$4,0)+1))))),0)</f>
        <v>0</v>
      </c>
    </row>
    <row r="46" customFormat="false" ht="14.25" hidden="false" customHeight="true" outlineLevel="0" collapsed="false">
      <c r="A46" s="139" t="n">
        <f aca="false">WP_상세!A43</f>
        <v>39</v>
      </c>
      <c r="B46" s="139" t="str">
        <f aca="false">WP_상세!B43</f>
        <v>SUP.9</v>
      </c>
      <c r="C46" s="139" t="str">
        <f aca="false">WP_상세!F43</f>
        <v>Problem Record / 문제 식별/기록서</v>
      </c>
      <c r="D46" s="139" t="str">
        <f aca="false">WP_상세!G43</f>
        <v>Proto</v>
      </c>
      <c r="E46" s="139" t="str">
        <f aca="false">WP_상세!H43</f>
        <v>LOE</v>
      </c>
      <c r="F46" s="139" t="n">
        <f aca="false">WP_상세!I43</f>
        <v>0</v>
      </c>
      <c r="G46" s="139" t="n">
        <f aca="false">WP_상세!J43</f>
        <v>0</v>
      </c>
      <c r="H46" s="141" t="n">
        <f aca="false">IFERROR(IF($E46&lt;&gt;"Discrete",0,IF(1&lt;MATCH($D46,$B$4:$F$4,0),0,IF($F46&lt;&gt;"Y",IF(1=MATCH($D46,$B$4:$F$4,0),1,0),IF(1=MATCH($D46,$B$4:$F$4,0),$G46+(1-$G46)/(5-MATCH($D46,$B$4:$F$4,0)+1),(1-$G46)/(5-MATCH($D46,$B$4:$F$4,0)+1))))),0)</f>
        <v>0</v>
      </c>
      <c r="I46" s="141" t="n">
        <f aca="false">IFERROR(IF($E46&lt;&gt;"Discrete",0,IF(2&lt;MATCH($D46,$B$4:$F$4,0),0,IF($F46&lt;&gt;"Y",IF(2=MATCH($D46,$B$4:$F$4,0),1,0),IF(2=MATCH($D46,$B$4:$F$4,0),$G46+(1-$G46)/(5-MATCH($D46,$B$4:$F$4,0)+1),(1-$G46)/(5-MATCH($D46,$B$4:$F$4,0)+1))))),0)</f>
        <v>0</v>
      </c>
      <c r="J46" s="141" t="n">
        <f aca="false">IFERROR(IF($E46&lt;&gt;"Discrete",0,IF(3&lt;MATCH($D46,$B$4:$F$4,0),0,IF($F46&lt;&gt;"Y",IF(3=MATCH($D46,$B$4:$F$4,0),1,0),IF(3=MATCH($D46,$B$4:$F$4,0),$G46+(1-$G46)/(5-MATCH($D46,$B$4:$F$4,0)+1),(1-$G46)/(5-MATCH($D46,$B$4:$F$4,0)+1))))),0)</f>
        <v>0</v>
      </c>
      <c r="K46" s="141" t="n">
        <f aca="false">IFERROR(IF($E46&lt;&gt;"Discrete",0,IF(4&lt;MATCH($D46,$B$4:$F$4,0),0,IF($F46&lt;&gt;"Y",IF(4=MATCH($D46,$B$4:$F$4,0),1,0),IF(4=MATCH($D46,$B$4:$F$4,0),$G46+(1-$G46)/(5-MATCH($D46,$B$4:$F$4,0)+1),(1-$G46)/(5-MATCH($D46,$B$4:$F$4,0)+1))))),0)</f>
        <v>0</v>
      </c>
      <c r="L46" s="141" t="n">
        <f aca="false">IFERROR(IF($E46&lt;&gt;"Discrete",0,IF(5&lt;MATCH($D46,$B$4:$F$4,0),0,IF($F46&lt;&gt;"Y",IF(5=MATCH($D46,$B$4:$F$4,0),1,0),IF(5=MATCH($D46,$B$4:$F$4,0),$G46+(1-$G46)/(5-MATCH($D46,$B$4:$F$4,0)+1),(1-$G46)/(5-MATCH($D46,$B$4:$F$4,0)+1))))),0)</f>
        <v>0</v>
      </c>
    </row>
    <row r="47" customFormat="false" ht="14.25" hidden="false" customHeight="true" outlineLevel="0" collapsed="false">
      <c r="A47" s="139" t="n">
        <f aca="false">WP_상세!A44</f>
        <v>40</v>
      </c>
      <c r="B47" s="139" t="str">
        <f aca="false">WP_상세!B44</f>
        <v>SUP.9</v>
      </c>
      <c r="C47" s="139" t="str">
        <f aca="false">WP_상세!F44</f>
        <v>Analysis Results / 문제 원인 및 영향 분석서</v>
      </c>
      <c r="D47" s="139" t="str">
        <f aca="false">WP_상세!G44</f>
        <v>Proto</v>
      </c>
      <c r="E47" s="139" t="str">
        <f aca="false">WP_상세!H44</f>
        <v>LOE</v>
      </c>
      <c r="F47" s="139" t="n">
        <f aca="false">WP_상세!I44</f>
        <v>0</v>
      </c>
      <c r="G47" s="139" t="n">
        <f aca="false">WP_상세!J44</f>
        <v>0</v>
      </c>
      <c r="H47" s="141" t="n">
        <f aca="false">IFERROR(IF($E47&lt;&gt;"Discrete",0,IF(1&lt;MATCH($D47,$B$4:$F$4,0),0,IF($F47&lt;&gt;"Y",IF(1=MATCH($D47,$B$4:$F$4,0),1,0),IF(1=MATCH($D47,$B$4:$F$4,0),$G47+(1-$G47)/(5-MATCH($D47,$B$4:$F$4,0)+1),(1-$G47)/(5-MATCH($D47,$B$4:$F$4,0)+1))))),0)</f>
        <v>0</v>
      </c>
      <c r="I47" s="141" t="n">
        <f aca="false">IFERROR(IF($E47&lt;&gt;"Discrete",0,IF(2&lt;MATCH($D47,$B$4:$F$4,0),0,IF($F47&lt;&gt;"Y",IF(2=MATCH($D47,$B$4:$F$4,0),1,0),IF(2=MATCH($D47,$B$4:$F$4,0),$G47+(1-$G47)/(5-MATCH($D47,$B$4:$F$4,0)+1),(1-$G47)/(5-MATCH($D47,$B$4:$F$4,0)+1))))),0)</f>
        <v>0</v>
      </c>
      <c r="J47" s="141" t="n">
        <f aca="false">IFERROR(IF($E47&lt;&gt;"Discrete",0,IF(3&lt;MATCH($D47,$B$4:$F$4,0),0,IF($F47&lt;&gt;"Y",IF(3=MATCH($D47,$B$4:$F$4,0),1,0),IF(3=MATCH($D47,$B$4:$F$4,0),$G47+(1-$G47)/(5-MATCH($D47,$B$4:$F$4,0)+1),(1-$G47)/(5-MATCH($D47,$B$4:$F$4,0)+1))))),0)</f>
        <v>0</v>
      </c>
      <c r="K47" s="141" t="n">
        <f aca="false">IFERROR(IF($E47&lt;&gt;"Discrete",0,IF(4&lt;MATCH($D47,$B$4:$F$4,0),0,IF($F47&lt;&gt;"Y",IF(4=MATCH($D47,$B$4:$F$4,0),1,0),IF(4=MATCH($D47,$B$4:$F$4,0),$G47+(1-$G47)/(5-MATCH($D47,$B$4:$F$4,0)+1),(1-$G47)/(5-MATCH($D47,$B$4:$F$4,0)+1))))),0)</f>
        <v>0</v>
      </c>
      <c r="L47" s="141" t="n">
        <f aca="false">IFERROR(IF($E47&lt;&gt;"Discrete",0,IF(5&lt;MATCH($D47,$B$4:$F$4,0),0,IF($F47&lt;&gt;"Y",IF(5=MATCH($D47,$B$4:$F$4,0),1,0),IF(5=MATCH($D47,$B$4:$F$4,0),$G47+(1-$G47)/(5-MATCH($D47,$B$4:$F$4,0)+1),(1-$G47)/(5-MATCH($D47,$B$4:$F$4,0)+1))))),0)</f>
        <v>0</v>
      </c>
    </row>
    <row r="48" customFormat="false" ht="14.25" hidden="false" customHeight="true" outlineLevel="0" collapsed="false">
      <c r="A48" s="139" t="n">
        <f aca="false">WP_상세!A45</f>
        <v>41</v>
      </c>
      <c r="B48" s="139" t="str">
        <f aca="false">WP_상세!B45</f>
        <v>SUP.9</v>
      </c>
      <c r="C48" s="139" t="str">
        <f aca="false">WP_상세!F45</f>
        <v>Corrective Action / 긴급 해결조치 승인기록</v>
      </c>
      <c r="D48" s="139" t="str">
        <f aca="false">WP_상세!G45</f>
        <v>Proto</v>
      </c>
      <c r="E48" s="139" t="str">
        <f aca="false">WP_상세!H45</f>
        <v>LOE</v>
      </c>
      <c r="F48" s="139" t="n">
        <f aca="false">WP_상세!I45</f>
        <v>0</v>
      </c>
      <c r="G48" s="139" t="n">
        <f aca="false">WP_상세!J45</f>
        <v>0</v>
      </c>
      <c r="H48" s="141" t="n">
        <f aca="false">IFERROR(IF($E48&lt;&gt;"Discrete",0,IF(1&lt;MATCH($D48,$B$4:$F$4,0),0,IF($F48&lt;&gt;"Y",IF(1=MATCH($D48,$B$4:$F$4,0),1,0),IF(1=MATCH($D48,$B$4:$F$4,0),$G48+(1-$G48)/(5-MATCH($D48,$B$4:$F$4,0)+1),(1-$G48)/(5-MATCH($D48,$B$4:$F$4,0)+1))))),0)</f>
        <v>0</v>
      </c>
      <c r="I48" s="141" t="n">
        <f aca="false">IFERROR(IF($E48&lt;&gt;"Discrete",0,IF(2&lt;MATCH($D48,$B$4:$F$4,0),0,IF($F48&lt;&gt;"Y",IF(2=MATCH($D48,$B$4:$F$4,0),1,0),IF(2=MATCH($D48,$B$4:$F$4,0),$G48+(1-$G48)/(5-MATCH($D48,$B$4:$F$4,0)+1),(1-$G48)/(5-MATCH($D48,$B$4:$F$4,0)+1))))),0)</f>
        <v>0</v>
      </c>
      <c r="J48" s="141" t="n">
        <f aca="false">IFERROR(IF($E48&lt;&gt;"Discrete",0,IF(3&lt;MATCH($D48,$B$4:$F$4,0),0,IF($F48&lt;&gt;"Y",IF(3=MATCH($D48,$B$4:$F$4,0),1,0),IF(3=MATCH($D48,$B$4:$F$4,0),$G48+(1-$G48)/(5-MATCH($D48,$B$4:$F$4,0)+1),(1-$G48)/(5-MATCH($D48,$B$4:$F$4,0)+1))))),0)</f>
        <v>0</v>
      </c>
      <c r="K48" s="141" t="n">
        <f aca="false">IFERROR(IF($E48&lt;&gt;"Discrete",0,IF(4&lt;MATCH($D48,$B$4:$F$4,0),0,IF($F48&lt;&gt;"Y",IF(4=MATCH($D48,$B$4:$F$4,0),1,0),IF(4=MATCH($D48,$B$4:$F$4,0),$G48+(1-$G48)/(5-MATCH($D48,$B$4:$F$4,0)+1),(1-$G48)/(5-MATCH($D48,$B$4:$F$4,0)+1))))),0)</f>
        <v>0</v>
      </c>
      <c r="L48" s="141" t="n">
        <f aca="false">IFERROR(IF($E48&lt;&gt;"Discrete",0,IF(5&lt;MATCH($D48,$B$4:$F$4,0),0,IF($F48&lt;&gt;"Y",IF(5=MATCH($D48,$B$4:$F$4,0),1,0),IF(5=MATCH($D48,$B$4:$F$4,0),$G48+(1-$G48)/(5-MATCH($D48,$B$4:$F$4,0)+1),(1-$G48)/(5-MATCH($D48,$B$4:$F$4,0)+1))))),0)</f>
        <v>0</v>
      </c>
    </row>
    <row r="49" customFormat="false" ht="14.25" hidden="false" customHeight="true" outlineLevel="0" collapsed="false">
      <c r="A49" s="139" t="n">
        <f aca="false">WP_상세!A46</f>
        <v>42</v>
      </c>
      <c r="B49" s="139" t="str">
        <f aca="false">WP_상세!B46</f>
        <v>SUP.9</v>
      </c>
      <c r="C49" s="139" t="str">
        <f aca="false">WP_상세!F46</f>
        <v>Communication Evidence / 경고 알림 통지서</v>
      </c>
      <c r="D49" s="139" t="str">
        <f aca="false">WP_상세!G46</f>
        <v>Proto</v>
      </c>
      <c r="E49" s="139" t="str">
        <f aca="false">WP_상세!H46</f>
        <v>LOE</v>
      </c>
      <c r="F49" s="139" t="n">
        <f aca="false">WP_상세!I46</f>
        <v>0</v>
      </c>
      <c r="G49" s="139" t="n">
        <f aca="false">WP_상세!J46</f>
        <v>0</v>
      </c>
      <c r="H49" s="141" t="n">
        <f aca="false">IFERROR(IF($E49&lt;&gt;"Discrete",0,IF(1&lt;MATCH($D49,$B$4:$F$4,0),0,IF($F49&lt;&gt;"Y",IF(1=MATCH($D49,$B$4:$F$4,0),1,0),IF(1=MATCH($D49,$B$4:$F$4,0),$G49+(1-$G49)/(5-MATCH($D49,$B$4:$F$4,0)+1),(1-$G49)/(5-MATCH($D49,$B$4:$F$4,0)+1))))),0)</f>
        <v>0</v>
      </c>
      <c r="I49" s="141" t="n">
        <f aca="false">IFERROR(IF($E49&lt;&gt;"Discrete",0,IF(2&lt;MATCH($D49,$B$4:$F$4,0),0,IF($F49&lt;&gt;"Y",IF(2=MATCH($D49,$B$4:$F$4,0),1,0),IF(2=MATCH($D49,$B$4:$F$4,0),$G49+(1-$G49)/(5-MATCH($D49,$B$4:$F$4,0)+1),(1-$G49)/(5-MATCH($D49,$B$4:$F$4,0)+1))))),0)</f>
        <v>0</v>
      </c>
      <c r="J49" s="141" t="n">
        <f aca="false">IFERROR(IF($E49&lt;&gt;"Discrete",0,IF(3&lt;MATCH($D49,$B$4:$F$4,0),0,IF($F49&lt;&gt;"Y",IF(3=MATCH($D49,$B$4:$F$4,0),1,0),IF(3=MATCH($D49,$B$4:$F$4,0),$G49+(1-$G49)/(5-MATCH($D49,$B$4:$F$4,0)+1),(1-$G49)/(5-MATCH($D49,$B$4:$F$4,0)+1))))),0)</f>
        <v>0</v>
      </c>
      <c r="K49" s="141" t="n">
        <f aca="false">IFERROR(IF($E49&lt;&gt;"Discrete",0,IF(4&lt;MATCH($D49,$B$4:$F$4,0),0,IF($F49&lt;&gt;"Y",IF(4=MATCH($D49,$B$4:$F$4,0),1,0),IF(4=MATCH($D49,$B$4:$F$4,0),$G49+(1-$G49)/(5-MATCH($D49,$B$4:$F$4,0)+1),(1-$G49)/(5-MATCH($D49,$B$4:$F$4,0)+1))))),0)</f>
        <v>0</v>
      </c>
      <c r="L49" s="141" t="n">
        <f aca="false">IFERROR(IF($E49&lt;&gt;"Discrete",0,IF(5&lt;MATCH($D49,$B$4:$F$4,0),0,IF($F49&lt;&gt;"Y",IF(5=MATCH($D49,$B$4:$F$4,0),1,0),IF(5=MATCH($D49,$B$4:$F$4,0),$G49+(1-$G49)/(5-MATCH($D49,$B$4:$F$4,0)+1),(1-$G49)/(5-MATCH($D49,$B$4:$F$4,0)+1))))),0)</f>
        <v>0</v>
      </c>
    </row>
    <row r="50" customFormat="false" ht="14.25" hidden="false" customHeight="true" outlineLevel="0" collapsed="false">
      <c r="A50" s="139" t="n">
        <f aca="false">WP_상세!A47</f>
        <v>43</v>
      </c>
      <c r="B50" s="139" t="str">
        <f aca="false">WP_상세!B47</f>
        <v>SUP.9</v>
      </c>
      <c r="C50" s="139" t="str">
        <f aca="false">WP_상세!F47</f>
        <v>Corrective Action / 문제해결 개시 기록</v>
      </c>
      <c r="D50" s="139" t="str">
        <f aca="false">WP_상세!G47</f>
        <v>P1</v>
      </c>
      <c r="E50" s="139" t="str">
        <f aca="false">WP_상세!H47</f>
        <v>LOE</v>
      </c>
      <c r="F50" s="139" t="n">
        <f aca="false">WP_상세!I47</f>
        <v>0</v>
      </c>
      <c r="G50" s="139" t="n">
        <f aca="false">WP_상세!J47</f>
        <v>0</v>
      </c>
      <c r="H50" s="141" t="n">
        <f aca="false">IFERROR(IF($E50&lt;&gt;"Discrete",0,IF(1&lt;MATCH($D50,$B$4:$F$4,0),0,IF($F50&lt;&gt;"Y",IF(1=MATCH($D50,$B$4:$F$4,0),1,0),IF(1=MATCH($D50,$B$4:$F$4,0),$G50+(1-$G50)/(5-MATCH($D50,$B$4:$F$4,0)+1),(1-$G50)/(5-MATCH($D50,$B$4:$F$4,0)+1))))),0)</f>
        <v>0</v>
      </c>
      <c r="I50" s="141" t="n">
        <f aca="false">IFERROR(IF($E50&lt;&gt;"Discrete",0,IF(2&lt;MATCH($D50,$B$4:$F$4,0),0,IF($F50&lt;&gt;"Y",IF(2=MATCH($D50,$B$4:$F$4,0),1,0),IF(2=MATCH($D50,$B$4:$F$4,0),$G50+(1-$G50)/(5-MATCH($D50,$B$4:$F$4,0)+1),(1-$G50)/(5-MATCH($D50,$B$4:$F$4,0)+1))))),0)</f>
        <v>0</v>
      </c>
      <c r="J50" s="141" t="n">
        <f aca="false">IFERROR(IF($E50&lt;&gt;"Discrete",0,IF(3&lt;MATCH($D50,$B$4:$F$4,0),0,IF($F50&lt;&gt;"Y",IF(3=MATCH($D50,$B$4:$F$4,0),1,0),IF(3=MATCH($D50,$B$4:$F$4,0),$G50+(1-$G50)/(5-MATCH($D50,$B$4:$F$4,0)+1),(1-$G50)/(5-MATCH($D50,$B$4:$F$4,0)+1))))),0)</f>
        <v>0</v>
      </c>
      <c r="K50" s="141" t="n">
        <f aca="false">IFERROR(IF($E50&lt;&gt;"Discrete",0,IF(4&lt;MATCH($D50,$B$4:$F$4,0),0,IF($F50&lt;&gt;"Y",IF(4=MATCH($D50,$B$4:$F$4,0),1,0),IF(4=MATCH($D50,$B$4:$F$4,0),$G50+(1-$G50)/(5-MATCH($D50,$B$4:$F$4,0)+1),(1-$G50)/(5-MATCH($D50,$B$4:$F$4,0)+1))))),0)</f>
        <v>0</v>
      </c>
      <c r="L50" s="141" t="n">
        <f aca="false">IFERROR(IF($E50&lt;&gt;"Discrete",0,IF(5&lt;MATCH($D50,$B$4:$F$4,0),0,IF($F50&lt;&gt;"Y",IF(5=MATCH($D50,$B$4:$F$4,0),1,0),IF(5=MATCH($D50,$B$4:$F$4,0),$G50+(1-$G50)/(5-MATCH($D50,$B$4:$F$4,0)+1),(1-$G50)/(5-MATCH($D50,$B$4:$F$4,0)+1))))),0)</f>
        <v>0</v>
      </c>
    </row>
    <row r="51" customFormat="false" ht="14.25" hidden="false" customHeight="true" outlineLevel="0" collapsed="false">
      <c r="A51" s="139" t="n">
        <f aca="false">WP_상세!A48</f>
        <v>44</v>
      </c>
      <c r="B51" s="139" t="str">
        <f aca="false">WP_상세!B48</f>
        <v>SUP.9</v>
      </c>
      <c r="C51" s="139" t="str">
        <f aca="false">WP_상세!F48</f>
        <v>Problem Record / 문제 종결추적 기록서</v>
      </c>
      <c r="D51" s="139" t="str">
        <f aca="false">WP_상세!G48</f>
        <v>P1</v>
      </c>
      <c r="E51" s="139" t="str">
        <f aca="false">WP_상세!H48</f>
        <v>LOE</v>
      </c>
      <c r="F51" s="139" t="n">
        <f aca="false">WP_상세!I48</f>
        <v>0</v>
      </c>
      <c r="G51" s="139" t="n">
        <f aca="false">WP_상세!J48</f>
        <v>0</v>
      </c>
      <c r="H51" s="141" t="n">
        <f aca="false">IFERROR(IF($E51&lt;&gt;"Discrete",0,IF(1&lt;MATCH($D51,$B$4:$F$4,0),0,IF($F51&lt;&gt;"Y",IF(1=MATCH($D51,$B$4:$F$4,0),1,0),IF(1=MATCH($D51,$B$4:$F$4,0),$G51+(1-$G51)/(5-MATCH($D51,$B$4:$F$4,0)+1),(1-$G51)/(5-MATCH($D51,$B$4:$F$4,0)+1))))),0)</f>
        <v>0</v>
      </c>
      <c r="I51" s="141" t="n">
        <f aca="false">IFERROR(IF($E51&lt;&gt;"Discrete",0,IF(2&lt;MATCH($D51,$B$4:$F$4,0),0,IF($F51&lt;&gt;"Y",IF(2=MATCH($D51,$B$4:$F$4,0),1,0),IF(2=MATCH($D51,$B$4:$F$4,0),$G51+(1-$G51)/(5-MATCH($D51,$B$4:$F$4,0)+1),(1-$G51)/(5-MATCH($D51,$B$4:$F$4,0)+1))))),0)</f>
        <v>0</v>
      </c>
      <c r="J51" s="141" t="n">
        <f aca="false">IFERROR(IF($E51&lt;&gt;"Discrete",0,IF(3&lt;MATCH($D51,$B$4:$F$4,0),0,IF($F51&lt;&gt;"Y",IF(3=MATCH($D51,$B$4:$F$4,0),1,0),IF(3=MATCH($D51,$B$4:$F$4,0),$G51+(1-$G51)/(5-MATCH($D51,$B$4:$F$4,0)+1),(1-$G51)/(5-MATCH($D51,$B$4:$F$4,0)+1))))),0)</f>
        <v>0</v>
      </c>
      <c r="K51" s="141" t="n">
        <f aca="false">IFERROR(IF($E51&lt;&gt;"Discrete",0,IF(4&lt;MATCH($D51,$B$4:$F$4,0),0,IF($F51&lt;&gt;"Y",IF(4=MATCH($D51,$B$4:$F$4,0),1,0),IF(4=MATCH($D51,$B$4:$F$4,0),$G51+(1-$G51)/(5-MATCH($D51,$B$4:$F$4,0)+1),(1-$G51)/(5-MATCH($D51,$B$4:$F$4,0)+1))))),0)</f>
        <v>0</v>
      </c>
      <c r="L51" s="141" t="n">
        <f aca="false">IFERROR(IF($E51&lt;&gt;"Discrete",0,IF(5&lt;MATCH($D51,$B$4:$F$4,0),0,IF($F51&lt;&gt;"Y",IF(5=MATCH($D51,$B$4:$F$4,0),1,0),IF(5=MATCH($D51,$B$4:$F$4,0),$G51+(1-$G51)/(5-MATCH($D51,$B$4:$F$4,0)+1),(1-$G51)/(5-MATCH($D51,$B$4:$F$4,0)+1))))),0)</f>
        <v>0</v>
      </c>
    </row>
    <row r="52" customFormat="false" ht="14.25" hidden="false" customHeight="true" outlineLevel="0" collapsed="false">
      <c r="A52" s="139" t="n">
        <f aca="false">WP_상세!A49</f>
        <v>45</v>
      </c>
      <c r="B52" s="139" t="str">
        <f aca="false">WP_상세!B49</f>
        <v>SUP.9</v>
      </c>
      <c r="C52" s="139" t="str">
        <f aca="false">WP_상세!F49</f>
        <v>Communication Evidence / 문제해결 활동 상태보고서</v>
      </c>
      <c r="D52" s="139" t="str">
        <f aca="false">WP_상세!G49</f>
        <v>P1</v>
      </c>
      <c r="E52" s="139" t="str">
        <f aca="false">WP_상세!H49</f>
        <v>LOE</v>
      </c>
      <c r="F52" s="139" t="n">
        <f aca="false">WP_상세!I49</f>
        <v>0</v>
      </c>
      <c r="G52" s="139" t="n">
        <f aca="false">WP_상세!J49</f>
        <v>0</v>
      </c>
      <c r="H52" s="141" t="n">
        <f aca="false">IFERROR(IF($E52&lt;&gt;"Discrete",0,IF(1&lt;MATCH($D52,$B$4:$F$4,0),0,IF($F52&lt;&gt;"Y",IF(1=MATCH($D52,$B$4:$F$4,0),1,0),IF(1=MATCH($D52,$B$4:$F$4,0),$G52+(1-$G52)/(5-MATCH($D52,$B$4:$F$4,0)+1),(1-$G52)/(5-MATCH($D52,$B$4:$F$4,0)+1))))),0)</f>
        <v>0</v>
      </c>
      <c r="I52" s="141" t="n">
        <f aca="false">IFERROR(IF($E52&lt;&gt;"Discrete",0,IF(2&lt;MATCH($D52,$B$4:$F$4,0),0,IF($F52&lt;&gt;"Y",IF(2=MATCH($D52,$B$4:$F$4,0),1,0),IF(2=MATCH($D52,$B$4:$F$4,0),$G52+(1-$G52)/(5-MATCH($D52,$B$4:$F$4,0)+1),(1-$G52)/(5-MATCH($D52,$B$4:$F$4,0)+1))))),0)</f>
        <v>0</v>
      </c>
      <c r="J52" s="141" t="n">
        <f aca="false">IFERROR(IF($E52&lt;&gt;"Discrete",0,IF(3&lt;MATCH($D52,$B$4:$F$4,0),0,IF($F52&lt;&gt;"Y",IF(3=MATCH($D52,$B$4:$F$4,0),1,0),IF(3=MATCH($D52,$B$4:$F$4,0),$G52+(1-$G52)/(5-MATCH($D52,$B$4:$F$4,0)+1),(1-$G52)/(5-MATCH($D52,$B$4:$F$4,0)+1))))),0)</f>
        <v>0</v>
      </c>
      <c r="K52" s="141" t="n">
        <f aca="false">IFERROR(IF($E52&lt;&gt;"Discrete",0,IF(4&lt;MATCH($D52,$B$4:$F$4,0),0,IF($F52&lt;&gt;"Y",IF(4=MATCH($D52,$B$4:$F$4,0),1,0),IF(4=MATCH($D52,$B$4:$F$4,0),$G52+(1-$G52)/(5-MATCH($D52,$B$4:$F$4,0)+1),(1-$G52)/(5-MATCH($D52,$B$4:$F$4,0)+1))))),0)</f>
        <v>0</v>
      </c>
      <c r="L52" s="141" t="n">
        <f aca="false">IFERROR(IF($E52&lt;&gt;"Discrete",0,IF(5&lt;MATCH($D52,$B$4:$F$4,0),0,IF($F52&lt;&gt;"Y",IF(5=MATCH($D52,$B$4:$F$4,0),1,0),IF(5=MATCH($D52,$B$4:$F$4,0),$G52+(1-$G52)/(5-MATCH($D52,$B$4:$F$4,0)+1),(1-$G52)/(5-MATCH($D52,$B$4:$F$4,0)+1))))),0)</f>
        <v>0</v>
      </c>
    </row>
    <row r="53" customFormat="false" ht="14.25" hidden="false" customHeight="true" outlineLevel="0" collapsed="false">
      <c r="A53" s="139" t="n">
        <f aca="false">WP_상세!A50</f>
        <v>46</v>
      </c>
      <c r="B53" s="139" t="str">
        <f aca="false">WP_상세!B50</f>
        <v>SUP.10</v>
      </c>
      <c r="C53" s="139" t="str">
        <f aca="false">WP_상세!F50</f>
        <v>Change Request / 변경요청 식별/기록서</v>
      </c>
      <c r="D53" s="139" t="str">
        <f aca="false">WP_상세!G50</f>
        <v>Proto</v>
      </c>
      <c r="E53" s="139" t="str">
        <f aca="false">WP_상세!H50</f>
        <v>LOE</v>
      </c>
      <c r="F53" s="139" t="n">
        <f aca="false">WP_상세!I50</f>
        <v>0</v>
      </c>
      <c r="G53" s="139" t="n">
        <f aca="false">WP_상세!J50</f>
        <v>0</v>
      </c>
      <c r="H53" s="141" t="n">
        <f aca="false">IFERROR(IF($E53&lt;&gt;"Discrete",0,IF(1&lt;MATCH($D53,$B$4:$F$4,0),0,IF($F53&lt;&gt;"Y",IF(1=MATCH($D53,$B$4:$F$4,0),1,0),IF(1=MATCH($D53,$B$4:$F$4,0),$G53+(1-$G53)/(5-MATCH($D53,$B$4:$F$4,0)+1),(1-$G53)/(5-MATCH($D53,$B$4:$F$4,0)+1))))),0)</f>
        <v>0</v>
      </c>
      <c r="I53" s="141" t="n">
        <f aca="false">IFERROR(IF($E53&lt;&gt;"Discrete",0,IF(2&lt;MATCH($D53,$B$4:$F$4,0),0,IF($F53&lt;&gt;"Y",IF(2=MATCH($D53,$B$4:$F$4,0),1,0),IF(2=MATCH($D53,$B$4:$F$4,0),$G53+(1-$G53)/(5-MATCH($D53,$B$4:$F$4,0)+1),(1-$G53)/(5-MATCH($D53,$B$4:$F$4,0)+1))))),0)</f>
        <v>0</v>
      </c>
      <c r="J53" s="141" t="n">
        <f aca="false">IFERROR(IF($E53&lt;&gt;"Discrete",0,IF(3&lt;MATCH($D53,$B$4:$F$4,0),0,IF($F53&lt;&gt;"Y",IF(3=MATCH($D53,$B$4:$F$4,0),1,0),IF(3=MATCH($D53,$B$4:$F$4,0),$G53+(1-$G53)/(5-MATCH($D53,$B$4:$F$4,0)+1),(1-$G53)/(5-MATCH($D53,$B$4:$F$4,0)+1))))),0)</f>
        <v>0</v>
      </c>
      <c r="K53" s="141" t="n">
        <f aca="false">IFERROR(IF($E53&lt;&gt;"Discrete",0,IF(4&lt;MATCH($D53,$B$4:$F$4,0),0,IF($F53&lt;&gt;"Y",IF(4=MATCH($D53,$B$4:$F$4,0),1,0),IF(4=MATCH($D53,$B$4:$F$4,0),$G53+(1-$G53)/(5-MATCH($D53,$B$4:$F$4,0)+1),(1-$G53)/(5-MATCH($D53,$B$4:$F$4,0)+1))))),0)</f>
        <v>0</v>
      </c>
      <c r="L53" s="141" t="n">
        <f aca="false">IFERROR(IF($E53&lt;&gt;"Discrete",0,IF(5&lt;MATCH($D53,$B$4:$F$4,0),0,IF($F53&lt;&gt;"Y",IF(5=MATCH($D53,$B$4:$F$4,0),1,0),IF(5=MATCH($D53,$B$4:$F$4,0),$G53+(1-$G53)/(5-MATCH($D53,$B$4:$F$4,0)+1),(1-$G53)/(5-MATCH($D53,$B$4:$F$4,0)+1))))),0)</f>
        <v>0</v>
      </c>
    </row>
    <row r="54" customFormat="false" ht="14.25" hidden="false" customHeight="true" outlineLevel="0" collapsed="false">
      <c r="A54" s="139" t="n">
        <f aca="false">WP_상세!A51</f>
        <v>47</v>
      </c>
      <c r="B54" s="139" t="str">
        <f aca="false">WP_상세!B51</f>
        <v>SUP.10</v>
      </c>
      <c r="C54" s="139" t="str">
        <f aca="false">WP_상세!F51</f>
        <v>Analysis Results / 변경요청 분석/평가서</v>
      </c>
      <c r="D54" s="139" t="str">
        <f aca="false">WP_상세!G51</f>
        <v>Proto</v>
      </c>
      <c r="E54" s="139" t="str">
        <f aca="false">WP_상세!H51</f>
        <v>LOE</v>
      </c>
      <c r="F54" s="139" t="n">
        <f aca="false">WP_상세!I51</f>
        <v>0</v>
      </c>
      <c r="G54" s="139" t="n">
        <f aca="false">WP_상세!J51</f>
        <v>0</v>
      </c>
      <c r="H54" s="141" t="n">
        <f aca="false">IFERROR(IF($E54&lt;&gt;"Discrete",0,IF(1&lt;MATCH($D54,$B$4:$F$4,0),0,IF($F54&lt;&gt;"Y",IF(1=MATCH($D54,$B$4:$F$4,0),1,0),IF(1=MATCH($D54,$B$4:$F$4,0),$G54+(1-$G54)/(5-MATCH($D54,$B$4:$F$4,0)+1),(1-$G54)/(5-MATCH($D54,$B$4:$F$4,0)+1))))),0)</f>
        <v>0</v>
      </c>
      <c r="I54" s="141" t="n">
        <f aca="false">IFERROR(IF($E54&lt;&gt;"Discrete",0,IF(2&lt;MATCH($D54,$B$4:$F$4,0),0,IF($F54&lt;&gt;"Y",IF(2=MATCH($D54,$B$4:$F$4,0),1,0),IF(2=MATCH($D54,$B$4:$F$4,0),$G54+(1-$G54)/(5-MATCH($D54,$B$4:$F$4,0)+1),(1-$G54)/(5-MATCH($D54,$B$4:$F$4,0)+1))))),0)</f>
        <v>0</v>
      </c>
      <c r="J54" s="141" t="n">
        <f aca="false">IFERROR(IF($E54&lt;&gt;"Discrete",0,IF(3&lt;MATCH($D54,$B$4:$F$4,0),0,IF($F54&lt;&gt;"Y",IF(3=MATCH($D54,$B$4:$F$4,0),1,0),IF(3=MATCH($D54,$B$4:$F$4,0),$G54+(1-$G54)/(5-MATCH($D54,$B$4:$F$4,0)+1),(1-$G54)/(5-MATCH($D54,$B$4:$F$4,0)+1))))),0)</f>
        <v>0</v>
      </c>
      <c r="K54" s="141" t="n">
        <f aca="false">IFERROR(IF($E54&lt;&gt;"Discrete",0,IF(4&lt;MATCH($D54,$B$4:$F$4,0),0,IF($F54&lt;&gt;"Y",IF(4=MATCH($D54,$B$4:$F$4,0),1,0),IF(4=MATCH($D54,$B$4:$F$4,0),$G54+(1-$G54)/(5-MATCH($D54,$B$4:$F$4,0)+1),(1-$G54)/(5-MATCH($D54,$B$4:$F$4,0)+1))))),0)</f>
        <v>0</v>
      </c>
      <c r="L54" s="141" t="n">
        <f aca="false">IFERROR(IF($E54&lt;&gt;"Discrete",0,IF(5&lt;MATCH($D54,$B$4:$F$4,0),0,IF($F54&lt;&gt;"Y",IF(5=MATCH($D54,$B$4:$F$4,0),1,0),IF(5=MATCH($D54,$B$4:$F$4,0),$G54+(1-$G54)/(5-MATCH($D54,$B$4:$F$4,0)+1),(1-$G54)/(5-MATCH($D54,$B$4:$F$4,0)+1))))),0)</f>
        <v>0</v>
      </c>
    </row>
    <row r="55" customFormat="false" ht="14.25" hidden="false" customHeight="true" outlineLevel="0" collapsed="false">
      <c r="A55" s="139" t="n">
        <f aca="false">WP_상세!A52</f>
        <v>48</v>
      </c>
      <c r="B55" s="139" t="str">
        <f aca="false">WP_상세!B52</f>
        <v>SUP.10</v>
      </c>
      <c r="C55" s="139" t="str">
        <f aca="false">WP_상세!F52</f>
        <v>Change Request / 변경요청 구현 전 승인기록</v>
      </c>
      <c r="D55" s="139" t="str">
        <f aca="false">WP_상세!G52</f>
        <v>Proto</v>
      </c>
      <c r="E55" s="139" t="str">
        <f aca="false">WP_상세!H52</f>
        <v>LOE</v>
      </c>
      <c r="F55" s="139" t="n">
        <f aca="false">WP_상세!I52</f>
        <v>0</v>
      </c>
      <c r="G55" s="139" t="n">
        <f aca="false">WP_상세!J52</f>
        <v>0</v>
      </c>
      <c r="H55" s="141" t="n">
        <f aca="false">IFERROR(IF($E55&lt;&gt;"Discrete",0,IF(1&lt;MATCH($D55,$B$4:$F$4,0),0,IF($F55&lt;&gt;"Y",IF(1=MATCH($D55,$B$4:$F$4,0),1,0),IF(1=MATCH($D55,$B$4:$F$4,0),$G55+(1-$G55)/(5-MATCH($D55,$B$4:$F$4,0)+1),(1-$G55)/(5-MATCH($D55,$B$4:$F$4,0)+1))))),0)</f>
        <v>0</v>
      </c>
      <c r="I55" s="141" t="n">
        <f aca="false">IFERROR(IF($E55&lt;&gt;"Discrete",0,IF(2&lt;MATCH($D55,$B$4:$F$4,0),0,IF($F55&lt;&gt;"Y",IF(2=MATCH($D55,$B$4:$F$4,0),1,0),IF(2=MATCH($D55,$B$4:$F$4,0),$G55+(1-$G55)/(5-MATCH($D55,$B$4:$F$4,0)+1),(1-$G55)/(5-MATCH($D55,$B$4:$F$4,0)+1))))),0)</f>
        <v>0</v>
      </c>
      <c r="J55" s="141" t="n">
        <f aca="false">IFERROR(IF($E55&lt;&gt;"Discrete",0,IF(3&lt;MATCH($D55,$B$4:$F$4,0),0,IF($F55&lt;&gt;"Y",IF(3=MATCH($D55,$B$4:$F$4,0),1,0),IF(3=MATCH($D55,$B$4:$F$4,0),$G55+(1-$G55)/(5-MATCH($D55,$B$4:$F$4,0)+1),(1-$G55)/(5-MATCH($D55,$B$4:$F$4,0)+1))))),0)</f>
        <v>0</v>
      </c>
      <c r="K55" s="141" t="n">
        <f aca="false">IFERROR(IF($E55&lt;&gt;"Discrete",0,IF(4&lt;MATCH($D55,$B$4:$F$4,0),0,IF($F55&lt;&gt;"Y",IF(4=MATCH($D55,$B$4:$F$4,0),1,0),IF(4=MATCH($D55,$B$4:$F$4,0),$G55+(1-$G55)/(5-MATCH($D55,$B$4:$F$4,0)+1),(1-$G55)/(5-MATCH($D55,$B$4:$F$4,0)+1))))),0)</f>
        <v>0</v>
      </c>
      <c r="L55" s="141" t="n">
        <f aca="false">IFERROR(IF($E55&lt;&gt;"Discrete",0,IF(5&lt;MATCH($D55,$B$4:$F$4,0),0,IF($F55&lt;&gt;"Y",IF(5=MATCH($D55,$B$4:$F$4,0),1,0),IF(5=MATCH($D55,$B$4:$F$4,0),$G55+(1-$G55)/(5-MATCH($D55,$B$4:$F$4,0)+1),(1-$G55)/(5-MATCH($D55,$B$4:$F$4,0)+1))))),0)</f>
        <v>0</v>
      </c>
    </row>
    <row r="56" customFormat="false" ht="14.25" hidden="false" customHeight="true" outlineLevel="0" collapsed="false">
      <c r="A56" s="139" t="n">
        <f aca="false">WP_상세!A53</f>
        <v>49</v>
      </c>
      <c r="B56" s="139" t="str">
        <f aca="false">WP_상세!B53</f>
        <v>SUP.10</v>
      </c>
      <c r="C56" s="139" t="str">
        <f aca="false">WP_상세!F53</f>
        <v>Consistency Evidence / 변경요청 양방향 추적성 매트릭스</v>
      </c>
      <c r="D56" s="139" t="str">
        <f aca="false">WP_상세!G53</f>
        <v>P1</v>
      </c>
      <c r="E56" s="139" t="str">
        <f aca="false">WP_상세!H53</f>
        <v>Discrete</v>
      </c>
      <c r="F56" s="139" t="str">
        <f aca="false">WP_상세!I53</f>
        <v>N</v>
      </c>
      <c r="G56" s="140" t="n">
        <f aca="false">WP_상세!J53</f>
        <v>1</v>
      </c>
      <c r="H56" s="141" t="n">
        <f aca="false">IFERROR(IF($E56&lt;&gt;"Discrete",0,IF(1&lt;MATCH($D56,$B$4:$F$4,0),0,IF($F56&lt;&gt;"Y",IF(1=MATCH($D56,$B$4:$F$4,0),1,0),IF(1=MATCH($D56,$B$4:$F$4,0),$G56+(1-$G56)/(5-MATCH($D56,$B$4:$F$4,0)+1),(1-$G56)/(5-MATCH($D56,$B$4:$F$4,0)+1))))),0)</f>
        <v>0</v>
      </c>
      <c r="I56" s="141" t="n">
        <f aca="false">IFERROR(IF($E56&lt;&gt;"Discrete",0,IF(2&lt;MATCH($D56,$B$4:$F$4,0),0,IF($F56&lt;&gt;"Y",IF(2=MATCH($D56,$B$4:$F$4,0),1,0),IF(2=MATCH($D56,$B$4:$F$4,0),$G56+(1-$G56)/(5-MATCH($D56,$B$4:$F$4,0)+1),(1-$G56)/(5-MATCH($D56,$B$4:$F$4,0)+1))))),0)</f>
        <v>0</v>
      </c>
      <c r="J56" s="141" t="n">
        <f aca="false">IFERROR(IF($E56&lt;&gt;"Discrete",0,IF(3&lt;MATCH($D56,$B$4:$F$4,0),0,IF($F56&lt;&gt;"Y",IF(3=MATCH($D56,$B$4:$F$4,0),1,0),IF(3=MATCH($D56,$B$4:$F$4,0),$G56+(1-$G56)/(5-MATCH($D56,$B$4:$F$4,0)+1),(1-$G56)/(5-MATCH($D56,$B$4:$F$4,0)+1))))),0)</f>
        <v>1</v>
      </c>
      <c r="K56" s="141" t="n">
        <f aca="false">IFERROR(IF($E56&lt;&gt;"Discrete",0,IF(4&lt;MATCH($D56,$B$4:$F$4,0),0,IF($F56&lt;&gt;"Y",IF(4=MATCH($D56,$B$4:$F$4,0),1,0),IF(4=MATCH($D56,$B$4:$F$4,0),$G56+(1-$G56)/(5-MATCH($D56,$B$4:$F$4,0)+1),(1-$G56)/(5-MATCH($D56,$B$4:$F$4,0)+1))))),0)</f>
        <v>0</v>
      </c>
      <c r="L56" s="141" t="n">
        <f aca="false">IFERROR(IF($E56&lt;&gt;"Discrete",0,IF(5&lt;MATCH($D56,$B$4:$F$4,0),0,IF($F56&lt;&gt;"Y",IF(5=MATCH($D56,$B$4:$F$4,0),1,0),IF(5=MATCH($D56,$B$4:$F$4,0),$G56+(1-$G56)/(5-MATCH($D56,$B$4:$F$4,0)+1),(1-$G56)/(5-MATCH($D56,$B$4:$F$4,0)+1))))),0)</f>
        <v>0</v>
      </c>
    </row>
    <row r="57" customFormat="false" ht="14.25" hidden="false" customHeight="true" outlineLevel="0" collapsed="false">
      <c r="A57" s="139" t="n">
        <f aca="false">WP_상세!A54</f>
        <v>50</v>
      </c>
      <c r="B57" s="139" t="str">
        <f aca="false">WP_상세!B54</f>
        <v>SUP.10</v>
      </c>
      <c r="C57" s="139" t="str">
        <f aca="false">WP_상세!F54</f>
        <v>Verification Results / 변경요청 구현 확인기록</v>
      </c>
      <c r="D57" s="139" t="str">
        <f aca="false">WP_상세!G54</f>
        <v>P1</v>
      </c>
      <c r="E57" s="139" t="str">
        <f aca="false">WP_상세!H54</f>
        <v>LOE</v>
      </c>
      <c r="F57" s="139" t="n">
        <f aca="false">WP_상세!I54</f>
        <v>0</v>
      </c>
      <c r="G57" s="139" t="n">
        <f aca="false">WP_상세!J54</f>
        <v>0</v>
      </c>
      <c r="H57" s="141" t="n">
        <f aca="false">IFERROR(IF($E57&lt;&gt;"Discrete",0,IF(1&lt;MATCH($D57,$B$4:$F$4,0),0,IF($F57&lt;&gt;"Y",IF(1=MATCH($D57,$B$4:$F$4,0),1,0),IF(1=MATCH($D57,$B$4:$F$4,0),$G57+(1-$G57)/(5-MATCH($D57,$B$4:$F$4,0)+1),(1-$G57)/(5-MATCH($D57,$B$4:$F$4,0)+1))))),0)</f>
        <v>0</v>
      </c>
      <c r="I57" s="141" t="n">
        <f aca="false">IFERROR(IF($E57&lt;&gt;"Discrete",0,IF(2&lt;MATCH($D57,$B$4:$F$4,0),0,IF($F57&lt;&gt;"Y",IF(2=MATCH($D57,$B$4:$F$4,0),1,0),IF(2=MATCH($D57,$B$4:$F$4,0),$G57+(1-$G57)/(5-MATCH($D57,$B$4:$F$4,0)+1),(1-$G57)/(5-MATCH($D57,$B$4:$F$4,0)+1))))),0)</f>
        <v>0</v>
      </c>
      <c r="J57" s="141" t="n">
        <f aca="false">IFERROR(IF($E57&lt;&gt;"Discrete",0,IF(3&lt;MATCH($D57,$B$4:$F$4,0),0,IF($F57&lt;&gt;"Y",IF(3=MATCH($D57,$B$4:$F$4,0),1,0),IF(3=MATCH($D57,$B$4:$F$4,0),$G57+(1-$G57)/(5-MATCH($D57,$B$4:$F$4,0)+1),(1-$G57)/(5-MATCH($D57,$B$4:$F$4,0)+1))))),0)</f>
        <v>0</v>
      </c>
      <c r="K57" s="141" t="n">
        <f aca="false">IFERROR(IF($E57&lt;&gt;"Discrete",0,IF(4&lt;MATCH($D57,$B$4:$F$4,0),0,IF($F57&lt;&gt;"Y",IF(4=MATCH($D57,$B$4:$F$4,0),1,0),IF(4=MATCH($D57,$B$4:$F$4,0),$G57+(1-$G57)/(5-MATCH($D57,$B$4:$F$4,0)+1),(1-$G57)/(5-MATCH($D57,$B$4:$F$4,0)+1))))),0)</f>
        <v>0</v>
      </c>
      <c r="L57" s="141" t="n">
        <f aca="false">IFERROR(IF($E57&lt;&gt;"Discrete",0,IF(5&lt;MATCH($D57,$B$4:$F$4,0),0,IF($F57&lt;&gt;"Y",IF(5=MATCH($D57,$B$4:$F$4,0),1,0),IF(5=MATCH($D57,$B$4:$F$4,0),$G57+(1-$G57)/(5-MATCH($D57,$B$4:$F$4,0)+1),(1-$G57)/(5-MATCH($D57,$B$4:$F$4,0)+1))))),0)</f>
        <v>0</v>
      </c>
    </row>
    <row r="58" customFormat="false" ht="14.25" hidden="false" customHeight="true" outlineLevel="0" collapsed="false">
      <c r="A58" s="139" t="n">
        <f aca="false">WP_상세!A55</f>
        <v>51</v>
      </c>
      <c r="B58" s="139" t="str">
        <f aca="false">WP_상세!B55</f>
        <v>SUP.10</v>
      </c>
      <c r="C58" s="139" t="str">
        <f aca="false">WP_상세!F55</f>
        <v>Change Request / 변경요청 종결추적/현황 보고서</v>
      </c>
      <c r="D58" s="139" t="str">
        <f aca="false">WP_상세!G55</f>
        <v>P1</v>
      </c>
      <c r="E58" s="139" t="str">
        <f aca="false">WP_상세!H55</f>
        <v>LOE</v>
      </c>
      <c r="F58" s="139" t="n">
        <f aca="false">WP_상세!I55</f>
        <v>0</v>
      </c>
      <c r="G58" s="139" t="n">
        <f aca="false">WP_상세!J55</f>
        <v>0</v>
      </c>
      <c r="H58" s="141" t="n">
        <f aca="false">IFERROR(IF($E58&lt;&gt;"Discrete",0,IF(1&lt;MATCH($D58,$B$4:$F$4,0),0,IF($F58&lt;&gt;"Y",IF(1=MATCH($D58,$B$4:$F$4,0),1,0),IF(1=MATCH($D58,$B$4:$F$4,0),$G58+(1-$G58)/(5-MATCH($D58,$B$4:$F$4,0)+1),(1-$G58)/(5-MATCH($D58,$B$4:$F$4,0)+1))))),0)</f>
        <v>0</v>
      </c>
      <c r="I58" s="141" t="n">
        <f aca="false">IFERROR(IF($E58&lt;&gt;"Discrete",0,IF(2&lt;MATCH($D58,$B$4:$F$4,0),0,IF($F58&lt;&gt;"Y",IF(2=MATCH($D58,$B$4:$F$4,0),1,0),IF(2=MATCH($D58,$B$4:$F$4,0),$G58+(1-$G58)/(5-MATCH($D58,$B$4:$F$4,0)+1),(1-$G58)/(5-MATCH($D58,$B$4:$F$4,0)+1))))),0)</f>
        <v>0</v>
      </c>
      <c r="J58" s="141" t="n">
        <f aca="false">IFERROR(IF($E58&lt;&gt;"Discrete",0,IF(3&lt;MATCH($D58,$B$4:$F$4,0),0,IF($F58&lt;&gt;"Y",IF(3=MATCH($D58,$B$4:$F$4,0),1,0),IF(3=MATCH($D58,$B$4:$F$4,0),$G58+(1-$G58)/(5-MATCH($D58,$B$4:$F$4,0)+1),(1-$G58)/(5-MATCH($D58,$B$4:$F$4,0)+1))))),0)</f>
        <v>0</v>
      </c>
      <c r="K58" s="141" t="n">
        <f aca="false">IFERROR(IF($E58&lt;&gt;"Discrete",0,IF(4&lt;MATCH($D58,$B$4:$F$4,0),0,IF($F58&lt;&gt;"Y",IF(4=MATCH($D58,$B$4:$F$4,0),1,0),IF(4=MATCH($D58,$B$4:$F$4,0),$G58+(1-$G58)/(5-MATCH($D58,$B$4:$F$4,0)+1),(1-$G58)/(5-MATCH($D58,$B$4:$F$4,0)+1))))),0)</f>
        <v>0</v>
      </c>
      <c r="L58" s="141" t="n">
        <f aca="false">IFERROR(IF($E58&lt;&gt;"Discrete",0,IF(5&lt;MATCH($D58,$B$4:$F$4,0),0,IF($F58&lt;&gt;"Y",IF(5=MATCH($D58,$B$4:$F$4,0),1,0),IF(5=MATCH($D58,$B$4:$F$4,0),$G58+(1-$G58)/(5-MATCH($D58,$B$4:$F$4,0)+1),(1-$G58)/(5-MATCH($D58,$B$4:$F$4,0)+1))))),0)</f>
        <v>0</v>
      </c>
    </row>
    <row r="59" customFormat="false" ht="14.25" hidden="false" customHeight="true" outlineLevel="0" collapsed="false">
      <c r="A59" s="139" t="n">
        <f aca="false">WP_상세!A56</f>
        <v>52</v>
      </c>
      <c r="B59" s="139" t="str">
        <f aca="false">WP_상세!B56</f>
        <v>SUP.11</v>
      </c>
      <c r="C59" s="139" t="str">
        <f aca="false">WP_상세!F56</f>
        <v>ML Data Management Plan / ML 데이터 관리체계 정의서</v>
      </c>
      <c r="D59" s="139" t="str">
        <f aca="false">WP_상세!G56</f>
        <v>M-Car</v>
      </c>
      <c r="E59" s="139" t="str">
        <f aca="false">WP_상세!H56</f>
        <v>Discrete</v>
      </c>
      <c r="F59" s="139" t="str">
        <f aca="false">WP_상세!I56</f>
        <v>Y</v>
      </c>
      <c r="G59" s="140" t="n">
        <f aca="false">WP_상세!J56</f>
        <v>0.4</v>
      </c>
      <c r="H59" s="141" t="n">
        <f aca="false">IFERROR(IF($E59&lt;&gt;"Discrete",0,IF(1&lt;MATCH($D59,$B$4:$F$4,0),0,IF($F59&lt;&gt;"Y",IF(1=MATCH($D59,$B$4:$F$4,0),1,0),IF(1=MATCH($D59,$B$4:$F$4,0),$G59+(1-$G59)/(5-MATCH($D59,$B$4:$F$4,0)+1),(1-$G59)/(5-MATCH($D59,$B$4:$F$4,0)+1))))),0)</f>
        <v>0.52</v>
      </c>
      <c r="I59" s="141" t="n">
        <f aca="false">IFERROR(IF($E59&lt;&gt;"Discrete",0,IF(2&lt;MATCH($D59,$B$4:$F$4,0),0,IF($F59&lt;&gt;"Y",IF(2=MATCH($D59,$B$4:$F$4,0),1,0),IF(2=MATCH($D59,$B$4:$F$4,0),$G59+(1-$G59)/(5-MATCH($D59,$B$4:$F$4,0)+1),(1-$G59)/(5-MATCH($D59,$B$4:$F$4,0)+1))))),0)</f>
        <v>0.12</v>
      </c>
      <c r="J59" s="141" t="n">
        <f aca="false">IFERROR(IF($E59&lt;&gt;"Discrete",0,IF(3&lt;MATCH($D59,$B$4:$F$4,0),0,IF($F59&lt;&gt;"Y",IF(3=MATCH($D59,$B$4:$F$4,0),1,0),IF(3=MATCH($D59,$B$4:$F$4,0),$G59+(1-$G59)/(5-MATCH($D59,$B$4:$F$4,0)+1),(1-$G59)/(5-MATCH($D59,$B$4:$F$4,0)+1))))),0)</f>
        <v>0.12</v>
      </c>
      <c r="K59" s="141" t="n">
        <f aca="false">IFERROR(IF($E59&lt;&gt;"Discrete",0,IF(4&lt;MATCH($D59,$B$4:$F$4,0),0,IF($F59&lt;&gt;"Y",IF(4=MATCH($D59,$B$4:$F$4,0),1,0),IF(4=MATCH($D59,$B$4:$F$4,0),$G59+(1-$G59)/(5-MATCH($D59,$B$4:$F$4,0)+1),(1-$G59)/(5-MATCH($D59,$B$4:$F$4,0)+1))))),0)</f>
        <v>0.12</v>
      </c>
      <c r="L59" s="141" t="n">
        <f aca="false">IFERROR(IF($E59&lt;&gt;"Discrete",0,IF(5&lt;MATCH($D59,$B$4:$F$4,0),0,IF($F59&lt;&gt;"Y",IF(5=MATCH($D59,$B$4:$F$4,0),1,0),IF(5=MATCH($D59,$B$4:$F$4,0),$G59+(1-$G59)/(5-MATCH($D59,$B$4:$F$4,0)+1),(1-$G59)/(5-MATCH($D59,$B$4:$F$4,0)+1))))),0)</f>
        <v>0.12</v>
      </c>
    </row>
    <row r="60" customFormat="false" ht="14.25" hidden="false" customHeight="true" outlineLevel="0" collapsed="false">
      <c r="A60" s="139" t="n">
        <f aca="false">WP_상세!A57</f>
        <v>53</v>
      </c>
      <c r="B60" s="139" t="str">
        <f aca="false">WP_상세!B57</f>
        <v>SUP.11</v>
      </c>
      <c r="C60" s="139" t="str">
        <f aca="false">WP_상세!F57</f>
        <v>ML Data Quality Plan / ML 데이터 품질 접근방식/기준서</v>
      </c>
      <c r="D60" s="139" t="str">
        <f aca="false">WP_상세!G57</f>
        <v>M-Car</v>
      </c>
      <c r="E60" s="139" t="str">
        <f aca="false">WP_상세!H57</f>
        <v>Discrete</v>
      </c>
      <c r="F60" s="139" t="str">
        <f aca="false">WP_상세!I57</f>
        <v>Y</v>
      </c>
      <c r="G60" s="140" t="n">
        <f aca="false">WP_상세!J57</f>
        <v>0.4</v>
      </c>
      <c r="H60" s="141" t="n">
        <f aca="false">IFERROR(IF($E60&lt;&gt;"Discrete",0,IF(1&lt;MATCH($D60,$B$4:$F$4,0),0,IF($F60&lt;&gt;"Y",IF(1=MATCH($D60,$B$4:$F$4,0),1,0),IF(1=MATCH($D60,$B$4:$F$4,0),$G60+(1-$G60)/(5-MATCH($D60,$B$4:$F$4,0)+1),(1-$G60)/(5-MATCH($D60,$B$4:$F$4,0)+1))))),0)</f>
        <v>0.52</v>
      </c>
      <c r="I60" s="141" t="n">
        <f aca="false">IFERROR(IF($E60&lt;&gt;"Discrete",0,IF(2&lt;MATCH($D60,$B$4:$F$4,0),0,IF($F60&lt;&gt;"Y",IF(2=MATCH($D60,$B$4:$F$4,0),1,0),IF(2=MATCH($D60,$B$4:$F$4,0),$G60+(1-$G60)/(5-MATCH($D60,$B$4:$F$4,0)+1),(1-$G60)/(5-MATCH($D60,$B$4:$F$4,0)+1))))),0)</f>
        <v>0.12</v>
      </c>
      <c r="J60" s="141" t="n">
        <f aca="false">IFERROR(IF($E60&lt;&gt;"Discrete",0,IF(3&lt;MATCH($D60,$B$4:$F$4,0),0,IF($F60&lt;&gt;"Y",IF(3=MATCH($D60,$B$4:$F$4,0),1,0),IF(3=MATCH($D60,$B$4:$F$4,0),$G60+(1-$G60)/(5-MATCH($D60,$B$4:$F$4,0)+1),(1-$G60)/(5-MATCH($D60,$B$4:$F$4,0)+1))))),0)</f>
        <v>0.12</v>
      </c>
      <c r="K60" s="141" t="n">
        <f aca="false">IFERROR(IF($E60&lt;&gt;"Discrete",0,IF(4&lt;MATCH($D60,$B$4:$F$4,0),0,IF($F60&lt;&gt;"Y",IF(4=MATCH($D60,$B$4:$F$4,0),1,0),IF(4=MATCH($D60,$B$4:$F$4,0),$G60+(1-$G60)/(5-MATCH($D60,$B$4:$F$4,0)+1),(1-$G60)/(5-MATCH($D60,$B$4:$F$4,0)+1))))),0)</f>
        <v>0.12</v>
      </c>
      <c r="L60" s="141" t="n">
        <f aca="false">IFERROR(IF($E60&lt;&gt;"Discrete",0,IF(5&lt;MATCH($D60,$B$4:$F$4,0),0,IF($F60&lt;&gt;"Y",IF(5=MATCH($D60,$B$4:$F$4,0),1,0),IF(5=MATCH($D60,$B$4:$F$4,0),$G60+(1-$G60)/(5-MATCH($D60,$B$4:$F$4,0)+1),(1-$G60)/(5-MATCH($D60,$B$4:$F$4,0)+1))))),0)</f>
        <v>0.12</v>
      </c>
    </row>
    <row r="61" customFormat="false" ht="14.25" hidden="false" customHeight="true" outlineLevel="0" collapsed="false">
      <c r="A61" s="139" t="n">
        <f aca="false">WP_상세!A58</f>
        <v>54</v>
      </c>
      <c r="B61" s="139" t="str">
        <f aca="false">WP_상세!B58</f>
        <v>SUP.11</v>
      </c>
      <c r="C61" s="139" t="str">
        <f aca="false">WP_상세!F58</f>
        <v>ML Data Set / ML 원시 데이터 수집셋</v>
      </c>
      <c r="D61" s="139" t="str">
        <f aca="false">WP_상세!G58</f>
        <v>Proto</v>
      </c>
      <c r="E61" s="139" t="str">
        <f aca="false">WP_상세!H58</f>
        <v>Discrete</v>
      </c>
      <c r="F61" s="139" t="str">
        <f aca="false">WP_상세!I58</f>
        <v>N</v>
      </c>
      <c r="G61" s="140" t="n">
        <f aca="false">WP_상세!J58</f>
        <v>1</v>
      </c>
      <c r="H61" s="141" t="n">
        <f aca="false">IFERROR(IF($E61&lt;&gt;"Discrete",0,IF(1&lt;MATCH($D61,$B$4:$F$4,0),0,IF($F61&lt;&gt;"Y",IF(1=MATCH($D61,$B$4:$F$4,0),1,0),IF(1=MATCH($D61,$B$4:$F$4,0),$G61+(1-$G61)/(5-MATCH($D61,$B$4:$F$4,0)+1),(1-$G61)/(5-MATCH($D61,$B$4:$F$4,0)+1))))),0)</f>
        <v>0</v>
      </c>
      <c r="I61" s="141" t="n">
        <f aca="false">IFERROR(IF($E61&lt;&gt;"Discrete",0,IF(2&lt;MATCH($D61,$B$4:$F$4,0),0,IF($F61&lt;&gt;"Y",IF(2=MATCH($D61,$B$4:$F$4,0),1,0),IF(2=MATCH($D61,$B$4:$F$4,0),$G61+(1-$G61)/(5-MATCH($D61,$B$4:$F$4,0)+1),(1-$G61)/(5-MATCH($D61,$B$4:$F$4,0)+1))))),0)</f>
        <v>1</v>
      </c>
      <c r="J61" s="141" t="n">
        <f aca="false">IFERROR(IF($E61&lt;&gt;"Discrete",0,IF(3&lt;MATCH($D61,$B$4:$F$4,0),0,IF($F61&lt;&gt;"Y",IF(3=MATCH($D61,$B$4:$F$4,0),1,0),IF(3=MATCH($D61,$B$4:$F$4,0),$G61+(1-$G61)/(5-MATCH($D61,$B$4:$F$4,0)+1),(1-$G61)/(5-MATCH($D61,$B$4:$F$4,0)+1))))),0)</f>
        <v>0</v>
      </c>
      <c r="K61" s="141" t="n">
        <f aca="false">IFERROR(IF($E61&lt;&gt;"Discrete",0,IF(4&lt;MATCH($D61,$B$4:$F$4,0),0,IF($F61&lt;&gt;"Y",IF(4=MATCH($D61,$B$4:$F$4,0),1,0),IF(4=MATCH($D61,$B$4:$F$4,0),$G61+(1-$G61)/(5-MATCH($D61,$B$4:$F$4,0)+1),(1-$G61)/(5-MATCH($D61,$B$4:$F$4,0)+1))))),0)</f>
        <v>0</v>
      </c>
      <c r="L61" s="141" t="n">
        <f aca="false">IFERROR(IF($E61&lt;&gt;"Discrete",0,IF(5&lt;MATCH($D61,$B$4:$F$4,0),0,IF($F61&lt;&gt;"Y",IF(5=MATCH($D61,$B$4:$F$4,0),1,0),IF(5=MATCH($D61,$B$4:$F$4,0),$G61+(1-$G61)/(5-MATCH($D61,$B$4:$F$4,0)+1),(1-$G61)/(5-MATCH($D61,$B$4:$F$4,0)+1))))),0)</f>
        <v>0</v>
      </c>
    </row>
    <row r="62" customFormat="false" ht="14.25" hidden="false" customHeight="true" outlineLevel="0" collapsed="false">
      <c r="A62" s="139" t="n">
        <f aca="false">WP_상세!A59</f>
        <v>55</v>
      </c>
      <c r="B62" s="139" t="str">
        <f aca="false">WP_상세!B59</f>
        <v>SUP.11</v>
      </c>
      <c r="C62" s="139" t="str">
        <f aca="false">WP_상세!F59</f>
        <v>ML Data Set / ML 가공(처리) 데이터셋</v>
      </c>
      <c r="D62" s="139" t="str">
        <f aca="false">WP_상세!G59</f>
        <v>Proto</v>
      </c>
      <c r="E62" s="139" t="str">
        <f aca="false">WP_상세!H59</f>
        <v>Discrete</v>
      </c>
      <c r="F62" s="139" t="str">
        <f aca="false">WP_상세!I59</f>
        <v>N</v>
      </c>
      <c r="G62" s="140" t="n">
        <f aca="false">WP_상세!J59</f>
        <v>1</v>
      </c>
      <c r="H62" s="141" t="n">
        <f aca="false">IFERROR(IF($E62&lt;&gt;"Discrete",0,IF(1&lt;MATCH($D62,$B$4:$F$4,0),0,IF($F62&lt;&gt;"Y",IF(1=MATCH($D62,$B$4:$F$4,0),1,0),IF(1=MATCH($D62,$B$4:$F$4,0),$G62+(1-$G62)/(5-MATCH($D62,$B$4:$F$4,0)+1),(1-$G62)/(5-MATCH($D62,$B$4:$F$4,0)+1))))),0)</f>
        <v>0</v>
      </c>
      <c r="I62" s="141" t="n">
        <f aca="false">IFERROR(IF($E62&lt;&gt;"Discrete",0,IF(2&lt;MATCH($D62,$B$4:$F$4,0),0,IF($F62&lt;&gt;"Y",IF(2=MATCH($D62,$B$4:$F$4,0),1,0),IF(2=MATCH($D62,$B$4:$F$4,0),$G62+(1-$G62)/(5-MATCH($D62,$B$4:$F$4,0)+1),(1-$G62)/(5-MATCH($D62,$B$4:$F$4,0)+1))))),0)</f>
        <v>1</v>
      </c>
      <c r="J62" s="141" t="n">
        <f aca="false">IFERROR(IF($E62&lt;&gt;"Discrete",0,IF(3&lt;MATCH($D62,$B$4:$F$4,0),0,IF($F62&lt;&gt;"Y",IF(3=MATCH($D62,$B$4:$F$4,0),1,0),IF(3=MATCH($D62,$B$4:$F$4,0),$G62+(1-$G62)/(5-MATCH($D62,$B$4:$F$4,0)+1),(1-$G62)/(5-MATCH($D62,$B$4:$F$4,0)+1))))),0)</f>
        <v>0</v>
      </c>
      <c r="K62" s="141" t="n">
        <f aca="false">IFERROR(IF($E62&lt;&gt;"Discrete",0,IF(4&lt;MATCH($D62,$B$4:$F$4,0),0,IF($F62&lt;&gt;"Y",IF(4=MATCH($D62,$B$4:$F$4,0),1,0),IF(4=MATCH($D62,$B$4:$F$4,0),$G62+(1-$G62)/(5-MATCH($D62,$B$4:$F$4,0)+1),(1-$G62)/(5-MATCH($D62,$B$4:$F$4,0)+1))))),0)</f>
        <v>0</v>
      </c>
      <c r="L62" s="141" t="n">
        <f aca="false">IFERROR(IF($E62&lt;&gt;"Discrete",0,IF(5&lt;MATCH($D62,$B$4:$F$4,0),0,IF($F62&lt;&gt;"Y",IF(5=MATCH($D62,$B$4:$F$4,0),1,0),IF(5=MATCH($D62,$B$4:$F$4,0),$G62+(1-$G62)/(5-MATCH($D62,$B$4:$F$4,0)+1),(1-$G62)/(5-MATCH($D62,$B$4:$F$4,0)+1))))),0)</f>
        <v>0</v>
      </c>
    </row>
    <row r="63" customFormat="false" ht="14.25" hidden="false" customHeight="true" outlineLevel="0" collapsed="false">
      <c r="A63" s="139" t="n">
        <f aca="false">WP_상세!A60</f>
        <v>56</v>
      </c>
      <c r="B63" s="139" t="str">
        <f aca="false">WP_상세!B60</f>
        <v>SUP.11</v>
      </c>
      <c r="C63" s="139" t="str">
        <f aca="false">WP_상세!F60</f>
        <v>Verification Results / ML 데이터 품질보증 기록</v>
      </c>
      <c r="D63" s="139" t="str">
        <f aca="false">WP_상세!G60</f>
        <v>P1</v>
      </c>
      <c r="E63" s="139" t="str">
        <f aca="false">WP_상세!H60</f>
        <v>Discrete</v>
      </c>
      <c r="F63" s="139" t="str">
        <f aca="false">WP_상세!I60</f>
        <v>N</v>
      </c>
      <c r="G63" s="140" t="n">
        <f aca="false">WP_상세!J60</f>
        <v>1</v>
      </c>
      <c r="H63" s="141" t="n">
        <f aca="false">IFERROR(IF($E63&lt;&gt;"Discrete",0,IF(1&lt;MATCH($D63,$B$4:$F$4,0),0,IF($F63&lt;&gt;"Y",IF(1=MATCH($D63,$B$4:$F$4,0),1,0),IF(1=MATCH($D63,$B$4:$F$4,0),$G63+(1-$G63)/(5-MATCH($D63,$B$4:$F$4,0)+1),(1-$G63)/(5-MATCH($D63,$B$4:$F$4,0)+1))))),0)</f>
        <v>0</v>
      </c>
      <c r="I63" s="141" t="n">
        <f aca="false">IFERROR(IF($E63&lt;&gt;"Discrete",0,IF(2&lt;MATCH($D63,$B$4:$F$4,0),0,IF($F63&lt;&gt;"Y",IF(2=MATCH($D63,$B$4:$F$4,0),1,0),IF(2=MATCH($D63,$B$4:$F$4,0),$G63+(1-$G63)/(5-MATCH($D63,$B$4:$F$4,0)+1),(1-$G63)/(5-MATCH($D63,$B$4:$F$4,0)+1))))),0)</f>
        <v>0</v>
      </c>
      <c r="J63" s="141" t="n">
        <f aca="false">IFERROR(IF($E63&lt;&gt;"Discrete",0,IF(3&lt;MATCH($D63,$B$4:$F$4,0),0,IF($F63&lt;&gt;"Y",IF(3=MATCH($D63,$B$4:$F$4,0),1,0),IF(3=MATCH($D63,$B$4:$F$4,0),$G63+(1-$G63)/(5-MATCH($D63,$B$4:$F$4,0)+1),(1-$G63)/(5-MATCH($D63,$B$4:$F$4,0)+1))))),0)</f>
        <v>1</v>
      </c>
      <c r="K63" s="141" t="n">
        <f aca="false">IFERROR(IF($E63&lt;&gt;"Discrete",0,IF(4&lt;MATCH($D63,$B$4:$F$4,0),0,IF($F63&lt;&gt;"Y",IF(4=MATCH($D63,$B$4:$F$4,0),1,0),IF(4=MATCH($D63,$B$4:$F$4,0),$G63+(1-$G63)/(5-MATCH($D63,$B$4:$F$4,0)+1),(1-$G63)/(5-MATCH($D63,$B$4:$F$4,0)+1))))),0)</f>
        <v>0</v>
      </c>
      <c r="L63" s="141" t="n">
        <f aca="false">IFERROR(IF($E63&lt;&gt;"Discrete",0,IF(5&lt;MATCH($D63,$B$4:$F$4,0),0,IF($F63&lt;&gt;"Y",IF(5=MATCH($D63,$B$4:$F$4,0),1,0),IF(5=MATCH($D63,$B$4:$F$4,0),$G63+(1-$G63)/(5-MATCH($D63,$B$4:$F$4,0)+1),(1-$G63)/(5-MATCH($D63,$B$4:$F$4,0)+1))))),0)</f>
        <v>0</v>
      </c>
    </row>
    <row r="64" customFormat="false" ht="14.25" hidden="false" customHeight="true" outlineLevel="0" collapsed="false">
      <c r="A64" s="139" t="n">
        <f aca="false">WP_상세!A61</f>
        <v>57</v>
      </c>
      <c r="B64" s="139" t="str">
        <f aca="false">WP_상세!B61</f>
        <v>SUP.11</v>
      </c>
      <c r="C64" s="139" t="str">
        <f aca="false">WP_상세!F61</f>
        <v>Communication Evidence / 합의된 처리완료 ML 데이터 공유기록</v>
      </c>
      <c r="D64" s="139" t="str">
        <f aca="false">WP_상세!G61</f>
        <v>P1</v>
      </c>
      <c r="E64" s="139" t="str">
        <f aca="false">WP_상세!H61</f>
        <v>Discrete</v>
      </c>
      <c r="F64" s="139" t="str">
        <f aca="false">WP_상세!I61</f>
        <v>N</v>
      </c>
      <c r="G64" s="140" t="n">
        <f aca="false">WP_상세!J61</f>
        <v>1</v>
      </c>
      <c r="H64" s="141" t="n">
        <f aca="false">IFERROR(IF($E64&lt;&gt;"Discrete",0,IF(1&lt;MATCH($D64,$B$4:$F$4,0),0,IF($F64&lt;&gt;"Y",IF(1=MATCH($D64,$B$4:$F$4,0),1,0),IF(1=MATCH($D64,$B$4:$F$4,0),$G64+(1-$G64)/(5-MATCH($D64,$B$4:$F$4,0)+1),(1-$G64)/(5-MATCH($D64,$B$4:$F$4,0)+1))))),0)</f>
        <v>0</v>
      </c>
      <c r="I64" s="141" t="n">
        <f aca="false">IFERROR(IF($E64&lt;&gt;"Discrete",0,IF(2&lt;MATCH($D64,$B$4:$F$4,0),0,IF($F64&lt;&gt;"Y",IF(2=MATCH($D64,$B$4:$F$4,0),1,0),IF(2=MATCH($D64,$B$4:$F$4,0),$G64+(1-$G64)/(5-MATCH($D64,$B$4:$F$4,0)+1),(1-$G64)/(5-MATCH($D64,$B$4:$F$4,0)+1))))),0)</f>
        <v>0</v>
      </c>
      <c r="J64" s="141" t="n">
        <f aca="false">IFERROR(IF($E64&lt;&gt;"Discrete",0,IF(3&lt;MATCH($D64,$B$4:$F$4,0),0,IF($F64&lt;&gt;"Y",IF(3=MATCH($D64,$B$4:$F$4,0),1,0),IF(3=MATCH($D64,$B$4:$F$4,0),$G64+(1-$G64)/(5-MATCH($D64,$B$4:$F$4,0)+1),(1-$G64)/(5-MATCH($D64,$B$4:$F$4,0)+1))))),0)</f>
        <v>1</v>
      </c>
      <c r="K64" s="141" t="n">
        <f aca="false">IFERROR(IF($E64&lt;&gt;"Discrete",0,IF(4&lt;MATCH($D64,$B$4:$F$4,0),0,IF($F64&lt;&gt;"Y",IF(4=MATCH($D64,$B$4:$F$4,0),1,0),IF(4=MATCH($D64,$B$4:$F$4,0),$G64+(1-$G64)/(5-MATCH($D64,$B$4:$F$4,0)+1),(1-$G64)/(5-MATCH($D64,$B$4:$F$4,0)+1))))),0)</f>
        <v>0</v>
      </c>
      <c r="L64" s="141" t="n">
        <f aca="false">IFERROR(IF($E64&lt;&gt;"Discrete",0,IF(5&lt;MATCH($D64,$B$4:$F$4,0),0,IF($F64&lt;&gt;"Y",IF(5=MATCH($D64,$B$4:$F$4,0),1,0),IF(5=MATCH($D64,$B$4:$F$4,0),$G64+(1-$G64)/(5-MATCH($D64,$B$4:$F$4,0)+1),(1-$G64)/(5-MATCH($D64,$B$4:$F$4,0)+1))))),0)</f>
        <v>0</v>
      </c>
    </row>
    <row r="65" customFormat="false" ht="14.25" hidden="false" customHeight="true" outlineLevel="0" collapsed="false">
      <c r="A65" s="139" t="n">
        <f aca="false">WP_상세!A62</f>
        <v>58</v>
      </c>
      <c r="B65" s="139" t="str">
        <f aca="false">WP_상세!B62</f>
        <v>SYS.2</v>
      </c>
      <c r="C65" s="139" t="str">
        <f aca="false">WP_상세!F62</f>
        <v>Requirement / 시스템 요구사항 명세서</v>
      </c>
      <c r="D65" s="139" t="str">
        <f aca="false">WP_상세!G62</f>
        <v>M-Car</v>
      </c>
      <c r="E65" s="139" t="str">
        <f aca="false">WP_상세!H62</f>
        <v>Discrete</v>
      </c>
      <c r="F65" s="139" t="str">
        <f aca="false">WP_상세!I62</f>
        <v>Y</v>
      </c>
      <c r="G65" s="140" t="n">
        <f aca="false">WP_상세!J62</f>
        <v>0.4</v>
      </c>
      <c r="H65" s="141" t="n">
        <f aca="false">IFERROR(IF($E65&lt;&gt;"Discrete",0,IF(1&lt;MATCH($D65,$B$4:$F$4,0),0,IF($F65&lt;&gt;"Y",IF(1=MATCH($D65,$B$4:$F$4,0),1,0),IF(1=MATCH($D65,$B$4:$F$4,0),$G65+(1-$G65)/(5-MATCH($D65,$B$4:$F$4,0)+1),(1-$G65)/(5-MATCH($D65,$B$4:$F$4,0)+1))))),0)</f>
        <v>0.52</v>
      </c>
      <c r="I65" s="141" t="n">
        <f aca="false">IFERROR(IF($E65&lt;&gt;"Discrete",0,IF(2&lt;MATCH($D65,$B$4:$F$4,0),0,IF($F65&lt;&gt;"Y",IF(2=MATCH($D65,$B$4:$F$4,0),1,0),IF(2=MATCH($D65,$B$4:$F$4,0),$G65+(1-$G65)/(5-MATCH($D65,$B$4:$F$4,0)+1),(1-$G65)/(5-MATCH($D65,$B$4:$F$4,0)+1))))),0)</f>
        <v>0.12</v>
      </c>
      <c r="J65" s="141" t="n">
        <f aca="false">IFERROR(IF($E65&lt;&gt;"Discrete",0,IF(3&lt;MATCH($D65,$B$4:$F$4,0),0,IF($F65&lt;&gt;"Y",IF(3=MATCH($D65,$B$4:$F$4,0),1,0),IF(3=MATCH($D65,$B$4:$F$4,0),$G65+(1-$G65)/(5-MATCH($D65,$B$4:$F$4,0)+1),(1-$G65)/(5-MATCH($D65,$B$4:$F$4,0)+1))))),0)</f>
        <v>0.12</v>
      </c>
      <c r="K65" s="141" t="n">
        <f aca="false">IFERROR(IF($E65&lt;&gt;"Discrete",0,IF(4&lt;MATCH($D65,$B$4:$F$4,0),0,IF($F65&lt;&gt;"Y",IF(4=MATCH($D65,$B$4:$F$4,0),1,0),IF(4=MATCH($D65,$B$4:$F$4,0),$G65+(1-$G65)/(5-MATCH($D65,$B$4:$F$4,0)+1),(1-$G65)/(5-MATCH($D65,$B$4:$F$4,0)+1))))),0)</f>
        <v>0.12</v>
      </c>
      <c r="L65" s="141" t="n">
        <f aca="false">IFERROR(IF($E65&lt;&gt;"Discrete",0,IF(5&lt;MATCH($D65,$B$4:$F$4,0),0,IF($F65&lt;&gt;"Y",IF(5=MATCH($D65,$B$4:$F$4,0),1,0),IF(5=MATCH($D65,$B$4:$F$4,0),$G65+(1-$G65)/(5-MATCH($D65,$B$4:$F$4,0)+1),(1-$G65)/(5-MATCH($D65,$B$4:$F$4,0)+1))))),0)</f>
        <v>0.12</v>
      </c>
    </row>
    <row r="66" customFormat="false" ht="14.25" hidden="false" customHeight="true" outlineLevel="0" collapsed="false">
      <c r="A66" s="139" t="n">
        <f aca="false">WP_상세!A63</f>
        <v>59</v>
      </c>
      <c r="B66" s="139" t="str">
        <f aca="false">WP_상세!B63</f>
        <v>SYS.2</v>
      </c>
      <c r="C66" s="139" t="str">
        <f aca="false">WP_상세!F63</f>
        <v>Requirement Attribute / 시스템 요구사항 구조화/우선순위 문서</v>
      </c>
      <c r="D66" s="139" t="str">
        <f aca="false">WP_상세!G63</f>
        <v>M-Car</v>
      </c>
      <c r="E66" s="139" t="str">
        <f aca="false">WP_상세!H63</f>
        <v>Discrete</v>
      </c>
      <c r="F66" s="139" t="str">
        <f aca="false">WP_상세!I63</f>
        <v>Y</v>
      </c>
      <c r="G66" s="140" t="n">
        <f aca="false">WP_상세!J63</f>
        <v>0.4</v>
      </c>
      <c r="H66" s="141" t="n">
        <f aca="false">IFERROR(IF($E66&lt;&gt;"Discrete",0,IF(1&lt;MATCH($D66,$B$4:$F$4,0),0,IF($F66&lt;&gt;"Y",IF(1=MATCH($D66,$B$4:$F$4,0),1,0),IF(1=MATCH($D66,$B$4:$F$4,0),$G66+(1-$G66)/(5-MATCH($D66,$B$4:$F$4,0)+1),(1-$G66)/(5-MATCH($D66,$B$4:$F$4,0)+1))))),0)</f>
        <v>0.52</v>
      </c>
      <c r="I66" s="141" t="n">
        <f aca="false">IFERROR(IF($E66&lt;&gt;"Discrete",0,IF(2&lt;MATCH($D66,$B$4:$F$4,0),0,IF($F66&lt;&gt;"Y",IF(2=MATCH($D66,$B$4:$F$4,0),1,0),IF(2=MATCH($D66,$B$4:$F$4,0),$G66+(1-$G66)/(5-MATCH($D66,$B$4:$F$4,0)+1),(1-$G66)/(5-MATCH($D66,$B$4:$F$4,0)+1))))),0)</f>
        <v>0.12</v>
      </c>
      <c r="J66" s="141" t="n">
        <f aca="false">IFERROR(IF($E66&lt;&gt;"Discrete",0,IF(3&lt;MATCH($D66,$B$4:$F$4,0),0,IF($F66&lt;&gt;"Y",IF(3=MATCH($D66,$B$4:$F$4,0),1,0),IF(3=MATCH($D66,$B$4:$F$4,0),$G66+(1-$G66)/(5-MATCH($D66,$B$4:$F$4,0)+1),(1-$G66)/(5-MATCH($D66,$B$4:$F$4,0)+1))))),0)</f>
        <v>0.12</v>
      </c>
      <c r="K66" s="141" t="n">
        <f aca="false">IFERROR(IF($E66&lt;&gt;"Discrete",0,IF(4&lt;MATCH($D66,$B$4:$F$4,0),0,IF($F66&lt;&gt;"Y",IF(4=MATCH($D66,$B$4:$F$4,0),1,0),IF(4=MATCH($D66,$B$4:$F$4,0),$G66+(1-$G66)/(5-MATCH($D66,$B$4:$F$4,0)+1),(1-$G66)/(5-MATCH($D66,$B$4:$F$4,0)+1))))),0)</f>
        <v>0.12</v>
      </c>
      <c r="L66" s="141" t="n">
        <f aca="false">IFERROR(IF($E66&lt;&gt;"Discrete",0,IF(5&lt;MATCH($D66,$B$4:$F$4,0),0,IF($F66&lt;&gt;"Y",IF(5=MATCH($D66,$B$4:$F$4,0),1,0),IF(5=MATCH($D66,$B$4:$F$4,0),$G66+(1-$G66)/(5-MATCH($D66,$B$4:$F$4,0)+1),(1-$G66)/(5-MATCH($D66,$B$4:$F$4,0)+1))))),0)</f>
        <v>0.12</v>
      </c>
    </row>
    <row r="67" customFormat="false" ht="14.25" hidden="false" customHeight="true" outlineLevel="0" collapsed="false">
      <c r="A67" s="139" t="n">
        <f aca="false">WP_상세!A64</f>
        <v>60</v>
      </c>
      <c r="B67" s="139" t="str">
        <f aca="false">WP_상세!B64</f>
        <v>SYS.2</v>
      </c>
      <c r="C67" s="139" t="str">
        <f aca="false">WP_상세!F64</f>
        <v>Analysis Results / 시스템 요구사항 분석서</v>
      </c>
      <c r="D67" s="139" t="str">
        <f aca="false">WP_상세!G64</f>
        <v>M-Car</v>
      </c>
      <c r="E67" s="139" t="str">
        <f aca="false">WP_상세!H64</f>
        <v>Discrete</v>
      </c>
      <c r="F67" s="139" t="str">
        <f aca="false">WP_상세!I64</f>
        <v>N</v>
      </c>
      <c r="G67" s="140" t="n">
        <f aca="false">WP_상세!J64</f>
        <v>1</v>
      </c>
      <c r="H67" s="141" t="n">
        <f aca="false">IFERROR(IF($E67&lt;&gt;"Discrete",0,IF(1&lt;MATCH($D67,$B$4:$F$4,0),0,IF($F67&lt;&gt;"Y",IF(1=MATCH($D67,$B$4:$F$4,0),1,0),IF(1=MATCH($D67,$B$4:$F$4,0),$G67+(1-$G67)/(5-MATCH($D67,$B$4:$F$4,0)+1),(1-$G67)/(5-MATCH($D67,$B$4:$F$4,0)+1))))),0)</f>
        <v>1</v>
      </c>
      <c r="I67" s="141" t="n">
        <f aca="false">IFERROR(IF($E67&lt;&gt;"Discrete",0,IF(2&lt;MATCH($D67,$B$4:$F$4,0),0,IF($F67&lt;&gt;"Y",IF(2=MATCH($D67,$B$4:$F$4,0),1,0),IF(2=MATCH($D67,$B$4:$F$4,0),$G67+(1-$G67)/(5-MATCH($D67,$B$4:$F$4,0)+1),(1-$G67)/(5-MATCH($D67,$B$4:$F$4,0)+1))))),0)</f>
        <v>0</v>
      </c>
      <c r="J67" s="141" t="n">
        <f aca="false">IFERROR(IF($E67&lt;&gt;"Discrete",0,IF(3&lt;MATCH($D67,$B$4:$F$4,0),0,IF($F67&lt;&gt;"Y",IF(3=MATCH($D67,$B$4:$F$4,0),1,0),IF(3=MATCH($D67,$B$4:$F$4,0),$G67+(1-$G67)/(5-MATCH($D67,$B$4:$F$4,0)+1),(1-$G67)/(5-MATCH($D67,$B$4:$F$4,0)+1))))),0)</f>
        <v>0</v>
      </c>
      <c r="K67" s="141" t="n">
        <f aca="false">IFERROR(IF($E67&lt;&gt;"Discrete",0,IF(4&lt;MATCH($D67,$B$4:$F$4,0),0,IF($F67&lt;&gt;"Y",IF(4=MATCH($D67,$B$4:$F$4,0),1,0),IF(4=MATCH($D67,$B$4:$F$4,0),$G67+(1-$G67)/(5-MATCH($D67,$B$4:$F$4,0)+1),(1-$G67)/(5-MATCH($D67,$B$4:$F$4,0)+1))))),0)</f>
        <v>0</v>
      </c>
      <c r="L67" s="141" t="n">
        <f aca="false">IFERROR(IF($E67&lt;&gt;"Discrete",0,IF(5&lt;MATCH($D67,$B$4:$F$4,0),0,IF($F67&lt;&gt;"Y",IF(5=MATCH($D67,$B$4:$F$4,0),1,0),IF(5=MATCH($D67,$B$4:$F$4,0),$G67+(1-$G67)/(5-MATCH($D67,$B$4:$F$4,0)+1),(1-$G67)/(5-MATCH($D67,$B$4:$F$4,0)+1))))),0)</f>
        <v>0</v>
      </c>
    </row>
    <row r="68" customFormat="false" ht="14.25" hidden="false" customHeight="true" outlineLevel="0" collapsed="false">
      <c r="A68" s="139" t="n">
        <f aca="false">WP_상세!A65</f>
        <v>61</v>
      </c>
      <c r="B68" s="139" t="str">
        <f aca="false">WP_상세!B65</f>
        <v>SYS.2</v>
      </c>
      <c r="C68" s="139" t="str">
        <f aca="false">WP_상세!F65</f>
        <v>Analysis Results / 시스템 컨텍스트 영향분석서</v>
      </c>
      <c r="D68" s="139" t="str">
        <f aca="false">WP_상세!G65</f>
        <v>M-Car</v>
      </c>
      <c r="E68" s="139" t="str">
        <f aca="false">WP_상세!H65</f>
        <v>Discrete</v>
      </c>
      <c r="F68" s="139" t="str">
        <f aca="false">WP_상세!I65</f>
        <v>N</v>
      </c>
      <c r="G68" s="140" t="n">
        <f aca="false">WP_상세!J65</f>
        <v>1</v>
      </c>
      <c r="H68" s="141" t="n">
        <f aca="false">IFERROR(IF($E68&lt;&gt;"Discrete",0,IF(1&lt;MATCH($D68,$B$4:$F$4,0),0,IF($F68&lt;&gt;"Y",IF(1=MATCH($D68,$B$4:$F$4,0),1,0),IF(1=MATCH($D68,$B$4:$F$4,0),$G68+(1-$G68)/(5-MATCH($D68,$B$4:$F$4,0)+1),(1-$G68)/(5-MATCH($D68,$B$4:$F$4,0)+1))))),0)</f>
        <v>1</v>
      </c>
      <c r="I68" s="141" t="n">
        <f aca="false">IFERROR(IF($E68&lt;&gt;"Discrete",0,IF(2&lt;MATCH($D68,$B$4:$F$4,0),0,IF($F68&lt;&gt;"Y",IF(2=MATCH($D68,$B$4:$F$4,0),1,0),IF(2=MATCH($D68,$B$4:$F$4,0),$G68+(1-$G68)/(5-MATCH($D68,$B$4:$F$4,0)+1),(1-$G68)/(5-MATCH($D68,$B$4:$F$4,0)+1))))),0)</f>
        <v>0</v>
      </c>
      <c r="J68" s="141" t="n">
        <f aca="false">IFERROR(IF($E68&lt;&gt;"Discrete",0,IF(3&lt;MATCH($D68,$B$4:$F$4,0),0,IF($F68&lt;&gt;"Y",IF(3=MATCH($D68,$B$4:$F$4,0),1,0),IF(3=MATCH($D68,$B$4:$F$4,0),$G68+(1-$G68)/(5-MATCH($D68,$B$4:$F$4,0)+1),(1-$G68)/(5-MATCH($D68,$B$4:$F$4,0)+1))))),0)</f>
        <v>0</v>
      </c>
      <c r="K68" s="141" t="n">
        <f aca="false">IFERROR(IF($E68&lt;&gt;"Discrete",0,IF(4&lt;MATCH($D68,$B$4:$F$4,0),0,IF($F68&lt;&gt;"Y",IF(4=MATCH($D68,$B$4:$F$4,0),1,0),IF(4=MATCH($D68,$B$4:$F$4,0),$G68+(1-$G68)/(5-MATCH($D68,$B$4:$F$4,0)+1),(1-$G68)/(5-MATCH($D68,$B$4:$F$4,0)+1))))),0)</f>
        <v>0</v>
      </c>
      <c r="L68" s="141" t="n">
        <f aca="false">IFERROR(IF($E68&lt;&gt;"Discrete",0,IF(5&lt;MATCH($D68,$B$4:$F$4,0),0,IF($F68&lt;&gt;"Y",IF(5=MATCH($D68,$B$4:$F$4,0),1,0),IF(5=MATCH($D68,$B$4:$F$4,0),$G68+(1-$G68)/(5-MATCH($D68,$B$4:$F$4,0)+1),(1-$G68)/(5-MATCH($D68,$B$4:$F$4,0)+1))))),0)</f>
        <v>0</v>
      </c>
    </row>
    <row r="69" customFormat="false" ht="14.25" hidden="false" customHeight="true" outlineLevel="0" collapsed="false">
      <c r="A69" s="139" t="n">
        <f aca="false">WP_상세!A66</f>
        <v>62</v>
      </c>
      <c r="B69" s="139" t="str">
        <f aca="false">WP_상세!B66</f>
        <v>SYS.2</v>
      </c>
      <c r="C69" s="139" t="str">
        <f aca="false">WP_상세!F66</f>
        <v>Consistency Evidence / 시스템요구사항-이해관계자요구사항 추적성 매트릭스</v>
      </c>
      <c r="D69" s="139" t="str">
        <f aca="false">WP_상세!G66</f>
        <v>M-Car</v>
      </c>
      <c r="E69" s="139" t="str">
        <f aca="false">WP_상세!H66</f>
        <v>Discrete</v>
      </c>
      <c r="F69" s="139" t="str">
        <f aca="false">WP_상세!I66</f>
        <v>N</v>
      </c>
      <c r="G69" s="140" t="n">
        <f aca="false">WP_상세!J66</f>
        <v>1</v>
      </c>
      <c r="H69" s="141" t="n">
        <f aca="false">IFERROR(IF($E69&lt;&gt;"Discrete",0,IF(1&lt;MATCH($D69,$B$4:$F$4,0),0,IF($F69&lt;&gt;"Y",IF(1=MATCH($D69,$B$4:$F$4,0),1,0),IF(1=MATCH($D69,$B$4:$F$4,0),$G69+(1-$G69)/(5-MATCH($D69,$B$4:$F$4,0)+1),(1-$G69)/(5-MATCH($D69,$B$4:$F$4,0)+1))))),0)</f>
        <v>1</v>
      </c>
      <c r="I69" s="141" t="n">
        <f aca="false">IFERROR(IF($E69&lt;&gt;"Discrete",0,IF(2&lt;MATCH($D69,$B$4:$F$4,0),0,IF($F69&lt;&gt;"Y",IF(2=MATCH($D69,$B$4:$F$4,0),1,0),IF(2=MATCH($D69,$B$4:$F$4,0),$G69+(1-$G69)/(5-MATCH($D69,$B$4:$F$4,0)+1),(1-$G69)/(5-MATCH($D69,$B$4:$F$4,0)+1))))),0)</f>
        <v>0</v>
      </c>
      <c r="J69" s="141" t="n">
        <f aca="false">IFERROR(IF($E69&lt;&gt;"Discrete",0,IF(3&lt;MATCH($D69,$B$4:$F$4,0),0,IF($F69&lt;&gt;"Y",IF(3=MATCH($D69,$B$4:$F$4,0),1,0),IF(3=MATCH($D69,$B$4:$F$4,0),$G69+(1-$G69)/(5-MATCH($D69,$B$4:$F$4,0)+1),(1-$G69)/(5-MATCH($D69,$B$4:$F$4,0)+1))))),0)</f>
        <v>0</v>
      </c>
      <c r="K69" s="141" t="n">
        <f aca="false">IFERROR(IF($E69&lt;&gt;"Discrete",0,IF(4&lt;MATCH($D69,$B$4:$F$4,0),0,IF($F69&lt;&gt;"Y",IF(4=MATCH($D69,$B$4:$F$4,0),1,0),IF(4=MATCH($D69,$B$4:$F$4,0),$G69+(1-$G69)/(5-MATCH($D69,$B$4:$F$4,0)+1),(1-$G69)/(5-MATCH($D69,$B$4:$F$4,0)+1))))),0)</f>
        <v>0</v>
      </c>
      <c r="L69" s="141" t="n">
        <f aca="false">IFERROR(IF($E69&lt;&gt;"Discrete",0,IF(5&lt;MATCH($D69,$B$4:$F$4,0),0,IF($F69&lt;&gt;"Y",IF(5=MATCH($D69,$B$4:$F$4,0),1,0),IF(5=MATCH($D69,$B$4:$F$4,0),$G69+(1-$G69)/(5-MATCH($D69,$B$4:$F$4,0)+1),(1-$G69)/(5-MATCH($D69,$B$4:$F$4,0)+1))))),0)</f>
        <v>0</v>
      </c>
    </row>
    <row r="70" customFormat="false" ht="14.25" hidden="false" customHeight="true" outlineLevel="0" collapsed="false">
      <c r="A70" s="139" t="n">
        <f aca="false">WP_상세!A67</f>
        <v>63</v>
      </c>
      <c r="B70" s="139" t="str">
        <f aca="false">WP_상세!B67</f>
        <v>SYS.2</v>
      </c>
      <c r="C70" s="139" t="str">
        <f aca="false">WP_상세!F67</f>
        <v>Communication Evidence / 합의된 시스템 요구사항 공유기록</v>
      </c>
      <c r="D70" s="139" t="str">
        <f aca="false">WP_상세!G67</f>
        <v>M-Car</v>
      </c>
      <c r="E70" s="139" t="str">
        <f aca="false">WP_상세!H67</f>
        <v>Discrete</v>
      </c>
      <c r="F70" s="139" t="str">
        <f aca="false">WP_상세!I67</f>
        <v>N</v>
      </c>
      <c r="G70" s="140" t="n">
        <f aca="false">WP_상세!J67</f>
        <v>1</v>
      </c>
      <c r="H70" s="141" t="n">
        <f aca="false">IFERROR(IF($E70&lt;&gt;"Discrete",0,IF(1&lt;MATCH($D70,$B$4:$F$4,0),0,IF($F70&lt;&gt;"Y",IF(1=MATCH($D70,$B$4:$F$4,0),1,0),IF(1=MATCH($D70,$B$4:$F$4,0),$G70+(1-$G70)/(5-MATCH($D70,$B$4:$F$4,0)+1),(1-$G70)/(5-MATCH($D70,$B$4:$F$4,0)+1))))),0)</f>
        <v>1</v>
      </c>
      <c r="I70" s="141" t="n">
        <f aca="false">IFERROR(IF($E70&lt;&gt;"Discrete",0,IF(2&lt;MATCH($D70,$B$4:$F$4,0),0,IF($F70&lt;&gt;"Y",IF(2=MATCH($D70,$B$4:$F$4,0),1,0),IF(2=MATCH($D70,$B$4:$F$4,0),$G70+(1-$G70)/(5-MATCH($D70,$B$4:$F$4,0)+1),(1-$G70)/(5-MATCH($D70,$B$4:$F$4,0)+1))))),0)</f>
        <v>0</v>
      </c>
      <c r="J70" s="141" t="n">
        <f aca="false">IFERROR(IF($E70&lt;&gt;"Discrete",0,IF(3&lt;MATCH($D70,$B$4:$F$4,0),0,IF($F70&lt;&gt;"Y",IF(3=MATCH($D70,$B$4:$F$4,0),1,0),IF(3=MATCH($D70,$B$4:$F$4,0),$G70+(1-$G70)/(5-MATCH($D70,$B$4:$F$4,0)+1),(1-$G70)/(5-MATCH($D70,$B$4:$F$4,0)+1))))),0)</f>
        <v>0</v>
      </c>
      <c r="K70" s="141" t="n">
        <f aca="false">IFERROR(IF($E70&lt;&gt;"Discrete",0,IF(4&lt;MATCH($D70,$B$4:$F$4,0),0,IF($F70&lt;&gt;"Y",IF(4=MATCH($D70,$B$4:$F$4,0),1,0),IF(4=MATCH($D70,$B$4:$F$4,0),$G70+(1-$G70)/(5-MATCH($D70,$B$4:$F$4,0)+1),(1-$G70)/(5-MATCH($D70,$B$4:$F$4,0)+1))))),0)</f>
        <v>0</v>
      </c>
      <c r="L70" s="141" t="n">
        <f aca="false">IFERROR(IF($E70&lt;&gt;"Discrete",0,IF(5&lt;MATCH($D70,$B$4:$F$4,0),0,IF($F70&lt;&gt;"Y",IF(5=MATCH($D70,$B$4:$F$4,0),1,0),IF(5=MATCH($D70,$B$4:$F$4,0),$G70+(1-$G70)/(5-MATCH($D70,$B$4:$F$4,0)+1),(1-$G70)/(5-MATCH($D70,$B$4:$F$4,0)+1))))),0)</f>
        <v>0</v>
      </c>
    </row>
    <row r="71" customFormat="false" ht="14.25" hidden="false" customHeight="true" outlineLevel="0" collapsed="false">
      <c r="A71" s="139" t="n">
        <f aca="false">WP_상세!A68</f>
        <v>64</v>
      </c>
      <c r="B71" s="139" t="str">
        <f aca="false">WP_상세!B68</f>
        <v>SYS.3</v>
      </c>
      <c r="C71" s="139" t="str">
        <f aca="false">WP_상세!F68</f>
        <v>System Architecture / 시스템 아키텍처 정적측면 설계서</v>
      </c>
      <c r="D71" s="139" t="str">
        <f aca="false">WP_상세!G68</f>
        <v>M-Car</v>
      </c>
      <c r="E71" s="139" t="str">
        <f aca="false">WP_상세!H68</f>
        <v>Discrete</v>
      </c>
      <c r="F71" s="139" t="str">
        <f aca="false">WP_상세!I68</f>
        <v>Y</v>
      </c>
      <c r="G71" s="140" t="n">
        <f aca="false">WP_상세!J68</f>
        <v>0.4</v>
      </c>
      <c r="H71" s="141" t="n">
        <f aca="false">IFERROR(IF($E71&lt;&gt;"Discrete",0,IF(1&lt;MATCH($D71,$B$4:$F$4,0),0,IF($F71&lt;&gt;"Y",IF(1=MATCH($D71,$B$4:$F$4,0),1,0),IF(1=MATCH($D71,$B$4:$F$4,0),$G71+(1-$G71)/(5-MATCH($D71,$B$4:$F$4,0)+1),(1-$G71)/(5-MATCH($D71,$B$4:$F$4,0)+1))))),0)</f>
        <v>0.52</v>
      </c>
      <c r="I71" s="141" t="n">
        <f aca="false">IFERROR(IF($E71&lt;&gt;"Discrete",0,IF(2&lt;MATCH($D71,$B$4:$F$4,0),0,IF($F71&lt;&gt;"Y",IF(2=MATCH($D71,$B$4:$F$4,0),1,0),IF(2=MATCH($D71,$B$4:$F$4,0),$G71+(1-$G71)/(5-MATCH($D71,$B$4:$F$4,0)+1),(1-$G71)/(5-MATCH($D71,$B$4:$F$4,0)+1))))),0)</f>
        <v>0.12</v>
      </c>
      <c r="J71" s="141" t="n">
        <f aca="false">IFERROR(IF($E71&lt;&gt;"Discrete",0,IF(3&lt;MATCH($D71,$B$4:$F$4,0),0,IF($F71&lt;&gt;"Y",IF(3=MATCH($D71,$B$4:$F$4,0),1,0),IF(3=MATCH($D71,$B$4:$F$4,0),$G71+(1-$G71)/(5-MATCH($D71,$B$4:$F$4,0)+1),(1-$G71)/(5-MATCH($D71,$B$4:$F$4,0)+1))))),0)</f>
        <v>0.12</v>
      </c>
      <c r="K71" s="141" t="n">
        <f aca="false">IFERROR(IF($E71&lt;&gt;"Discrete",0,IF(4&lt;MATCH($D71,$B$4:$F$4,0),0,IF($F71&lt;&gt;"Y",IF(4=MATCH($D71,$B$4:$F$4,0),1,0),IF(4=MATCH($D71,$B$4:$F$4,0),$G71+(1-$G71)/(5-MATCH($D71,$B$4:$F$4,0)+1),(1-$G71)/(5-MATCH($D71,$B$4:$F$4,0)+1))))),0)</f>
        <v>0.12</v>
      </c>
      <c r="L71" s="141" t="n">
        <f aca="false">IFERROR(IF($E71&lt;&gt;"Discrete",0,IF(5&lt;MATCH($D71,$B$4:$F$4,0),0,IF($F71&lt;&gt;"Y",IF(5=MATCH($D71,$B$4:$F$4,0),1,0),IF(5=MATCH($D71,$B$4:$F$4,0),$G71+(1-$G71)/(5-MATCH($D71,$B$4:$F$4,0)+1),(1-$G71)/(5-MATCH($D71,$B$4:$F$4,0)+1))))),0)</f>
        <v>0.12</v>
      </c>
    </row>
    <row r="72" customFormat="false" ht="14.25" hidden="false" customHeight="true" outlineLevel="0" collapsed="false">
      <c r="A72" s="139" t="n">
        <f aca="false">WP_상세!A69</f>
        <v>65</v>
      </c>
      <c r="B72" s="139" t="str">
        <f aca="false">WP_상세!B69</f>
        <v>SYS.3</v>
      </c>
      <c r="C72" s="139" t="str">
        <f aca="false">WP_상세!F69</f>
        <v>System Architecture / 시스템 아키텍처 동적측면 설계서</v>
      </c>
      <c r="D72" s="139" t="str">
        <f aca="false">WP_상세!G69</f>
        <v>M-Car</v>
      </c>
      <c r="E72" s="139" t="str">
        <f aca="false">WP_상세!H69</f>
        <v>Discrete</v>
      </c>
      <c r="F72" s="139" t="str">
        <f aca="false">WP_상세!I69</f>
        <v>Y</v>
      </c>
      <c r="G72" s="140" t="n">
        <f aca="false">WP_상세!J69</f>
        <v>0.4</v>
      </c>
      <c r="H72" s="141" t="n">
        <f aca="false">IFERROR(IF($E72&lt;&gt;"Discrete",0,IF(1&lt;MATCH($D72,$B$4:$F$4,0),0,IF($F72&lt;&gt;"Y",IF(1=MATCH($D72,$B$4:$F$4,0),1,0),IF(1=MATCH($D72,$B$4:$F$4,0),$G72+(1-$G72)/(5-MATCH($D72,$B$4:$F$4,0)+1),(1-$G72)/(5-MATCH($D72,$B$4:$F$4,0)+1))))),0)</f>
        <v>0.52</v>
      </c>
      <c r="I72" s="141" t="n">
        <f aca="false">IFERROR(IF($E72&lt;&gt;"Discrete",0,IF(2&lt;MATCH($D72,$B$4:$F$4,0),0,IF($F72&lt;&gt;"Y",IF(2=MATCH($D72,$B$4:$F$4,0),1,0),IF(2=MATCH($D72,$B$4:$F$4,0),$G72+(1-$G72)/(5-MATCH($D72,$B$4:$F$4,0)+1),(1-$G72)/(5-MATCH($D72,$B$4:$F$4,0)+1))))),0)</f>
        <v>0.12</v>
      </c>
      <c r="J72" s="141" t="n">
        <f aca="false">IFERROR(IF($E72&lt;&gt;"Discrete",0,IF(3&lt;MATCH($D72,$B$4:$F$4,0),0,IF($F72&lt;&gt;"Y",IF(3=MATCH($D72,$B$4:$F$4,0),1,0),IF(3=MATCH($D72,$B$4:$F$4,0),$G72+(1-$G72)/(5-MATCH($D72,$B$4:$F$4,0)+1),(1-$G72)/(5-MATCH($D72,$B$4:$F$4,0)+1))))),0)</f>
        <v>0.12</v>
      </c>
      <c r="K72" s="141" t="n">
        <f aca="false">IFERROR(IF($E72&lt;&gt;"Discrete",0,IF(4&lt;MATCH($D72,$B$4:$F$4,0),0,IF($F72&lt;&gt;"Y",IF(4=MATCH($D72,$B$4:$F$4,0),1,0),IF(4=MATCH($D72,$B$4:$F$4,0),$G72+(1-$G72)/(5-MATCH($D72,$B$4:$F$4,0)+1),(1-$G72)/(5-MATCH($D72,$B$4:$F$4,0)+1))))),0)</f>
        <v>0.12</v>
      </c>
      <c r="L72" s="141" t="n">
        <f aca="false">IFERROR(IF($E72&lt;&gt;"Discrete",0,IF(5&lt;MATCH($D72,$B$4:$F$4,0),0,IF($F72&lt;&gt;"Y",IF(5=MATCH($D72,$B$4:$F$4,0),1,0),IF(5=MATCH($D72,$B$4:$F$4,0),$G72+(1-$G72)/(5-MATCH($D72,$B$4:$F$4,0)+1),(1-$G72)/(5-MATCH($D72,$B$4:$F$4,0)+1))))),0)</f>
        <v>0.12</v>
      </c>
    </row>
    <row r="73" customFormat="false" ht="14.25" hidden="false" customHeight="true" outlineLevel="0" collapsed="false">
      <c r="A73" s="139" t="n">
        <f aca="false">WP_상세!A70</f>
        <v>66</v>
      </c>
      <c r="B73" s="139" t="str">
        <f aca="false">WP_상세!B70</f>
        <v>SYS.3</v>
      </c>
      <c r="C73" s="139" t="str">
        <f aca="false">WP_상세!F70</f>
        <v>Analysis Results / 시스템 아키텍처 분석서(특별특성 포함)</v>
      </c>
      <c r="D73" s="139" t="str">
        <f aca="false">WP_상세!G70</f>
        <v>M-Car</v>
      </c>
      <c r="E73" s="139" t="str">
        <f aca="false">WP_상세!H70</f>
        <v>Discrete</v>
      </c>
      <c r="F73" s="139" t="str">
        <f aca="false">WP_상세!I70</f>
        <v>N</v>
      </c>
      <c r="G73" s="140" t="n">
        <f aca="false">WP_상세!J70</f>
        <v>1</v>
      </c>
      <c r="H73" s="141" t="n">
        <f aca="false">IFERROR(IF($E73&lt;&gt;"Discrete",0,IF(1&lt;MATCH($D73,$B$4:$F$4,0),0,IF($F73&lt;&gt;"Y",IF(1=MATCH($D73,$B$4:$F$4,0),1,0),IF(1=MATCH($D73,$B$4:$F$4,0),$G73+(1-$G73)/(5-MATCH($D73,$B$4:$F$4,0)+1),(1-$G73)/(5-MATCH($D73,$B$4:$F$4,0)+1))))),0)</f>
        <v>1</v>
      </c>
      <c r="I73" s="141" t="n">
        <f aca="false">IFERROR(IF($E73&lt;&gt;"Discrete",0,IF(2&lt;MATCH($D73,$B$4:$F$4,0),0,IF($F73&lt;&gt;"Y",IF(2=MATCH($D73,$B$4:$F$4,0),1,0),IF(2=MATCH($D73,$B$4:$F$4,0),$G73+(1-$G73)/(5-MATCH($D73,$B$4:$F$4,0)+1),(1-$G73)/(5-MATCH($D73,$B$4:$F$4,0)+1))))),0)</f>
        <v>0</v>
      </c>
      <c r="J73" s="141" t="n">
        <f aca="false">IFERROR(IF($E73&lt;&gt;"Discrete",0,IF(3&lt;MATCH($D73,$B$4:$F$4,0),0,IF($F73&lt;&gt;"Y",IF(3=MATCH($D73,$B$4:$F$4,0),1,0),IF(3=MATCH($D73,$B$4:$F$4,0),$G73+(1-$G73)/(5-MATCH($D73,$B$4:$F$4,0)+1),(1-$G73)/(5-MATCH($D73,$B$4:$F$4,0)+1))))),0)</f>
        <v>0</v>
      </c>
      <c r="K73" s="141" t="n">
        <f aca="false">IFERROR(IF($E73&lt;&gt;"Discrete",0,IF(4&lt;MATCH($D73,$B$4:$F$4,0),0,IF($F73&lt;&gt;"Y",IF(4=MATCH($D73,$B$4:$F$4,0),1,0),IF(4=MATCH($D73,$B$4:$F$4,0),$G73+(1-$G73)/(5-MATCH($D73,$B$4:$F$4,0)+1),(1-$G73)/(5-MATCH($D73,$B$4:$F$4,0)+1))))),0)</f>
        <v>0</v>
      </c>
      <c r="L73" s="141" t="n">
        <f aca="false">IFERROR(IF($E73&lt;&gt;"Discrete",0,IF(5&lt;MATCH($D73,$B$4:$F$4,0),0,IF($F73&lt;&gt;"Y",IF(5=MATCH($D73,$B$4:$F$4,0),1,0),IF(5=MATCH($D73,$B$4:$F$4,0),$G73+(1-$G73)/(5-MATCH($D73,$B$4:$F$4,0)+1),(1-$G73)/(5-MATCH($D73,$B$4:$F$4,0)+1))))),0)</f>
        <v>0</v>
      </c>
    </row>
    <row r="74" customFormat="false" ht="14.25" hidden="false" customHeight="true" outlineLevel="0" collapsed="false">
      <c r="A74" s="139" t="n">
        <f aca="false">WP_상세!A71</f>
        <v>67</v>
      </c>
      <c r="B74" s="139" t="str">
        <f aca="false">WP_상세!B71</f>
        <v>SYS.3</v>
      </c>
      <c r="C74" s="139" t="str">
        <f aca="false">WP_상세!F71</f>
        <v>Consistency Evidence / 시스템아키텍처-시스템요구사항 추적성 매트릭스</v>
      </c>
      <c r="D74" s="139" t="str">
        <f aca="false">WP_상세!G71</f>
        <v>M-Car</v>
      </c>
      <c r="E74" s="139" t="str">
        <f aca="false">WP_상세!H71</f>
        <v>Discrete</v>
      </c>
      <c r="F74" s="139" t="str">
        <f aca="false">WP_상세!I71</f>
        <v>N</v>
      </c>
      <c r="G74" s="140" t="n">
        <f aca="false">WP_상세!J71</f>
        <v>1</v>
      </c>
      <c r="H74" s="141" t="n">
        <f aca="false">IFERROR(IF($E74&lt;&gt;"Discrete",0,IF(1&lt;MATCH($D74,$B$4:$F$4,0),0,IF($F74&lt;&gt;"Y",IF(1=MATCH($D74,$B$4:$F$4,0),1,0),IF(1=MATCH($D74,$B$4:$F$4,0),$G74+(1-$G74)/(5-MATCH($D74,$B$4:$F$4,0)+1),(1-$G74)/(5-MATCH($D74,$B$4:$F$4,0)+1))))),0)</f>
        <v>1</v>
      </c>
      <c r="I74" s="141" t="n">
        <f aca="false">IFERROR(IF($E74&lt;&gt;"Discrete",0,IF(2&lt;MATCH($D74,$B$4:$F$4,0),0,IF($F74&lt;&gt;"Y",IF(2=MATCH($D74,$B$4:$F$4,0),1,0),IF(2=MATCH($D74,$B$4:$F$4,0),$G74+(1-$G74)/(5-MATCH($D74,$B$4:$F$4,0)+1),(1-$G74)/(5-MATCH($D74,$B$4:$F$4,0)+1))))),0)</f>
        <v>0</v>
      </c>
      <c r="J74" s="141" t="n">
        <f aca="false">IFERROR(IF($E74&lt;&gt;"Discrete",0,IF(3&lt;MATCH($D74,$B$4:$F$4,0),0,IF($F74&lt;&gt;"Y",IF(3=MATCH($D74,$B$4:$F$4,0),1,0),IF(3=MATCH($D74,$B$4:$F$4,0),$G74+(1-$G74)/(5-MATCH($D74,$B$4:$F$4,0)+1),(1-$G74)/(5-MATCH($D74,$B$4:$F$4,0)+1))))),0)</f>
        <v>0</v>
      </c>
      <c r="K74" s="141" t="n">
        <f aca="false">IFERROR(IF($E74&lt;&gt;"Discrete",0,IF(4&lt;MATCH($D74,$B$4:$F$4,0),0,IF($F74&lt;&gt;"Y",IF(4=MATCH($D74,$B$4:$F$4,0),1,0),IF(4=MATCH($D74,$B$4:$F$4,0),$G74+(1-$G74)/(5-MATCH($D74,$B$4:$F$4,0)+1),(1-$G74)/(5-MATCH($D74,$B$4:$F$4,0)+1))))),0)</f>
        <v>0</v>
      </c>
      <c r="L74" s="141" t="n">
        <f aca="false">IFERROR(IF($E74&lt;&gt;"Discrete",0,IF(5&lt;MATCH($D74,$B$4:$F$4,0),0,IF($F74&lt;&gt;"Y",IF(5=MATCH($D74,$B$4:$F$4,0),1,0),IF(5=MATCH($D74,$B$4:$F$4,0),$G74+(1-$G74)/(5-MATCH($D74,$B$4:$F$4,0)+1),(1-$G74)/(5-MATCH($D74,$B$4:$F$4,0)+1))))),0)</f>
        <v>0</v>
      </c>
    </row>
    <row r="75" customFormat="false" ht="14.25" hidden="false" customHeight="true" outlineLevel="0" collapsed="false">
      <c r="A75" s="139" t="n">
        <f aca="false">WP_상세!A72</f>
        <v>68</v>
      </c>
      <c r="B75" s="139" t="str">
        <f aca="false">WP_상세!B72</f>
        <v>SYS.3</v>
      </c>
      <c r="C75" s="139" t="str">
        <f aca="false">WP_상세!F72</f>
        <v>Communication Evidence / 합의된 시스템 아키텍처 공유기록</v>
      </c>
      <c r="D75" s="139" t="str">
        <f aca="false">WP_상세!G72</f>
        <v>M-Car</v>
      </c>
      <c r="E75" s="139" t="str">
        <f aca="false">WP_상세!H72</f>
        <v>Discrete</v>
      </c>
      <c r="F75" s="139" t="str">
        <f aca="false">WP_상세!I72</f>
        <v>N</v>
      </c>
      <c r="G75" s="140" t="n">
        <f aca="false">WP_상세!J72</f>
        <v>1</v>
      </c>
      <c r="H75" s="141" t="n">
        <f aca="false">IFERROR(IF($E75&lt;&gt;"Discrete",0,IF(1&lt;MATCH($D75,$B$4:$F$4,0),0,IF($F75&lt;&gt;"Y",IF(1=MATCH($D75,$B$4:$F$4,0),1,0),IF(1=MATCH($D75,$B$4:$F$4,0),$G75+(1-$G75)/(5-MATCH($D75,$B$4:$F$4,0)+1),(1-$G75)/(5-MATCH($D75,$B$4:$F$4,0)+1))))),0)</f>
        <v>1</v>
      </c>
      <c r="I75" s="141" t="n">
        <f aca="false">IFERROR(IF($E75&lt;&gt;"Discrete",0,IF(2&lt;MATCH($D75,$B$4:$F$4,0),0,IF($F75&lt;&gt;"Y",IF(2=MATCH($D75,$B$4:$F$4,0),1,0),IF(2=MATCH($D75,$B$4:$F$4,0),$G75+(1-$G75)/(5-MATCH($D75,$B$4:$F$4,0)+1),(1-$G75)/(5-MATCH($D75,$B$4:$F$4,0)+1))))),0)</f>
        <v>0</v>
      </c>
      <c r="J75" s="141" t="n">
        <f aca="false">IFERROR(IF($E75&lt;&gt;"Discrete",0,IF(3&lt;MATCH($D75,$B$4:$F$4,0),0,IF($F75&lt;&gt;"Y",IF(3=MATCH($D75,$B$4:$F$4,0),1,0),IF(3=MATCH($D75,$B$4:$F$4,0),$G75+(1-$G75)/(5-MATCH($D75,$B$4:$F$4,0)+1),(1-$G75)/(5-MATCH($D75,$B$4:$F$4,0)+1))))),0)</f>
        <v>0</v>
      </c>
      <c r="K75" s="141" t="n">
        <f aca="false">IFERROR(IF($E75&lt;&gt;"Discrete",0,IF(4&lt;MATCH($D75,$B$4:$F$4,0),0,IF($F75&lt;&gt;"Y",IF(4=MATCH($D75,$B$4:$F$4,0),1,0),IF(4=MATCH($D75,$B$4:$F$4,0),$G75+(1-$G75)/(5-MATCH($D75,$B$4:$F$4,0)+1),(1-$G75)/(5-MATCH($D75,$B$4:$F$4,0)+1))))),0)</f>
        <v>0</v>
      </c>
      <c r="L75" s="141" t="n">
        <f aca="false">IFERROR(IF($E75&lt;&gt;"Discrete",0,IF(5&lt;MATCH($D75,$B$4:$F$4,0),0,IF($F75&lt;&gt;"Y",IF(5=MATCH($D75,$B$4:$F$4,0),1,0),IF(5=MATCH($D75,$B$4:$F$4,0),$G75+(1-$G75)/(5-MATCH($D75,$B$4:$F$4,0)+1),(1-$G75)/(5-MATCH($D75,$B$4:$F$4,0)+1))))),0)</f>
        <v>0</v>
      </c>
    </row>
    <row r="76" customFormat="false" ht="14.25" hidden="false" customHeight="true" outlineLevel="0" collapsed="false">
      <c r="A76" s="139" t="n">
        <f aca="false">WP_상세!A73</f>
        <v>69</v>
      </c>
      <c r="B76" s="139" t="str">
        <f aca="false">WP_상세!B73</f>
        <v>SYS.4</v>
      </c>
      <c r="C76" s="139" t="str">
        <f aca="false">WP_상세!F73</f>
        <v>Verification Measure / 시스템 통합검증 방안서</v>
      </c>
      <c r="D76" s="139" t="str">
        <f aca="false">WP_상세!G73</f>
        <v>Proto</v>
      </c>
      <c r="E76" s="139" t="str">
        <f aca="false">WP_상세!H73</f>
        <v>Discrete</v>
      </c>
      <c r="F76" s="139" t="str">
        <f aca="false">WP_상세!I73</f>
        <v>N</v>
      </c>
      <c r="G76" s="140" t="n">
        <f aca="false">WP_상세!J73</f>
        <v>1</v>
      </c>
      <c r="H76" s="141" t="n">
        <f aca="false">IFERROR(IF($E76&lt;&gt;"Discrete",0,IF(1&lt;MATCH($D76,$B$4:$F$4,0),0,IF($F76&lt;&gt;"Y",IF(1=MATCH($D76,$B$4:$F$4,0),1,0),IF(1=MATCH($D76,$B$4:$F$4,0),$G76+(1-$G76)/(5-MATCH($D76,$B$4:$F$4,0)+1),(1-$G76)/(5-MATCH($D76,$B$4:$F$4,0)+1))))),0)</f>
        <v>0</v>
      </c>
      <c r="I76" s="141" t="n">
        <f aca="false">IFERROR(IF($E76&lt;&gt;"Discrete",0,IF(2&lt;MATCH($D76,$B$4:$F$4,0),0,IF($F76&lt;&gt;"Y",IF(2=MATCH($D76,$B$4:$F$4,0),1,0),IF(2=MATCH($D76,$B$4:$F$4,0),$G76+(1-$G76)/(5-MATCH($D76,$B$4:$F$4,0)+1),(1-$G76)/(5-MATCH($D76,$B$4:$F$4,0)+1))))),0)</f>
        <v>1</v>
      </c>
      <c r="J76" s="141" t="n">
        <f aca="false">IFERROR(IF($E76&lt;&gt;"Discrete",0,IF(3&lt;MATCH($D76,$B$4:$F$4,0),0,IF($F76&lt;&gt;"Y",IF(3=MATCH($D76,$B$4:$F$4,0),1,0),IF(3=MATCH($D76,$B$4:$F$4,0),$G76+(1-$G76)/(5-MATCH($D76,$B$4:$F$4,0)+1),(1-$G76)/(5-MATCH($D76,$B$4:$F$4,0)+1))))),0)</f>
        <v>0</v>
      </c>
      <c r="K76" s="141" t="n">
        <f aca="false">IFERROR(IF($E76&lt;&gt;"Discrete",0,IF(4&lt;MATCH($D76,$B$4:$F$4,0),0,IF($F76&lt;&gt;"Y",IF(4=MATCH($D76,$B$4:$F$4,0),1,0),IF(4=MATCH($D76,$B$4:$F$4,0),$G76+(1-$G76)/(5-MATCH($D76,$B$4:$F$4,0)+1),(1-$G76)/(5-MATCH($D76,$B$4:$F$4,0)+1))))),0)</f>
        <v>0</v>
      </c>
      <c r="L76" s="141" t="n">
        <f aca="false">IFERROR(IF($E76&lt;&gt;"Discrete",0,IF(5&lt;MATCH($D76,$B$4:$F$4,0),0,IF($F76&lt;&gt;"Y",IF(5=MATCH($D76,$B$4:$F$4,0),1,0),IF(5=MATCH($D76,$B$4:$F$4,0),$G76+(1-$G76)/(5-MATCH($D76,$B$4:$F$4,0)+1),(1-$G76)/(5-MATCH($D76,$B$4:$F$4,0)+1))))),0)</f>
        <v>0</v>
      </c>
    </row>
    <row r="77" customFormat="false" ht="14.25" hidden="false" customHeight="true" outlineLevel="0" collapsed="false">
      <c r="A77" s="139" t="n">
        <f aca="false">WP_상세!A74</f>
        <v>70</v>
      </c>
      <c r="B77" s="139" t="str">
        <f aca="false">WP_상세!B74</f>
        <v>SYS.4</v>
      </c>
      <c r="C77" s="139" t="str">
        <f aca="false">WP_상세!F74</f>
        <v>Verification Measure Selection Set / 통합검증 방안 선정목록</v>
      </c>
      <c r="D77" s="139" t="str">
        <f aca="false">WP_상세!G74</f>
        <v>Proto</v>
      </c>
      <c r="E77" s="139" t="str">
        <f aca="false">WP_상세!H74</f>
        <v>Discrete</v>
      </c>
      <c r="F77" s="139" t="str">
        <f aca="false">WP_상세!I74</f>
        <v>N</v>
      </c>
      <c r="G77" s="140" t="n">
        <f aca="false">WP_상세!J74</f>
        <v>1</v>
      </c>
      <c r="H77" s="141" t="n">
        <f aca="false">IFERROR(IF($E77&lt;&gt;"Discrete",0,IF(1&lt;MATCH($D77,$B$4:$F$4,0),0,IF($F77&lt;&gt;"Y",IF(1=MATCH($D77,$B$4:$F$4,0),1,0),IF(1=MATCH($D77,$B$4:$F$4,0),$G77+(1-$G77)/(5-MATCH($D77,$B$4:$F$4,0)+1),(1-$G77)/(5-MATCH($D77,$B$4:$F$4,0)+1))))),0)</f>
        <v>0</v>
      </c>
      <c r="I77" s="141" t="n">
        <f aca="false">IFERROR(IF($E77&lt;&gt;"Discrete",0,IF(2&lt;MATCH($D77,$B$4:$F$4,0),0,IF($F77&lt;&gt;"Y",IF(2=MATCH($D77,$B$4:$F$4,0),1,0),IF(2=MATCH($D77,$B$4:$F$4,0),$G77+(1-$G77)/(5-MATCH($D77,$B$4:$F$4,0)+1),(1-$G77)/(5-MATCH($D77,$B$4:$F$4,0)+1))))),0)</f>
        <v>1</v>
      </c>
      <c r="J77" s="141" t="n">
        <f aca="false">IFERROR(IF($E77&lt;&gt;"Discrete",0,IF(3&lt;MATCH($D77,$B$4:$F$4,0),0,IF($F77&lt;&gt;"Y",IF(3=MATCH($D77,$B$4:$F$4,0),1,0),IF(3=MATCH($D77,$B$4:$F$4,0),$G77+(1-$G77)/(5-MATCH($D77,$B$4:$F$4,0)+1),(1-$G77)/(5-MATCH($D77,$B$4:$F$4,0)+1))))),0)</f>
        <v>0</v>
      </c>
      <c r="K77" s="141" t="n">
        <f aca="false">IFERROR(IF($E77&lt;&gt;"Discrete",0,IF(4&lt;MATCH($D77,$B$4:$F$4,0),0,IF($F77&lt;&gt;"Y",IF(4=MATCH($D77,$B$4:$F$4,0),1,0),IF(4=MATCH($D77,$B$4:$F$4,0),$G77+(1-$G77)/(5-MATCH($D77,$B$4:$F$4,0)+1),(1-$G77)/(5-MATCH($D77,$B$4:$F$4,0)+1))))),0)</f>
        <v>0</v>
      </c>
      <c r="L77" s="141" t="n">
        <f aca="false">IFERROR(IF($E77&lt;&gt;"Discrete",0,IF(5&lt;MATCH($D77,$B$4:$F$4,0),0,IF($F77&lt;&gt;"Y",IF(5=MATCH($D77,$B$4:$F$4,0),1,0),IF(5=MATCH($D77,$B$4:$F$4,0),$G77+(1-$G77)/(5-MATCH($D77,$B$4:$F$4,0)+1),(1-$G77)/(5-MATCH($D77,$B$4:$F$4,0)+1))))),0)</f>
        <v>0</v>
      </c>
    </row>
    <row r="78" customFormat="false" ht="14.25" hidden="false" customHeight="true" outlineLevel="0" collapsed="false">
      <c r="A78" s="139" t="n">
        <f aca="false">WP_상세!A75</f>
        <v>71</v>
      </c>
      <c r="B78" s="139" t="str">
        <f aca="false">WP_상세!B75</f>
        <v>SYS.4</v>
      </c>
      <c r="C78" s="139" t="str">
        <f aca="false">WP_상세!F75</f>
        <v>Verification Results / 시스템 통합/통합검증 결과서</v>
      </c>
      <c r="D78" s="139" t="str">
        <f aca="false">WP_상세!G75</f>
        <v>P1</v>
      </c>
      <c r="E78" s="139" t="str">
        <f aca="false">WP_상세!H75</f>
        <v>Discrete</v>
      </c>
      <c r="F78" s="139" t="str">
        <f aca="false">WP_상세!I75</f>
        <v>N</v>
      </c>
      <c r="G78" s="140" t="n">
        <f aca="false">WP_상세!J75</f>
        <v>1</v>
      </c>
      <c r="H78" s="141" t="n">
        <f aca="false">IFERROR(IF($E78&lt;&gt;"Discrete",0,IF(1&lt;MATCH($D78,$B$4:$F$4,0),0,IF($F78&lt;&gt;"Y",IF(1=MATCH($D78,$B$4:$F$4,0),1,0),IF(1=MATCH($D78,$B$4:$F$4,0),$G78+(1-$G78)/(5-MATCH($D78,$B$4:$F$4,0)+1),(1-$G78)/(5-MATCH($D78,$B$4:$F$4,0)+1))))),0)</f>
        <v>0</v>
      </c>
      <c r="I78" s="141" t="n">
        <f aca="false">IFERROR(IF($E78&lt;&gt;"Discrete",0,IF(2&lt;MATCH($D78,$B$4:$F$4,0),0,IF($F78&lt;&gt;"Y",IF(2=MATCH($D78,$B$4:$F$4,0),1,0),IF(2=MATCH($D78,$B$4:$F$4,0),$G78+(1-$G78)/(5-MATCH($D78,$B$4:$F$4,0)+1),(1-$G78)/(5-MATCH($D78,$B$4:$F$4,0)+1))))),0)</f>
        <v>0</v>
      </c>
      <c r="J78" s="141" t="n">
        <f aca="false">IFERROR(IF($E78&lt;&gt;"Discrete",0,IF(3&lt;MATCH($D78,$B$4:$F$4,0),0,IF($F78&lt;&gt;"Y",IF(3=MATCH($D78,$B$4:$F$4,0),1,0),IF(3=MATCH($D78,$B$4:$F$4,0),$G78+(1-$G78)/(5-MATCH($D78,$B$4:$F$4,0)+1),(1-$G78)/(5-MATCH($D78,$B$4:$F$4,0)+1))))),0)</f>
        <v>1</v>
      </c>
      <c r="K78" s="141" t="n">
        <f aca="false">IFERROR(IF($E78&lt;&gt;"Discrete",0,IF(4&lt;MATCH($D78,$B$4:$F$4,0),0,IF($F78&lt;&gt;"Y",IF(4=MATCH($D78,$B$4:$F$4,0),1,0),IF(4=MATCH($D78,$B$4:$F$4,0),$G78+(1-$G78)/(5-MATCH($D78,$B$4:$F$4,0)+1),(1-$G78)/(5-MATCH($D78,$B$4:$F$4,0)+1))))),0)</f>
        <v>0</v>
      </c>
      <c r="L78" s="141" t="n">
        <f aca="false">IFERROR(IF($E78&lt;&gt;"Discrete",0,IF(5&lt;MATCH($D78,$B$4:$F$4,0),0,IF($F78&lt;&gt;"Y",IF(5=MATCH($D78,$B$4:$F$4,0),1,0),IF(5=MATCH($D78,$B$4:$F$4,0),$G78+(1-$G78)/(5-MATCH($D78,$B$4:$F$4,0)+1),(1-$G78)/(5-MATCH($D78,$B$4:$F$4,0)+1))))),0)</f>
        <v>0</v>
      </c>
    </row>
    <row r="79" customFormat="false" ht="14.25" hidden="false" customHeight="true" outlineLevel="0" collapsed="false">
      <c r="A79" s="139" t="n">
        <f aca="false">WP_상세!A76</f>
        <v>72</v>
      </c>
      <c r="B79" s="139" t="str">
        <f aca="false">WP_상세!B76</f>
        <v>SYS.4</v>
      </c>
      <c r="C79" s="139" t="str">
        <f aca="false">WP_상세!F76</f>
        <v>Consistency Evidence / 검증방안-시스템아키텍처/검증결과 추적성 매트릭스</v>
      </c>
      <c r="D79" s="139" t="str">
        <f aca="false">WP_상세!G76</f>
        <v>P1</v>
      </c>
      <c r="E79" s="139" t="str">
        <f aca="false">WP_상세!H76</f>
        <v>Discrete</v>
      </c>
      <c r="F79" s="139" t="str">
        <f aca="false">WP_상세!I76</f>
        <v>N</v>
      </c>
      <c r="G79" s="140" t="n">
        <f aca="false">WP_상세!J76</f>
        <v>1</v>
      </c>
      <c r="H79" s="141" t="n">
        <f aca="false">IFERROR(IF($E79&lt;&gt;"Discrete",0,IF(1&lt;MATCH($D79,$B$4:$F$4,0),0,IF($F79&lt;&gt;"Y",IF(1=MATCH($D79,$B$4:$F$4,0),1,0),IF(1=MATCH($D79,$B$4:$F$4,0),$G79+(1-$G79)/(5-MATCH($D79,$B$4:$F$4,0)+1),(1-$G79)/(5-MATCH($D79,$B$4:$F$4,0)+1))))),0)</f>
        <v>0</v>
      </c>
      <c r="I79" s="141" t="n">
        <f aca="false">IFERROR(IF($E79&lt;&gt;"Discrete",0,IF(2&lt;MATCH($D79,$B$4:$F$4,0),0,IF($F79&lt;&gt;"Y",IF(2=MATCH($D79,$B$4:$F$4,0),1,0),IF(2=MATCH($D79,$B$4:$F$4,0),$G79+(1-$G79)/(5-MATCH($D79,$B$4:$F$4,0)+1),(1-$G79)/(5-MATCH($D79,$B$4:$F$4,0)+1))))),0)</f>
        <v>0</v>
      </c>
      <c r="J79" s="141" t="n">
        <f aca="false">IFERROR(IF($E79&lt;&gt;"Discrete",0,IF(3&lt;MATCH($D79,$B$4:$F$4,0),0,IF($F79&lt;&gt;"Y",IF(3=MATCH($D79,$B$4:$F$4,0),1,0),IF(3=MATCH($D79,$B$4:$F$4,0),$G79+(1-$G79)/(5-MATCH($D79,$B$4:$F$4,0)+1),(1-$G79)/(5-MATCH($D79,$B$4:$F$4,0)+1))))),0)</f>
        <v>1</v>
      </c>
      <c r="K79" s="141" t="n">
        <f aca="false">IFERROR(IF($E79&lt;&gt;"Discrete",0,IF(4&lt;MATCH($D79,$B$4:$F$4,0),0,IF($F79&lt;&gt;"Y",IF(4=MATCH($D79,$B$4:$F$4,0),1,0),IF(4=MATCH($D79,$B$4:$F$4,0),$G79+(1-$G79)/(5-MATCH($D79,$B$4:$F$4,0)+1),(1-$G79)/(5-MATCH($D79,$B$4:$F$4,0)+1))))),0)</f>
        <v>0</v>
      </c>
      <c r="L79" s="141" t="n">
        <f aca="false">IFERROR(IF($E79&lt;&gt;"Discrete",0,IF(5&lt;MATCH($D79,$B$4:$F$4,0),0,IF($F79&lt;&gt;"Y",IF(5=MATCH($D79,$B$4:$F$4,0),1,0),IF(5=MATCH($D79,$B$4:$F$4,0),$G79+(1-$G79)/(5-MATCH($D79,$B$4:$F$4,0)+1),(1-$G79)/(5-MATCH($D79,$B$4:$F$4,0)+1))))),0)</f>
        <v>0</v>
      </c>
    </row>
    <row r="80" customFormat="false" ht="14.25" hidden="false" customHeight="true" outlineLevel="0" collapsed="false">
      <c r="A80" s="139" t="n">
        <f aca="false">WP_상세!A77</f>
        <v>73</v>
      </c>
      <c r="B80" s="139" t="str">
        <f aca="false">WP_상세!B77</f>
        <v>SYS.4</v>
      </c>
      <c r="C80" s="139" t="str">
        <f aca="false">WP_상세!F77</f>
        <v>Communication Evidence / 시스템 통합검증 결과 요약보고서</v>
      </c>
      <c r="D80" s="139" t="str">
        <f aca="false">WP_상세!G77</f>
        <v>P1</v>
      </c>
      <c r="E80" s="139" t="str">
        <f aca="false">WP_상세!H77</f>
        <v>Discrete</v>
      </c>
      <c r="F80" s="139" t="str">
        <f aca="false">WP_상세!I77</f>
        <v>N</v>
      </c>
      <c r="G80" s="140" t="n">
        <f aca="false">WP_상세!J77</f>
        <v>1</v>
      </c>
      <c r="H80" s="141" t="n">
        <f aca="false">IFERROR(IF($E80&lt;&gt;"Discrete",0,IF(1&lt;MATCH($D80,$B$4:$F$4,0),0,IF($F80&lt;&gt;"Y",IF(1=MATCH($D80,$B$4:$F$4,0),1,0),IF(1=MATCH($D80,$B$4:$F$4,0),$G80+(1-$G80)/(5-MATCH($D80,$B$4:$F$4,0)+1),(1-$G80)/(5-MATCH($D80,$B$4:$F$4,0)+1))))),0)</f>
        <v>0</v>
      </c>
      <c r="I80" s="141" t="n">
        <f aca="false">IFERROR(IF($E80&lt;&gt;"Discrete",0,IF(2&lt;MATCH($D80,$B$4:$F$4,0),0,IF($F80&lt;&gt;"Y",IF(2=MATCH($D80,$B$4:$F$4,0),1,0),IF(2=MATCH($D80,$B$4:$F$4,0),$G80+(1-$G80)/(5-MATCH($D80,$B$4:$F$4,0)+1),(1-$G80)/(5-MATCH($D80,$B$4:$F$4,0)+1))))),0)</f>
        <v>0</v>
      </c>
      <c r="J80" s="141" t="n">
        <f aca="false">IFERROR(IF($E80&lt;&gt;"Discrete",0,IF(3&lt;MATCH($D80,$B$4:$F$4,0),0,IF($F80&lt;&gt;"Y",IF(3=MATCH($D80,$B$4:$F$4,0),1,0),IF(3=MATCH($D80,$B$4:$F$4,0),$G80+(1-$G80)/(5-MATCH($D80,$B$4:$F$4,0)+1),(1-$G80)/(5-MATCH($D80,$B$4:$F$4,0)+1))))),0)</f>
        <v>1</v>
      </c>
      <c r="K80" s="141" t="n">
        <f aca="false">IFERROR(IF($E80&lt;&gt;"Discrete",0,IF(4&lt;MATCH($D80,$B$4:$F$4,0),0,IF($F80&lt;&gt;"Y",IF(4=MATCH($D80,$B$4:$F$4,0),1,0),IF(4=MATCH($D80,$B$4:$F$4,0),$G80+(1-$G80)/(5-MATCH($D80,$B$4:$F$4,0)+1),(1-$G80)/(5-MATCH($D80,$B$4:$F$4,0)+1))))),0)</f>
        <v>0</v>
      </c>
      <c r="L80" s="141" t="n">
        <f aca="false">IFERROR(IF($E80&lt;&gt;"Discrete",0,IF(5&lt;MATCH($D80,$B$4:$F$4,0),0,IF($F80&lt;&gt;"Y",IF(5=MATCH($D80,$B$4:$F$4,0),1,0),IF(5=MATCH($D80,$B$4:$F$4,0),$G80+(1-$G80)/(5-MATCH($D80,$B$4:$F$4,0)+1),(1-$G80)/(5-MATCH($D80,$B$4:$F$4,0)+1))))),0)</f>
        <v>0</v>
      </c>
    </row>
    <row r="81" customFormat="false" ht="14.25" hidden="false" customHeight="true" outlineLevel="0" collapsed="false">
      <c r="A81" s="139" t="n">
        <f aca="false">WP_상세!A78</f>
        <v>74</v>
      </c>
      <c r="B81" s="139" t="str">
        <f aca="false">WP_상세!B78</f>
        <v>SYS.5</v>
      </c>
      <c r="C81" s="139" t="str">
        <f aca="false">WP_상세!F78</f>
        <v>Verification Measure / 시스템 검증방안서</v>
      </c>
      <c r="D81" s="139" t="str">
        <f aca="false">WP_상세!G78</f>
        <v>P1</v>
      </c>
      <c r="E81" s="139" t="str">
        <f aca="false">WP_상세!H78</f>
        <v>Discrete</v>
      </c>
      <c r="F81" s="139" t="str">
        <f aca="false">WP_상세!I78</f>
        <v>N</v>
      </c>
      <c r="G81" s="140" t="n">
        <f aca="false">WP_상세!J78</f>
        <v>1</v>
      </c>
      <c r="H81" s="141" t="n">
        <f aca="false">IFERROR(IF($E81&lt;&gt;"Discrete",0,IF(1&lt;MATCH($D81,$B$4:$F$4,0),0,IF($F81&lt;&gt;"Y",IF(1=MATCH($D81,$B$4:$F$4,0),1,0),IF(1=MATCH($D81,$B$4:$F$4,0),$G81+(1-$G81)/(5-MATCH($D81,$B$4:$F$4,0)+1),(1-$G81)/(5-MATCH($D81,$B$4:$F$4,0)+1))))),0)</f>
        <v>0</v>
      </c>
      <c r="I81" s="141" t="n">
        <f aca="false">IFERROR(IF($E81&lt;&gt;"Discrete",0,IF(2&lt;MATCH($D81,$B$4:$F$4,0),0,IF($F81&lt;&gt;"Y",IF(2=MATCH($D81,$B$4:$F$4,0),1,0),IF(2=MATCH($D81,$B$4:$F$4,0),$G81+(1-$G81)/(5-MATCH($D81,$B$4:$F$4,0)+1),(1-$G81)/(5-MATCH($D81,$B$4:$F$4,0)+1))))),0)</f>
        <v>0</v>
      </c>
      <c r="J81" s="141" t="n">
        <f aca="false">IFERROR(IF($E81&lt;&gt;"Discrete",0,IF(3&lt;MATCH($D81,$B$4:$F$4,0),0,IF($F81&lt;&gt;"Y",IF(3=MATCH($D81,$B$4:$F$4,0),1,0),IF(3=MATCH($D81,$B$4:$F$4,0),$G81+(1-$G81)/(5-MATCH($D81,$B$4:$F$4,0)+1),(1-$G81)/(5-MATCH($D81,$B$4:$F$4,0)+1))))),0)</f>
        <v>1</v>
      </c>
      <c r="K81" s="141" t="n">
        <f aca="false">IFERROR(IF($E81&lt;&gt;"Discrete",0,IF(4&lt;MATCH($D81,$B$4:$F$4,0),0,IF($F81&lt;&gt;"Y",IF(4=MATCH($D81,$B$4:$F$4,0),1,0),IF(4=MATCH($D81,$B$4:$F$4,0),$G81+(1-$G81)/(5-MATCH($D81,$B$4:$F$4,0)+1),(1-$G81)/(5-MATCH($D81,$B$4:$F$4,0)+1))))),0)</f>
        <v>0</v>
      </c>
      <c r="L81" s="141" t="n">
        <f aca="false">IFERROR(IF($E81&lt;&gt;"Discrete",0,IF(5&lt;MATCH($D81,$B$4:$F$4,0),0,IF($F81&lt;&gt;"Y",IF(5=MATCH($D81,$B$4:$F$4,0),1,0),IF(5=MATCH($D81,$B$4:$F$4,0),$G81+(1-$G81)/(5-MATCH($D81,$B$4:$F$4,0)+1),(1-$G81)/(5-MATCH($D81,$B$4:$F$4,0)+1))))),0)</f>
        <v>0</v>
      </c>
    </row>
    <row r="82" customFormat="false" ht="14.25" hidden="false" customHeight="true" outlineLevel="0" collapsed="false">
      <c r="A82" s="139" t="n">
        <f aca="false">WP_상세!A79</f>
        <v>75</v>
      </c>
      <c r="B82" s="139" t="str">
        <f aca="false">WP_상세!B79</f>
        <v>SYS.5</v>
      </c>
      <c r="C82" s="139" t="str">
        <f aca="false">WP_상세!F79</f>
        <v>Verification Measure Selection Set / 시스템검증 방안 선정목록</v>
      </c>
      <c r="D82" s="139" t="str">
        <f aca="false">WP_상세!G79</f>
        <v>P1</v>
      </c>
      <c r="E82" s="139" t="str">
        <f aca="false">WP_상세!H79</f>
        <v>Discrete</v>
      </c>
      <c r="F82" s="139" t="str">
        <f aca="false">WP_상세!I79</f>
        <v>N</v>
      </c>
      <c r="G82" s="140" t="n">
        <f aca="false">WP_상세!J79</f>
        <v>1</v>
      </c>
      <c r="H82" s="141" t="n">
        <f aca="false">IFERROR(IF($E82&lt;&gt;"Discrete",0,IF(1&lt;MATCH($D82,$B$4:$F$4,0),0,IF($F82&lt;&gt;"Y",IF(1=MATCH($D82,$B$4:$F$4,0),1,0),IF(1=MATCH($D82,$B$4:$F$4,0),$G82+(1-$G82)/(5-MATCH($D82,$B$4:$F$4,0)+1),(1-$G82)/(5-MATCH($D82,$B$4:$F$4,0)+1))))),0)</f>
        <v>0</v>
      </c>
      <c r="I82" s="141" t="n">
        <f aca="false">IFERROR(IF($E82&lt;&gt;"Discrete",0,IF(2&lt;MATCH($D82,$B$4:$F$4,0),0,IF($F82&lt;&gt;"Y",IF(2=MATCH($D82,$B$4:$F$4,0),1,0),IF(2=MATCH($D82,$B$4:$F$4,0),$G82+(1-$G82)/(5-MATCH($D82,$B$4:$F$4,0)+1),(1-$G82)/(5-MATCH($D82,$B$4:$F$4,0)+1))))),0)</f>
        <v>0</v>
      </c>
      <c r="J82" s="141" t="n">
        <f aca="false">IFERROR(IF($E82&lt;&gt;"Discrete",0,IF(3&lt;MATCH($D82,$B$4:$F$4,0),0,IF($F82&lt;&gt;"Y",IF(3=MATCH($D82,$B$4:$F$4,0),1,0),IF(3=MATCH($D82,$B$4:$F$4,0),$G82+(1-$G82)/(5-MATCH($D82,$B$4:$F$4,0)+1),(1-$G82)/(5-MATCH($D82,$B$4:$F$4,0)+1))))),0)</f>
        <v>1</v>
      </c>
      <c r="K82" s="141" t="n">
        <f aca="false">IFERROR(IF($E82&lt;&gt;"Discrete",0,IF(4&lt;MATCH($D82,$B$4:$F$4,0),0,IF($F82&lt;&gt;"Y",IF(4=MATCH($D82,$B$4:$F$4,0),1,0),IF(4=MATCH($D82,$B$4:$F$4,0),$G82+(1-$G82)/(5-MATCH($D82,$B$4:$F$4,0)+1),(1-$G82)/(5-MATCH($D82,$B$4:$F$4,0)+1))))),0)</f>
        <v>0</v>
      </c>
      <c r="L82" s="141" t="n">
        <f aca="false">IFERROR(IF($E82&lt;&gt;"Discrete",0,IF(5&lt;MATCH($D82,$B$4:$F$4,0),0,IF($F82&lt;&gt;"Y",IF(5=MATCH($D82,$B$4:$F$4,0),1,0),IF(5=MATCH($D82,$B$4:$F$4,0),$G82+(1-$G82)/(5-MATCH($D82,$B$4:$F$4,0)+1),(1-$G82)/(5-MATCH($D82,$B$4:$F$4,0)+1))))),0)</f>
        <v>0</v>
      </c>
    </row>
    <row r="83" customFormat="false" ht="14.25" hidden="false" customHeight="true" outlineLevel="0" collapsed="false">
      <c r="A83" s="139" t="n">
        <f aca="false">WP_상세!A80</f>
        <v>76</v>
      </c>
      <c r="B83" s="139" t="str">
        <f aca="false">WP_상세!B80</f>
        <v>SYS.5</v>
      </c>
      <c r="C83" s="139" t="str">
        <f aca="false">WP_상세!F80</f>
        <v>Verification Results / 시스템 검증결과서</v>
      </c>
      <c r="D83" s="139" t="str">
        <f aca="false">WP_상세!G80</f>
        <v>P2</v>
      </c>
      <c r="E83" s="139" t="str">
        <f aca="false">WP_상세!H80</f>
        <v>Discrete</v>
      </c>
      <c r="F83" s="139" t="str">
        <f aca="false">WP_상세!I80</f>
        <v>N</v>
      </c>
      <c r="G83" s="140" t="n">
        <f aca="false">WP_상세!J80</f>
        <v>1</v>
      </c>
      <c r="H83" s="141" t="n">
        <f aca="false">IFERROR(IF($E83&lt;&gt;"Discrete",0,IF(1&lt;MATCH($D83,$B$4:$F$4,0),0,IF($F83&lt;&gt;"Y",IF(1=MATCH($D83,$B$4:$F$4,0),1,0),IF(1=MATCH($D83,$B$4:$F$4,0),$G83+(1-$G83)/(5-MATCH($D83,$B$4:$F$4,0)+1),(1-$G83)/(5-MATCH($D83,$B$4:$F$4,0)+1))))),0)</f>
        <v>0</v>
      </c>
      <c r="I83" s="141" t="n">
        <f aca="false">IFERROR(IF($E83&lt;&gt;"Discrete",0,IF(2&lt;MATCH($D83,$B$4:$F$4,0),0,IF($F83&lt;&gt;"Y",IF(2=MATCH($D83,$B$4:$F$4,0),1,0),IF(2=MATCH($D83,$B$4:$F$4,0),$G83+(1-$G83)/(5-MATCH($D83,$B$4:$F$4,0)+1),(1-$G83)/(5-MATCH($D83,$B$4:$F$4,0)+1))))),0)</f>
        <v>0</v>
      </c>
      <c r="J83" s="141" t="n">
        <f aca="false">IFERROR(IF($E83&lt;&gt;"Discrete",0,IF(3&lt;MATCH($D83,$B$4:$F$4,0),0,IF($F83&lt;&gt;"Y",IF(3=MATCH($D83,$B$4:$F$4,0),1,0),IF(3=MATCH($D83,$B$4:$F$4,0),$G83+(1-$G83)/(5-MATCH($D83,$B$4:$F$4,0)+1),(1-$G83)/(5-MATCH($D83,$B$4:$F$4,0)+1))))),0)</f>
        <v>0</v>
      </c>
      <c r="K83" s="141" t="n">
        <f aca="false">IFERROR(IF($E83&lt;&gt;"Discrete",0,IF(4&lt;MATCH($D83,$B$4:$F$4,0),0,IF($F83&lt;&gt;"Y",IF(4=MATCH($D83,$B$4:$F$4,0),1,0),IF(4=MATCH($D83,$B$4:$F$4,0),$G83+(1-$G83)/(5-MATCH($D83,$B$4:$F$4,0)+1),(1-$G83)/(5-MATCH($D83,$B$4:$F$4,0)+1))))),0)</f>
        <v>1</v>
      </c>
      <c r="L83" s="141" t="n">
        <f aca="false">IFERROR(IF($E83&lt;&gt;"Discrete",0,IF(5&lt;MATCH($D83,$B$4:$F$4,0),0,IF($F83&lt;&gt;"Y",IF(5=MATCH($D83,$B$4:$F$4,0),1,0),IF(5=MATCH($D83,$B$4:$F$4,0),$G83+(1-$G83)/(5-MATCH($D83,$B$4:$F$4,0)+1),(1-$G83)/(5-MATCH($D83,$B$4:$F$4,0)+1))))),0)</f>
        <v>0</v>
      </c>
    </row>
    <row r="84" customFormat="false" ht="14.25" hidden="false" customHeight="true" outlineLevel="0" collapsed="false">
      <c r="A84" s="139" t="n">
        <f aca="false">WP_상세!A81</f>
        <v>77</v>
      </c>
      <c r="B84" s="139" t="str">
        <f aca="false">WP_상세!B81</f>
        <v>SYS.5</v>
      </c>
      <c r="C84" s="139" t="str">
        <f aca="false">WP_상세!F81</f>
        <v>Consistency Evidence / 검증방안-시스템요구사항/검증결과 추적성 매트릭스</v>
      </c>
      <c r="D84" s="139" t="str">
        <f aca="false">WP_상세!G81</f>
        <v>P2</v>
      </c>
      <c r="E84" s="139" t="str">
        <f aca="false">WP_상세!H81</f>
        <v>Discrete</v>
      </c>
      <c r="F84" s="139" t="str">
        <f aca="false">WP_상세!I81</f>
        <v>N</v>
      </c>
      <c r="G84" s="140" t="n">
        <f aca="false">WP_상세!J81</f>
        <v>1</v>
      </c>
      <c r="H84" s="141" t="n">
        <f aca="false">IFERROR(IF($E84&lt;&gt;"Discrete",0,IF(1&lt;MATCH($D84,$B$4:$F$4,0),0,IF($F84&lt;&gt;"Y",IF(1=MATCH($D84,$B$4:$F$4,0),1,0),IF(1=MATCH($D84,$B$4:$F$4,0),$G84+(1-$G84)/(5-MATCH($D84,$B$4:$F$4,0)+1),(1-$G84)/(5-MATCH($D84,$B$4:$F$4,0)+1))))),0)</f>
        <v>0</v>
      </c>
      <c r="I84" s="141" t="n">
        <f aca="false">IFERROR(IF($E84&lt;&gt;"Discrete",0,IF(2&lt;MATCH($D84,$B$4:$F$4,0),0,IF($F84&lt;&gt;"Y",IF(2=MATCH($D84,$B$4:$F$4,0),1,0),IF(2=MATCH($D84,$B$4:$F$4,0),$G84+(1-$G84)/(5-MATCH($D84,$B$4:$F$4,0)+1),(1-$G84)/(5-MATCH($D84,$B$4:$F$4,0)+1))))),0)</f>
        <v>0</v>
      </c>
      <c r="J84" s="141" t="n">
        <f aca="false">IFERROR(IF($E84&lt;&gt;"Discrete",0,IF(3&lt;MATCH($D84,$B$4:$F$4,0),0,IF($F84&lt;&gt;"Y",IF(3=MATCH($D84,$B$4:$F$4,0),1,0),IF(3=MATCH($D84,$B$4:$F$4,0),$G84+(1-$G84)/(5-MATCH($D84,$B$4:$F$4,0)+1),(1-$G84)/(5-MATCH($D84,$B$4:$F$4,0)+1))))),0)</f>
        <v>0</v>
      </c>
      <c r="K84" s="141" t="n">
        <f aca="false">IFERROR(IF($E84&lt;&gt;"Discrete",0,IF(4&lt;MATCH($D84,$B$4:$F$4,0),0,IF($F84&lt;&gt;"Y",IF(4=MATCH($D84,$B$4:$F$4,0),1,0),IF(4=MATCH($D84,$B$4:$F$4,0),$G84+(1-$G84)/(5-MATCH($D84,$B$4:$F$4,0)+1),(1-$G84)/(5-MATCH($D84,$B$4:$F$4,0)+1))))),0)</f>
        <v>1</v>
      </c>
      <c r="L84" s="141" t="n">
        <f aca="false">IFERROR(IF($E84&lt;&gt;"Discrete",0,IF(5&lt;MATCH($D84,$B$4:$F$4,0),0,IF($F84&lt;&gt;"Y",IF(5=MATCH($D84,$B$4:$F$4,0),1,0),IF(5=MATCH($D84,$B$4:$F$4,0),$G84+(1-$G84)/(5-MATCH($D84,$B$4:$F$4,0)+1),(1-$G84)/(5-MATCH($D84,$B$4:$F$4,0)+1))))),0)</f>
        <v>0</v>
      </c>
    </row>
    <row r="85" customFormat="false" ht="14.25" hidden="false" customHeight="true" outlineLevel="0" collapsed="false">
      <c r="A85" s="139" t="n">
        <f aca="false">WP_상세!A82</f>
        <v>78</v>
      </c>
      <c r="B85" s="139" t="str">
        <f aca="false">WP_상세!B82</f>
        <v>SYS.5</v>
      </c>
      <c r="C85" s="139" t="str">
        <f aca="false">WP_상세!F82</f>
        <v>Communication Evidence / 시스템 검증결과 요약보고서</v>
      </c>
      <c r="D85" s="139" t="str">
        <f aca="false">WP_상세!G82</f>
        <v>P2</v>
      </c>
      <c r="E85" s="139" t="str">
        <f aca="false">WP_상세!H82</f>
        <v>Discrete</v>
      </c>
      <c r="F85" s="139" t="str">
        <f aca="false">WP_상세!I82</f>
        <v>N</v>
      </c>
      <c r="G85" s="140" t="n">
        <f aca="false">WP_상세!J82</f>
        <v>1</v>
      </c>
      <c r="H85" s="141" t="n">
        <f aca="false">IFERROR(IF($E85&lt;&gt;"Discrete",0,IF(1&lt;MATCH($D85,$B$4:$F$4,0),0,IF($F85&lt;&gt;"Y",IF(1=MATCH($D85,$B$4:$F$4,0),1,0),IF(1=MATCH($D85,$B$4:$F$4,0),$G85+(1-$G85)/(5-MATCH($D85,$B$4:$F$4,0)+1),(1-$G85)/(5-MATCH($D85,$B$4:$F$4,0)+1))))),0)</f>
        <v>0</v>
      </c>
      <c r="I85" s="141" t="n">
        <f aca="false">IFERROR(IF($E85&lt;&gt;"Discrete",0,IF(2&lt;MATCH($D85,$B$4:$F$4,0),0,IF($F85&lt;&gt;"Y",IF(2=MATCH($D85,$B$4:$F$4,0),1,0),IF(2=MATCH($D85,$B$4:$F$4,0),$G85+(1-$G85)/(5-MATCH($D85,$B$4:$F$4,0)+1),(1-$G85)/(5-MATCH($D85,$B$4:$F$4,0)+1))))),0)</f>
        <v>0</v>
      </c>
      <c r="J85" s="141" t="n">
        <f aca="false">IFERROR(IF($E85&lt;&gt;"Discrete",0,IF(3&lt;MATCH($D85,$B$4:$F$4,0),0,IF($F85&lt;&gt;"Y",IF(3=MATCH($D85,$B$4:$F$4,0),1,0),IF(3=MATCH($D85,$B$4:$F$4,0),$G85+(1-$G85)/(5-MATCH($D85,$B$4:$F$4,0)+1),(1-$G85)/(5-MATCH($D85,$B$4:$F$4,0)+1))))),0)</f>
        <v>0</v>
      </c>
      <c r="K85" s="141" t="n">
        <f aca="false">IFERROR(IF($E85&lt;&gt;"Discrete",0,IF(4&lt;MATCH($D85,$B$4:$F$4,0),0,IF($F85&lt;&gt;"Y",IF(4=MATCH($D85,$B$4:$F$4,0),1,0),IF(4=MATCH($D85,$B$4:$F$4,0),$G85+(1-$G85)/(5-MATCH($D85,$B$4:$F$4,0)+1),(1-$G85)/(5-MATCH($D85,$B$4:$F$4,0)+1))))),0)</f>
        <v>1</v>
      </c>
      <c r="L85" s="141" t="n">
        <f aca="false">IFERROR(IF($E85&lt;&gt;"Discrete",0,IF(5&lt;MATCH($D85,$B$4:$F$4,0),0,IF($F85&lt;&gt;"Y",IF(5=MATCH($D85,$B$4:$F$4,0),1,0),IF(5=MATCH($D85,$B$4:$F$4,0),$G85+(1-$G85)/(5-MATCH($D85,$B$4:$F$4,0)+1),(1-$G85)/(5-MATCH($D85,$B$4:$F$4,0)+1))))),0)</f>
        <v>0</v>
      </c>
    </row>
    <row r="86" customFormat="false" ht="14.25" hidden="false" customHeight="true" outlineLevel="0" collapsed="false">
      <c r="A86" s="139" t="n">
        <f aca="false">WP_상세!A83</f>
        <v>79</v>
      </c>
      <c r="B86" s="139" t="str">
        <f aca="false">WP_상세!B83</f>
        <v>SWE.1</v>
      </c>
      <c r="C86" s="139" t="str">
        <f aca="false">WP_상세!F83</f>
        <v>Requirement / 소프트웨어 요구사항 명세서</v>
      </c>
      <c r="D86" s="139" t="str">
        <f aca="false">WP_상세!G83</f>
        <v>M-Car</v>
      </c>
      <c r="E86" s="139" t="str">
        <f aca="false">WP_상세!H83</f>
        <v>Discrete</v>
      </c>
      <c r="F86" s="139" t="str">
        <f aca="false">WP_상세!I83</f>
        <v>Y</v>
      </c>
      <c r="G86" s="140" t="n">
        <f aca="false">WP_상세!J83</f>
        <v>0.4</v>
      </c>
      <c r="H86" s="141" t="n">
        <f aca="false">IFERROR(IF($E86&lt;&gt;"Discrete",0,IF(1&lt;MATCH($D86,$B$4:$F$4,0),0,IF($F86&lt;&gt;"Y",IF(1=MATCH($D86,$B$4:$F$4,0),1,0),IF(1=MATCH($D86,$B$4:$F$4,0),$G86+(1-$G86)/(5-MATCH($D86,$B$4:$F$4,0)+1),(1-$G86)/(5-MATCH($D86,$B$4:$F$4,0)+1))))),0)</f>
        <v>0.52</v>
      </c>
      <c r="I86" s="141" t="n">
        <f aca="false">IFERROR(IF($E86&lt;&gt;"Discrete",0,IF(2&lt;MATCH($D86,$B$4:$F$4,0),0,IF($F86&lt;&gt;"Y",IF(2=MATCH($D86,$B$4:$F$4,0),1,0),IF(2=MATCH($D86,$B$4:$F$4,0),$G86+(1-$G86)/(5-MATCH($D86,$B$4:$F$4,0)+1),(1-$G86)/(5-MATCH($D86,$B$4:$F$4,0)+1))))),0)</f>
        <v>0.12</v>
      </c>
      <c r="J86" s="141" t="n">
        <f aca="false">IFERROR(IF($E86&lt;&gt;"Discrete",0,IF(3&lt;MATCH($D86,$B$4:$F$4,0),0,IF($F86&lt;&gt;"Y",IF(3=MATCH($D86,$B$4:$F$4,0),1,0),IF(3=MATCH($D86,$B$4:$F$4,0),$G86+(1-$G86)/(5-MATCH($D86,$B$4:$F$4,0)+1),(1-$G86)/(5-MATCH($D86,$B$4:$F$4,0)+1))))),0)</f>
        <v>0.12</v>
      </c>
      <c r="K86" s="141" t="n">
        <f aca="false">IFERROR(IF($E86&lt;&gt;"Discrete",0,IF(4&lt;MATCH($D86,$B$4:$F$4,0),0,IF($F86&lt;&gt;"Y",IF(4=MATCH($D86,$B$4:$F$4,0),1,0),IF(4=MATCH($D86,$B$4:$F$4,0),$G86+(1-$G86)/(5-MATCH($D86,$B$4:$F$4,0)+1),(1-$G86)/(5-MATCH($D86,$B$4:$F$4,0)+1))))),0)</f>
        <v>0.12</v>
      </c>
      <c r="L86" s="141" t="n">
        <f aca="false">IFERROR(IF($E86&lt;&gt;"Discrete",0,IF(5&lt;MATCH($D86,$B$4:$F$4,0),0,IF($F86&lt;&gt;"Y",IF(5=MATCH($D86,$B$4:$F$4,0),1,0),IF(5=MATCH($D86,$B$4:$F$4,0),$G86+(1-$G86)/(5-MATCH($D86,$B$4:$F$4,0)+1),(1-$G86)/(5-MATCH($D86,$B$4:$F$4,0)+1))))),0)</f>
        <v>0.12</v>
      </c>
    </row>
    <row r="87" customFormat="false" ht="14.25" hidden="false" customHeight="true" outlineLevel="0" collapsed="false">
      <c r="A87" s="139" t="n">
        <f aca="false">WP_상세!A84</f>
        <v>80</v>
      </c>
      <c r="B87" s="139" t="str">
        <f aca="false">WP_상세!B84</f>
        <v>SWE.1</v>
      </c>
      <c r="C87" s="139" t="str">
        <f aca="false">WP_상세!F84</f>
        <v>Requirement Attribute / 소프트웨어 요구사항 구조화/우선순위 문서</v>
      </c>
      <c r="D87" s="139" t="str">
        <f aca="false">WP_상세!G84</f>
        <v>M-Car</v>
      </c>
      <c r="E87" s="139" t="str">
        <f aca="false">WP_상세!H84</f>
        <v>Discrete</v>
      </c>
      <c r="F87" s="139" t="str">
        <f aca="false">WP_상세!I84</f>
        <v>Y</v>
      </c>
      <c r="G87" s="140" t="n">
        <f aca="false">WP_상세!J84</f>
        <v>0.4</v>
      </c>
      <c r="H87" s="141" t="n">
        <f aca="false">IFERROR(IF($E87&lt;&gt;"Discrete",0,IF(1&lt;MATCH($D87,$B$4:$F$4,0),0,IF($F87&lt;&gt;"Y",IF(1=MATCH($D87,$B$4:$F$4,0),1,0),IF(1=MATCH($D87,$B$4:$F$4,0),$G87+(1-$G87)/(5-MATCH($D87,$B$4:$F$4,0)+1),(1-$G87)/(5-MATCH($D87,$B$4:$F$4,0)+1))))),0)</f>
        <v>0.52</v>
      </c>
      <c r="I87" s="141" t="n">
        <f aca="false">IFERROR(IF($E87&lt;&gt;"Discrete",0,IF(2&lt;MATCH($D87,$B$4:$F$4,0),0,IF($F87&lt;&gt;"Y",IF(2=MATCH($D87,$B$4:$F$4,0),1,0),IF(2=MATCH($D87,$B$4:$F$4,0),$G87+(1-$G87)/(5-MATCH($D87,$B$4:$F$4,0)+1),(1-$G87)/(5-MATCH($D87,$B$4:$F$4,0)+1))))),0)</f>
        <v>0.12</v>
      </c>
      <c r="J87" s="141" t="n">
        <f aca="false">IFERROR(IF($E87&lt;&gt;"Discrete",0,IF(3&lt;MATCH($D87,$B$4:$F$4,0),0,IF($F87&lt;&gt;"Y",IF(3=MATCH($D87,$B$4:$F$4,0),1,0),IF(3=MATCH($D87,$B$4:$F$4,0),$G87+(1-$G87)/(5-MATCH($D87,$B$4:$F$4,0)+1),(1-$G87)/(5-MATCH($D87,$B$4:$F$4,0)+1))))),0)</f>
        <v>0.12</v>
      </c>
      <c r="K87" s="141" t="n">
        <f aca="false">IFERROR(IF($E87&lt;&gt;"Discrete",0,IF(4&lt;MATCH($D87,$B$4:$F$4,0),0,IF($F87&lt;&gt;"Y",IF(4=MATCH($D87,$B$4:$F$4,0),1,0),IF(4=MATCH($D87,$B$4:$F$4,0),$G87+(1-$G87)/(5-MATCH($D87,$B$4:$F$4,0)+1),(1-$G87)/(5-MATCH($D87,$B$4:$F$4,0)+1))))),0)</f>
        <v>0.12</v>
      </c>
      <c r="L87" s="141" t="n">
        <f aca="false">IFERROR(IF($E87&lt;&gt;"Discrete",0,IF(5&lt;MATCH($D87,$B$4:$F$4,0),0,IF($F87&lt;&gt;"Y",IF(5=MATCH($D87,$B$4:$F$4,0),1,0),IF(5=MATCH($D87,$B$4:$F$4,0),$G87+(1-$G87)/(5-MATCH($D87,$B$4:$F$4,0)+1),(1-$G87)/(5-MATCH($D87,$B$4:$F$4,0)+1))))),0)</f>
        <v>0.12</v>
      </c>
    </row>
    <row r="88" customFormat="false" ht="14.25" hidden="false" customHeight="true" outlineLevel="0" collapsed="false">
      <c r="A88" s="139" t="n">
        <f aca="false">WP_상세!A85</f>
        <v>81</v>
      </c>
      <c r="B88" s="139" t="str">
        <f aca="false">WP_상세!B85</f>
        <v>SWE.1</v>
      </c>
      <c r="C88" s="139" t="str">
        <f aca="false">WP_상세!F85</f>
        <v>Analysis Results / 소프트웨어 요구사항 분석서</v>
      </c>
      <c r="D88" s="139" t="str">
        <f aca="false">WP_상세!G85</f>
        <v>M-Car</v>
      </c>
      <c r="E88" s="139" t="str">
        <f aca="false">WP_상세!H85</f>
        <v>Discrete</v>
      </c>
      <c r="F88" s="139" t="str">
        <f aca="false">WP_상세!I85</f>
        <v>N</v>
      </c>
      <c r="G88" s="140" t="n">
        <f aca="false">WP_상세!J85</f>
        <v>1</v>
      </c>
      <c r="H88" s="141" t="n">
        <f aca="false">IFERROR(IF($E88&lt;&gt;"Discrete",0,IF(1&lt;MATCH($D88,$B$4:$F$4,0),0,IF($F88&lt;&gt;"Y",IF(1=MATCH($D88,$B$4:$F$4,0),1,0),IF(1=MATCH($D88,$B$4:$F$4,0),$G88+(1-$G88)/(5-MATCH($D88,$B$4:$F$4,0)+1),(1-$G88)/(5-MATCH($D88,$B$4:$F$4,0)+1))))),0)</f>
        <v>1</v>
      </c>
      <c r="I88" s="141" t="n">
        <f aca="false">IFERROR(IF($E88&lt;&gt;"Discrete",0,IF(2&lt;MATCH($D88,$B$4:$F$4,0),0,IF($F88&lt;&gt;"Y",IF(2=MATCH($D88,$B$4:$F$4,0),1,0),IF(2=MATCH($D88,$B$4:$F$4,0),$G88+(1-$G88)/(5-MATCH($D88,$B$4:$F$4,0)+1),(1-$G88)/(5-MATCH($D88,$B$4:$F$4,0)+1))))),0)</f>
        <v>0</v>
      </c>
      <c r="J88" s="141" t="n">
        <f aca="false">IFERROR(IF($E88&lt;&gt;"Discrete",0,IF(3&lt;MATCH($D88,$B$4:$F$4,0),0,IF($F88&lt;&gt;"Y",IF(3=MATCH($D88,$B$4:$F$4,0),1,0),IF(3=MATCH($D88,$B$4:$F$4,0),$G88+(1-$G88)/(5-MATCH($D88,$B$4:$F$4,0)+1),(1-$G88)/(5-MATCH($D88,$B$4:$F$4,0)+1))))),0)</f>
        <v>0</v>
      </c>
      <c r="K88" s="141" t="n">
        <f aca="false">IFERROR(IF($E88&lt;&gt;"Discrete",0,IF(4&lt;MATCH($D88,$B$4:$F$4,0),0,IF($F88&lt;&gt;"Y",IF(4=MATCH($D88,$B$4:$F$4,0),1,0),IF(4=MATCH($D88,$B$4:$F$4,0),$G88+(1-$G88)/(5-MATCH($D88,$B$4:$F$4,0)+1),(1-$G88)/(5-MATCH($D88,$B$4:$F$4,0)+1))))),0)</f>
        <v>0</v>
      </c>
      <c r="L88" s="141" t="n">
        <f aca="false">IFERROR(IF($E88&lt;&gt;"Discrete",0,IF(5&lt;MATCH($D88,$B$4:$F$4,0),0,IF($F88&lt;&gt;"Y",IF(5=MATCH($D88,$B$4:$F$4,0),1,0),IF(5=MATCH($D88,$B$4:$F$4,0),$G88+(1-$G88)/(5-MATCH($D88,$B$4:$F$4,0)+1),(1-$G88)/(5-MATCH($D88,$B$4:$F$4,0)+1))))),0)</f>
        <v>0</v>
      </c>
    </row>
    <row r="89" customFormat="false" ht="14.25" hidden="false" customHeight="true" outlineLevel="0" collapsed="false">
      <c r="A89" s="139" t="n">
        <f aca="false">WP_상세!A86</f>
        <v>82</v>
      </c>
      <c r="B89" s="139" t="str">
        <f aca="false">WP_상세!B86</f>
        <v>SWE.1</v>
      </c>
      <c r="C89" s="139" t="str">
        <f aca="false">WP_상세!F86</f>
        <v>Analysis Results / 운영환경 영향분석서</v>
      </c>
      <c r="D89" s="139" t="str">
        <f aca="false">WP_상세!G86</f>
        <v>M-Car</v>
      </c>
      <c r="E89" s="139" t="str">
        <f aca="false">WP_상세!H86</f>
        <v>Discrete</v>
      </c>
      <c r="F89" s="139" t="str">
        <f aca="false">WP_상세!I86</f>
        <v>N</v>
      </c>
      <c r="G89" s="140" t="n">
        <f aca="false">WP_상세!J86</f>
        <v>1</v>
      </c>
      <c r="H89" s="141" t="n">
        <f aca="false">IFERROR(IF($E89&lt;&gt;"Discrete",0,IF(1&lt;MATCH($D89,$B$4:$F$4,0),0,IF($F89&lt;&gt;"Y",IF(1=MATCH($D89,$B$4:$F$4,0),1,0),IF(1=MATCH($D89,$B$4:$F$4,0),$G89+(1-$G89)/(5-MATCH($D89,$B$4:$F$4,0)+1),(1-$G89)/(5-MATCH($D89,$B$4:$F$4,0)+1))))),0)</f>
        <v>1</v>
      </c>
      <c r="I89" s="141" t="n">
        <f aca="false">IFERROR(IF($E89&lt;&gt;"Discrete",0,IF(2&lt;MATCH($D89,$B$4:$F$4,0),0,IF($F89&lt;&gt;"Y",IF(2=MATCH($D89,$B$4:$F$4,0),1,0),IF(2=MATCH($D89,$B$4:$F$4,0),$G89+(1-$G89)/(5-MATCH($D89,$B$4:$F$4,0)+1),(1-$G89)/(5-MATCH($D89,$B$4:$F$4,0)+1))))),0)</f>
        <v>0</v>
      </c>
      <c r="J89" s="141" t="n">
        <f aca="false">IFERROR(IF($E89&lt;&gt;"Discrete",0,IF(3&lt;MATCH($D89,$B$4:$F$4,0),0,IF($F89&lt;&gt;"Y",IF(3=MATCH($D89,$B$4:$F$4,0),1,0),IF(3=MATCH($D89,$B$4:$F$4,0),$G89+(1-$G89)/(5-MATCH($D89,$B$4:$F$4,0)+1),(1-$G89)/(5-MATCH($D89,$B$4:$F$4,0)+1))))),0)</f>
        <v>0</v>
      </c>
      <c r="K89" s="141" t="n">
        <f aca="false">IFERROR(IF($E89&lt;&gt;"Discrete",0,IF(4&lt;MATCH($D89,$B$4:$F$4,0),0,IF($F89&lt;&gt;"Y",IF(4=MATCH($D89,$B$4:$F$4,0),1,0),IF(4=MATCH($D89,$B$4:$F$4,0),$G89+(1-$G89)/(5-MATCH($D89,$B$4:$F$4,0)+1),(1-$G89)/(5-MATCH($D89,$B$4:$F$4,0)+1))))),0)</f>
        <v>0</v>
      </c>
      <c r="L89" s="141" t="n">
        <f aca="false">IFERROR(IF($E89&lt;&gt;"Discrete",0,IF(5&lt;MATCH($D89,$B$4:$F$4,0),0,IF($F89&lt;&gt;"Y",IF(5=MATCH($D89,$B$4:$F$4,0),1,0),IF(5=MATCH($D89,$B$4:$F$4,0),$G89+(1-$G89)/(5-MATCH($D89,$B$4:$F$4,0)+1),(1-$G89)/(5-MATCH($D89,$B$4:$F$4,0)+1))))),0)</f>
        <v>0</v>
      </c>
    </row>
    <row r="90" customFormat="false" ht="14.25" hidden="false" customHeight="true" outlineLevel="0" collapsed="false">
      <c r="A90" s="139" t="n">
        <f aca="false">WP_상세!A87</f>
        <v>83</v>
      </c>
      <c r="B90" s="139" t="str">
        <f aca="false">WP_상세!B87</f>
        <v>SWE.1</v>
      </c>
      <c r="C90" s="139" t="str">
        <f aca="false">WP_상세!F87</f>
        <v>Consistency Evidence / SW요구사항-시스템요구사항/아키텍처 추적성 매트릭스</v>
      </c>
      <c r="D90" s="139" t="str">
        <f aca="false">WP_상세!G87</f>
        <v>M-Car</v>
      </c>
      <c r="E90" s="139" t="str">
        <f aca="false">WP_상세!H87</f>
        <v>Discrete</v>
      </c>
      <c r="F90" s="139" t="str">
        <f aca="false">WP_상세!I87</f>
        <v>N</v>
      </c>
      <c r="G90" s="140" t="n">
        <f aca="false">WP_상세!J87</f>
        <v>1</v>
      </c>
      <c r="H90" s="141" t="n">
        <f aca="false">IFERROR(IF($E90&lt;&gt;"Discrete",0,IF(1&lt;MATCH($D90,$B$4:$F$4,0),0,IF($F90&lt;&gt;"Y",IF(1=MATCH($D90,$B$4:$F$4,0),1,0),IF(1=MATCH($D90,$B$4:$F$4,0),$G90+(1-$G90)/(5-MATCH($D90,$B$4:$F$4,0)+1),(1-$G90)/(5-MATCH($D90,$B$4:$F$4,0)+1))))),0)</f>
        <v>1</v>
      </c>
      <c r="I90" s="141" t="n">
        <f aca="false">IFERROR(IF($E90&lt;&gt;"Discrete",0,IF(2&lt;MATCH($D90,$B$4:$F$4,0),0,IF($F90&lt;&gt;"Y",IF(2=MATCH($D90,$B$4:$F$4,0),1,0),IF(2=MATCH($D90,$B$4:$F$4,0),$G90+(1-$G90)/(5-MATCH($D90,$B$4:$F$4,0)+1),(1-$G90)/(5-MATCH($D90,$B$4:$F$4,0)+1))))),0)</f>
        <v>0</v>
      </c>
      <c r="J90" s="141" t="n">
        <f aca="false">IFERROR(IF($E90&lt;&gt;"Discrete",0,IF(3&lt;MATCH($D90,$B$4:$F$4,0),0,IF($F90&lt;&gt;"Y",IF(3=MATCH($D90,$B$4:$F$4,0),1,0),IF(3=MATCH($D90,$B$4:$F$4,0),$G90+(1-$G90)/(5-MATCH($D90,$B$4:$F$4,0)+1),(1-$G90)/(5-MATCH($D90,$B$4:$F$4,0)+1))))),0)</f>
        <v>0</v>
      </c>
      <c r="K90" s="141" t="n">
        <f aca="false">IFERROR(IF($E90&lt;&gt;"Discrete",0,IF(4&lt;MATCH($D90,$B$4:$F$4,0),0,IF($F90&lt;&gt;"Y",IF(4=MATCH($D90,$B$4:$F$4,0),1,0),IF(4=MATCH($D90,$B$4:$F$4,0),$G90+(1-$G90)/(5-MATCH($D90,$B$4:$F$4,0)+1),(1-$G90)/(5-MATCH($D90,$B$4:$F$4,0)+1))))),0)</f>
        <v>0</v>
      </c>
      <c r="L90" s="141" t="n">
        <f aca="false">IFERROR(IF($E90&lt;&gt;"Discrete",0,IF(5&lt;MATCH($D90,$B$4:$F$4,0),0,IF($F90&lt;&gt;"Y",IF(5=MATCH($D90,$B$4:$F$4,0),1,0),IF(5=MATCH($D90,$B$4:$F$4,0),$G90+(1-$G90)/(5-MATCH($D90,$B$4:$F$4,0)+1),(1-$G90)/(5-MATCH($D90,$B$4:$F$4,0)+1))))),0)</f>
        <v>0</v>
      </c>
    </row>
    <row r="91" customFormat="false" ht="14.25" hidden="false" customHeight="true" outlineLevel="0" collapsed="false">
      <c r="A91" s="139" t="n">
        <f aca="false">WP_상세!A88</f>
        <v>84</v>
      </c>
      <c r="B91" s="139" t="str">
        <f aca="false">WP_상세!B88</f>
        <v>SWE.1</v>
      </c>
      <c r="C91" s="139" t="str">
        <f aca="false">WP_상세!F88</f>
        <v>Communication Evidence / 합의된 소프트웨어 요구사항 공유기록</v>
      </c>
      <c r="D91" s="139" t="str">
        <f aca="false">WP_상세!G88</f>
        <v>M-Car</v>
      </c>
      <c r="E91" s="139" t="str">
        <f aca="false">WP_상세!H88</f>
        <v>Discrete</v>
      </c>
      <c r="F91" s="139" t="str">
        <f aca="false">WP_상세!I88</f>
        <v>N</v>
      </c>
      <c r="G91" s="140" t="n">
        <f aca="false">WP_상세!J88</f>
        <v>1</v>
      </c>
      <c r="H91" s="141" t="n">
        <f aca="false">IFERROR(IF($E91&lt;&gt;"Discrete",0,IF(1&lt;MATCH($D91,$B$4:$F$4,0),0,IF($F91&lt;&gt;"Y",IF(1=MATCH($D91,$B$4:$F$4,0),1,0),IF(1=MATCH($D91,$B$4:$F$4,0),$G91+(1-$G91)/(5-MATCH($D91,$B$4:$F$4,0)+1),(1-$G91)/(5-MATCH($D91,$B$4:$F$4,0)+1))))),0)</f>
        <v>1</v>
      </c>
      <c r="I91" s="141" t="n">
        <f aca="false">IFERROR(IF($E91&lt;&gt;"Discrete",0,IF(2&lt;MATCH($D91,$B$4:$F$4,0),0,IF($F91&lt;&gt;"Y",IF(2=MATCH($D91,$B$4:$F$4,0),1,0),IF(2=MATCH($D91,$B$4:$F$4,0),$G91+(1-$G91)/(5-MATCH($D91,$B$4:$F$4,0)+1),(1-$G91)/(5-MATCH($D91,$B$4:$F$4,0)+1))))),0)</f>
        <v>0</v>
      </c>
      <c r="J91" s="141" t="n">
        <f aca="false">IFERROR(IF($E91&lt;&gt;"Discrete",0,IF(3&lt;MATCH($D91,$B$4:$F$4,0),0,IF($F91&lt;&gt;"Y",IF(3=MATCH($D91,$B$4:$F$4,0),1,0),IF(3=MATCH($D91,$B$4:$F$4,0),$G91+(1-$G91)/(5-MATCH($D91,$B$4:$F$4,0)+1),(1-$G91)/(5-MATCH($D91,$B$4:$F$4,0)+1))))),0)</f>
        <v>0</v>
      </c>
      <c r="K91" s="141" t="n">
        <f aca="false">IFERROR(IF($E91&lt;&gt;"Discrete",0,IF(4&lt;MATCH($D91,$B$4:$F$4,0),0,IF($F91&lt;&gt;"Y",IF(4=MATCH($D91,$B$4:$F$4,0),1,0),IF(4=MATCH($D91,$B$4:$F$4,0),$G91+(1-$G91)/(5-MATCH($D91,$B$4:$F$4,0)+1),(1-$G91)/(5-MATCH($D91,$B$4:$F$4,0)+1))))),0)</f>
        <v>0</v>
      </c>
      <c r="L91" s="141" t="n">
        <f aca="false">IFERROR(IF($E91&lt;&gt;"Discrete",0,IF(5&lt;MATCH($D91,$B$4:$F$4,0),0,IF($F91&lt;&gt;"Y",IF(5=MATCH($D91,$B$4:$F$4,0),1,0),IF(5=MATCH($D91,$B$4:$F$4,0),$G91+(1-$G91)/(5-MATCH($D91,$B$4:$F$4,0)+1),(1-$G91)/(5-MATCH($D91,$B$4:$F$4,0)+1))))),0)</f>
        <v>0</v>
      </c>
    </row>
    <row r="92" customFormat="false" ht="14.25" hidden="false" customHeight="true" outlineLevel="0" collapsed="false">
      <c r="A92" s="139" t="n">
        <f aca="false">WP_상세!A89</f>
        <v>85</v>
      </c>
      <c r="B92" s="139" t="str">
        <f aca="false">WP_상세!B89</f>
        <v>SWE.2</v>
      </c>
      <c r="C92" s="139" t="str">
        <f aca="false">WP_상세!F89</f>
        <v>Software Architecture / 소프트웨어 아키텍처 정적측면 설계서</v>
      </c>
      <c r="D92" s="139" t="str">
        <f aca="false">WP_상세!G89</f>
        <v>M-Car</v>
      </c>
      <c r="E92" s="139" t="str">
        <f aca="false">WP_상세!H89</f>
        <v>Discrete</v>
      </c>
      <c r="F92" s="139" t="str">
        <f aca="false">WP_상세!I89</f>
        <v>Y</v>
      </c>
      <c r="G92" s="140" t="n">
        <f aca="false">WP_상세!J89</f>
        <v>0.4</v>
      </c>
      <c r="H92" s="141" t="n">
        <f aca="false">IFERROR(IF($E92&lt;&gt;"Discrete",0,IF(1&lt;MATCH($D92,$B$4:$F$4,0),0,IF($F92&lt;&gt;"Y",IF(1=MATCH($D92,$B$4:$F$4,0),1,0),IF(1=MATCH($D92,$B$4:$F$4,0),$G92+(1-$G92)/(5-MATCH($D92,$B$4:$F$4,0)+1),(1-$G92)/(5-MATCH($D92,$B$4:$F$4,0)+1))))),0)</f>
        <v>0.52</v>
      </c>
      <c r="I92" s="141" t="n">
        <f aca="false">IFERROR(IF($E92&lt;&gt;"Discrete",0,IF(2&lt;MATCH($D92,$B$4:$F$4,0),0,IF($F92&lt;&gt;"Y",IF(2=MATCH($D92,$B$4:$F$4,0),1,0),IF(2=MATCH($D92,$B$4:$F$4,0),$G92+(1-$G92)/(5-MATCH($D92,$B$4:$F$4,0)+1),(1-$G92)/(5-MATCH($D92,$B$4:$F$4,0)+1))))),0)</f>
        <v>0.12</v>
      </c>
      <c r="J92" s="141" t="n">
        <f aca="false">IFERROR(IF($E92&lt;&gt;"Discrete",0,IF(3&lt;MATCH($D92,$B$4:$F$4,0),0,IF($F92&lt;&gt;"Y",IF(3=MATCH($D92,$B$4:$F$4,0),1,0),IF(3=MATCH($D92,$B$4:$F$4,0),$G92+(1-$G92)/(5-MATCH($D92,$B$4:$F$4,0)+1),(1-$G92)/(5-MATCH($D92,$B$4:$F$4,0)+1))))),0)</f>
        <v>0.12</v>
      </c>
      <c r="K92" s="141" t="n">
        <f aca="false">IFERROR(IF($E92&lt;&gt;"Discrete",0,IF(4&lt;MATCH($D92,$B$4:$F$4,0),0,IF($F92&lt;&gt;"Y",IF(4=MATCH($D92,$B$4:$F$4,0),1,0),IF(4=MATCH($D92,$B$4:$F$4,0),$G92+(1-$G92)/(5-MATCH($D92,$B$4:$F$4,0)+1),(1-$G92)/(5-MATCH($D92,$B$4:$F$4,0)+1))))),0)</f>
        <v>0.12</v>
      </c>
      <c r="L92" s="141" t="n">
        <f aca="false">IFERROR(IF($E92&lt;&gt;"Discrete",0,IF(5&lt;MATCH($D92,$B$4:$F$4,0),0,IF($F92&lt;&gt;"Y",IF(5=MATCH($D92,$B$4:$F$4,0),1,0),IF(5=MATCH($D92,$B$4:$F$4,0),$G92+(1-$G92)/(5-MATCH($D92,$B$4:$F$4,0)+1),(1-$G92)/(5-MATCH($D92,$B$4:$F$4,0)+1))))),0)</f>
        <v>0.12</v>
      </c>
    </row>
    <row r="93" customFormat="false" ht="14.25" hidden="false" customHeight="true" outlineLevel="0" collapsed="false">
      <c r="A93" s="139" t="n">
        <f aca="false">WP_상세!A90</f>
        <v>86</v>
      </c>
      <c r="B93" s="139" t="str">
        <f aca="false">WP_상세!B90</f>
        <v>SWE.2</v>
      </c>
      <c r="C93" s="139" t="str">
        <f aca="false">WP_상세!F90</f>
        <v>Software Architecture / 소프트웨어 아키텍처 동적측면 설계서</v>
      </c>
      <c r="D93" s="139" t="str">
        <f aca="false">WP_상세!G90</f>
        <v>M-Car</v>
      </c>
      <c r="E93" s="139" t="str">
        <f aca="false">WP_상세!H90</f>
        <v>Discrete</v>
      </c>
      <c r="F93" s="139" t="str">
        <f aca="false">WP_상세!I90</f>
        <v>Y</v>
      </c>
      <c r="G93" s="140" t="n">
        <f aca="false">WP_상세!J90</f>
        <v>0.4</v>
      </c>
      <c r="H93" s="141" t="n">
        <f aca="false">IFERROR(IF($E93&lt;&gt;"Discrete",0,IF(1&lt;MATCH($D93,$B$4:$F$4,0),0,IF($F93&lt;&gt;"Y",IF(1=MATCH($D93,$B$4:$F$4,0),1,0),IF(1=MATCH($D93,$B$4:$F$4,0),$G93+(1-$G93)/(5-MATCH($D93,$B$4:$F$4,0)+1),(1-$G93)/(5-MATCH($D93,$B$4:$F$4,0)+1))))),0)</f>
        <v>0.52</v>
      </c>
      <c r="I93" s="141" t="n">
        <f aca="false">IFERROR(IF($E93&lt;&gt;"Discrete",0,IF(2&lt;MATCH($D93,$B$4:$F$4,0),0,IF($F93&lt;&gt;"Y",IF(2=MATCH($D93,$B$4:$F$4,0),1,0),IF(2=MATCH($D93,$B$4:$F$4,0),$G93+(1-$G93)/(5-MATCH($D93,$B$4:$F$4,0)+1),(1-$G93)/(5-MATCH($D93,$B$4:$F$4,0)+1))))),0)</f>
        <v>0.12</v>
      </c>
      <c r="J93" s="141" t="n">
        <f aca="false">IFERROR(IF($E93&lt;&gt;"Discrete",0,IF(3&lt;MATCH($D93,$B$4:$F$4,0),0,IF($F93&lt;&gt;"Y",IF(3=MATCH($D93,$B$4:$F$4,0),1,0),IF(3=MATCH($D93,$B$4:$F$4,0),$G93+(1-$G93)/(5-MATCH($D93,$B$4:$F$4,0)+1),(1-$G93)/(5-MATCH($D93,$B$4:$F$4,0)+1))))),0)</f>
        <v>0.12</v>
      </c>
      <c r="K93" s="141" t="n">
        <f aca="false">IFERROR(IF($E93&lt;&gt;"Discrete",0,IF(4&lt;MATCH($D93,$B$4:$F$4,0),0,IF($F93&lt;&gt;"Y",IF(4=MATCH($D93,$B$4:$F$4,0),1,0),IF(4=MATCH($D93,$B$4:$F$4,0),$G93+(1-$G93)/(5-MATCH($D93,$B$4:$F$4,0)+1),(1-$G93)/(5-MATCH($D93,$B$4:$F$4,0)+1))))),0)</f>
        <v>0.12</v>
      </c>
      <c r="L93" s="141" t="n">
        <f aca="false">IFERROR(IF($E93&lt;&gt;"Discrete",0,IF(5&lt;MATCH($D93,$B$4:$F$4,0),0,IF($F93&lt;&gt;"Y",IF(5=MATCH($D93,$B$4:$F$4,0),1,0),IF(5=MATCH($D93,$B$4:$F$4,0),$G93+(1-$G93)/(5-MATCH($D93,$B$4:$F$4,0)+1),(1-$G93)/(5-MATCH($D93,$B$4:$F$4,0)+1))))),0)</f>
        <v>0.12</v>
      </c>
    </row>
    <row r="94" customFormat="false" ht="14.25" hidden="false" customHeight="true" outlineLevel="0" collapsed="false">
      <c r="A94" s="139" t="n">
        <f aca="false">WP_상세!A91</f>
        <v>87</v>
      </c>
      <c r="B94" s="139" t="str">
        <f aca="false">WP_상세!B91</f>
        <v>SWE.2</v>
      </c>
      <c r="C94" s="139" t="str">
        <f aca="false">WP_상세!F91</f>
        <v>Analysis Results / 소프트웨어 아키텍처 분석서</v>
      </c>
      <c r="D94" s="139" t="str">
        <f aca="false">WP_상세!G91</f>
        <v>M-Car</v>
      </c>
      <c r="E94" s="139" t="str">
        <f aca="false">WP_상세!H91</f>
        <v>Discrete</v>
      </c>
      <c r="F94" s="139" t="str">
        <f aca="false">WP_상세!I91</f>
        <v>N</v>
      </c>
      <c r="G94" s="140" t="n">
        <f aca="false">WP_상세!J91</f>
        <v>1</v>
      </c>
      <c r="H94" s="141" t="n">
        <f aca="false">IFERROR(IF($E94&lt;&gt;"Discrete",0,IF(1&lt;MATCH($D94,$B$4:$F$4,0),0,IF($F94&lt;&gt;"Y",IF(1=MATCH($D94,$B$4:$F$4,0),1,0),IF(1=MATCH($D94,$B$4:$F$4,0),$G94+(1-$G94)/(5-MATCH($D94,$B$4:$F$4,0)+1),(1-$G94)/(5-MATCH($D94,$B$4:$F$4,0)+1))))),0)</f>
        <v>1</v>
      </c>
      <c r="I94" s="141" t="n">
        <f aca="false">IFERROR(IF($E94&lt;&gt;"Discrete",0,IF(2&lt;MATCH($D94,$B$4:$F$4,0),0,IF($F94&lt;&gt;"Y",IF(2=MATCH($D94,$B$4:$F$4,0),1,0),IF(2=MATCH($D94,$B$4:$F$4,0),$G94+(1-$G94)/(5-MATCH($D94,$B$4:$F$4,0)+1),(1-$G94)/(5-MATCH($D94,$B$4:$F$4,0)+1))))),0)</f>
        <v>0</v>
      </c>
      <c r="J94" s="141" t="n">
        <f aca="false">IFERROR(IF($E94&lt;&gt;"Discrete",0,IF(3&lt;MATCH($D94,$B$4:$F$4,0),0,IF($F94&lt;&gt;"Y",IF(3=MATCH($D94,$B$4:$F$4,0),1,0),IF(3=MATCH($D94,$B$4:$F$4,0),$G94+(1-$G94)/(5-MATCH($D94,$B$4:$F$4,0)+1),(1-$G94)/(5-MATCH($D94,$B$4:$F$4,0)+1))))),0)</f>
        <v>0</v>
      </c>
      <c r="K94" s="141" t="n">
        <f aca="false">IFERROR(IF($E94&lt;&gt;"Discrete",0,IF(4&lt;MATCH($D94,$B$4:$F$4,0),0,IF($F94&lt;&gt;"Y",IF(4=MATCH($D94,$B$4:$F$4,0),1,0),IF(4=MATCH($D94,$B$4:$F$4,0),$G94+(1-$G94)/(5-MATCH($D94,$B$4:$F$4,0)+1),(1-$G94)/(5-MATCH($D94,$B$4:$F$4,0)+1))))),0)</f>
        <v>0</v>
      </c>
      <c r="L94" s="141" t="n">
        <f aca="false">IFERROR(IF($E94&lt;&gt;"Discrete",0,IF(5&lt;MATCH($D94,$B$4:$F$4,0),0,IF($F94&lt;&gt;"Y",IF(5=MATCH($D94,$B$4:$F$4,0),1,0),IF(5=MATCH($D94,$B$4:$F$4,0),$G94+(1-$G94)/(5-MATCH($D94,$B$4:$F$4,0)+1),(1-$G94)/(5-MATCH($D94,$B$4:$F$4,0)+1))))),0)</f>
        <v>0</v>
      </c>
    </row>
    <row r="95" customFormat="false" ht="14.25" hidden="false" customHeight="true" outlineLevel="0" collapsed="false">
      <c r="A95" s="139" t="n">
        <f aca="false">WP_상세!A92</f>
        <v>88</v>
      </c>
      <c r="B95" s="139" t="str">
        <f aca="false">WP_상세!B92</f>
        <v>SWE.2</v>
      </c>
      <c r="C95" s="139" t="str">
        <f aca="false">WP_상세!F92</f>
        <v>Consistency Evidence / SW아키텍처-SW요구사항 추적성 매트릭스</v>
      </c>
      <c r="D95" s="139" t="str">
        <f aca="false">WP_상세!G92</f>
        <v>M-Car</v>
      </c>
      <c r="E95" s="139" t="str">
        <f aca="false">WP_상세!H92</f>
        <v>Discrete</v>
      </c>
      <c r="F95" s="139" t="str">
        <f aca="false">WP_상세!I92</f>
        <v>N</v>
      </c>
      <c r="G95" s="140" t="n">
        <f aca="false">WP_상세!J92</f>
        <v>1</v>
      </c>
      <c r="H95" s="141" t="n">
        <f aca="false">IFERROR(IF($E95&lt;&gt;"Discrete",0,IF(1&lt;MATCH($D95,$B$4:$F$4,0),0,IF($F95&lt;&gt;"Y",IF(1=MATCH($D95,$B$4:$F$4,0),1,0),IF(1=MATCH($D95,$B$4:$F$4,0),$G95+(1-$G95)/(5-MATCH($D95,$B$4:$F$4,0)+1),(1-$G95)/(5-MATCH($D95,$B$4:$F$4,0)+1))))),0)</f>
        <v>1</v>
      </c>
      <c r="I95" s="141" t="n">
        <f aca="false">IFERROR(IF($E95&lt;&gt;"Discrete",0,IF(2&lt;MATCH($D95,$B$4:$F$4,0),0,IF($F95&lt;&gt;"Y",IF(2=MATCH($D95,$B$4:$F$4,0),1,0),IF(2=MATCH($D95,$B$4:$F$4,0),$G95+(1-$G95)/(5-MATCH($D95,$B$4:$F$4,0)+1),(1-$G95)/(5-MATCH($D95,$B$4:$F$4,0)+1))))),0)</f>
        <v>0</v>
      </c>
      <c r="J95" s="141" t="n">
        <f aca="false">IFERROR(IF($E95&lt;&gt;"Discrete",0,IF(3&lt;MATCH($D95,$B$4:$F$4,0),0,IF($F95&lt;&gt;"Y",IF(3=MATCH($D95,$B$4:$F$4,0),1,0),IF(3=MATCH($D95,$B$4:$F$4,0),$G95+(1-$G95)/(5-MATCH($D95,$B$4:$F$4,0)+1),(1-$G95)/(5-MATCH($D95,$B$4:$F$4,0)+1))))),0)</f>
        <v>0</v>
      </c>
      <c r="K95" s="141" t="n">
        <f aca="false">IFERROR(IF($E95&lt;&gt;"Discrete",0,IF(4&lt;MATCH($D95,$B$4:$F$4,0),0,IF($F95&lt;&gt;"Y",IF(4=MATCH($D95,$B$4:$F$4,0),1,0),IF(4=MATCH($D95,$B$4:$F$4,0),$G95+(1-$G95)/(5-MATCH($D95,$B$4:$F$4,0)+1),(1-$G95)/(5-MATCH($D95,$B$4:$F$4,0)+1))))),0)</f>
        <v>0</v>
      </c>
      <c r="L95" s="141" t="n">
        <f aca="false">IFERROR(IF($E95&lt;&gt;"Discrete",0,IF(5&lt;MATCH($D95,$B$4:$F$4,0),0,IF($F95&lt;&gt;"Y",IF(5=MATCH($D95,$B$4:$F$4,0),1,0),IF(5=MATCH($D95,$B$4:$F$4,0),$G95+(1-$G95)/(5-MATCH($D95,$B$4:$F$4,0)+1),(1-$G95)/(5-MATCH($D95,$B$4:$F$4,0)+1))))),0)</f>
        <v>0</v>
      </c>
    </row>
    <row r="96" customFormat="false" ht="14.25" hidden="false" customHeight="true" outlineLevel="0" collapsed="false">
      <c r="A96" s="139" t="n">
        <f aca="false">WP_상세!A93</f>
        <v>89</v>
      </c>
      <c r="B96" s="139" t="str">
        <f aca="false">WP_상세!B93</f>
        <v>SWE.2</v>
      </c>
      <c r="C96" s="139" t="str">
        <f aca="false">WP_상세!F93</f>
        <v>Communication Evidence / 합의된 소프트웨어 아키텍처 공유기록</v>
      </c>
      <c r="D96" s="139" t="str">
        <f aca="false">WP_상세!G93</f>
        <v>M-Car</v>
      </c>
      <c r="E96" s="139" t="str">
        <f aca="false">WP_상세!H93</f>
        <v>Discrete</v>
      </c>
      <c r="F96" s="139" t="str">
        <f aca="false">WP_상세!I93</f>
        <v>N</v>
      </c>
      <c r="G96" s="140" t="n">
        <f aca="false">WP_상세!J93</f>
        <v>1</v>
      </c>
      <c r="H96" s="141" t="n">
        <f aca="false">IFERROR(IF($E96&lt;&gt;"Discrete",0,IF(1&lt;MATCH($D96,$B$4:$F$4,0),0,IF($F96&lt;&gt;"Y",IF(1=MATCH($D96,$B$4:$F$4,0),1,0),IF(1=MATCH($D96,$B$4:$F$4,0),$G96+(1-$G96)/(5-MATCH($D96,$B$4:$F$4,0)+1),(1-$G96)/(5-MATCH($D96,$B$4:$F$4,0)+1))))),0)</f>
        <v>1</v>
      </c>
      <c r="I96" s="141" t="n">
        <f aca="false">IFERROR(IF($E96&lt;&gt;"Discrete",0,IF(2&lt;MATCH($D96,$B$4:$F$4,0),0,IF($F96&lt;&gt;"Y",IF(2=MATCH($D96,$B$4:$F$4,0),1,0),IF(2=MATCH($D96,$B$4:$F$4,0),$G96+(1-$G96)/(5-MATCH($D96,$B$4:$F$4,0)+1),(1-$G96)/(5-MATCH($D96,$B$4:$F$4,0)+1))))),0)</f>
        <v>0</v>
      </c>
      <c r="J96" s="141" t="n">
        <f aca="false">IFERROR(IF($E96&lt;&gt;"Discrete",0,IF(3&lt;MATCH($D96,$B$4:$F$4,0),0,IF($F96&lt;&gt;"Y",IF(3=MATCH($D96,$B$4:$F$4,0),1,0),IF(3=MATCH($D96,$B$4:$F$4,0),$G96+(1-$G96)/(5-MATCH($D96,$B$4:$F$4,0)+1),(1-$G96)/(5-MATCH($D96,$B$4:$F$4,0)+1))))),0)</f>
        <v>0</v>
      </c>
      <c r="K96" s="141" t="n">
        <f aca="false">IFERROR(IF($E96&lt;&gt;"Discrete",0,IF(4&lt;MATCH($D96,$B$4:$F$4,0),0,IF($F96&lt;&gt;"Y",IF(4=MATCH($D96,$B$4:$F$4,0),1,0),IF(4=MATCH($D96,$B$4:$F$4,0),$G96+(1-$G96)/(5-MATCH($D96,$B$4:$F$4,0)+1),(1-$G96)/(5-MATCH($D96,$B$4:$F$4,0)+1))))),0)</f>
        <v>0</v>
      </c>
      <c r="L96" s="141" t="n">
        <f aca="false">IFERROR(IF($E96&lt;&gt;"Discrete",0,IF(5&lt;MATCH($D96,$B$4:$F$4,0),0,IF($F96&lt;&gt;"Y",IF(5=MATCH($D96,$B$4:$F$4,0),1,0),IF(5=MATCH($D96,$B$4:$F$4,0),$G96+(1-$G96)/(5-MATCH($D96,$B$4:$F$4,0)+1),(1-$G96)/(5-MATCH($D96,$B$4:$F$4,0)+1))))),0)</f>
        <v>0</v>
      </c>
    </row>
    <row r="97" customFormat="false" ht="14.25" hidden="false" customHeight="true" outlineLevel="0" collapsed="false">
      <c r="A97" s="139" t="n">
        <f aca="false">WP_상세!A94</f>
        <v>90</v>
      </c>
      <c r="B97" s="139" t="str">
        <f aca="false">WP_상세!B94</f>
        <v>SWE.3-ASW</v>
      </c>
      <c r="C97" s="139" t="str">
        <f aca="false">WP_상세!F94</f>
        <v>Software Detailed Design / 소프트웨어 상세설계서(정적측면)</v>
      </c>
      <c r="D97" s="139" t="str">
        <f aca="false">WP_상세!G94</f>
        <v>Proto</v>
      </c>
      <c r="E97" s="139" t="str">
        <f aca="false">WP_상세!H94</f>
        <v>Discrete</v>
      </c>
      <c r="F97" s="139" t="str">
        <f aca="false">WP_상세!I94</f>
        <v>Y</v>
      </c>
      <c r="G97" s="140" t="n">
        <f aca="false">WP_상세!J94</f>
        <v>0.4</v>
      </c>
      <c r="H97" s="141" t="n">
        <f aca="false">IFERROR(IF($E97&lt;&gt;"Discrete",0,IF(1&lt;MATCH($D97,$B$4:$F$4,0),0,IF($F97&lt;&gt;"Y",IF(1=MATCH($D97,$B$4:$F$4,0),1,0),IF(1=MATCH($D97,$B$4:$F$4,0),$G97+(1-$G97)/(5-MATCH($D97,$B$4:$F$4,0)+1),(1-$G97)/(5-MATCH($D97,$B$4:$F$4,0)+1))))),0)</f>
        <v>0</v>
      </c>
      <c r="I97" s="141" t="n">
        <f aca="false">IFERROR(IF($E97&lt;&gt;"Discrete",0,IF(2&lt;MATCH($D97,$B$4:$F$4,0),0,IF($F97&lt;&gt;"Y",IF(2=MATCH($D97,$B$4:$F$4,0),1,0),IF(2=MATCH($D97,$B$4:$F$4,0),$G97+(1-$G97)/(5-MATCH($D97,$B$4:$F$4,0)+1),(1-$G97)/(5-MATCH($D97,$B$4:$F$4,0)+1))))),0)</f>
        <v>0.55</v>
      </c>
      <c r="J97" s="141" t="n">
        <f aca="false">IFERROR(IF($E97&lt;&gt;"Discrete",0,IF(3&lt;MATCH($D97,$B$4:$F$4,0),0,IF($F97&lt;&gt;"Y",IF(3=MATCH($D97,$B$4:$F$4,0),1,0),IF(3=MATCH($D97,$B$4:$F$4,0),$G97+(1-$G97)/(5-MATCH($D97,$B$4:$F$4,0)+1),(1-$G97)/(5-MATCH($D97,$B$4:$F$4,0)+1))))),0)</f>
        <v>0.15</v>
      </c>
      <c r="K97" s="141" t="n">
        <f aca="false">IFERROR(IF($E97&lt;&gt;"Discrete",0,IF(4&lt;MATCH($D97,$B$4:$F$4,0),0,IF($F97&lt;&gt;"Y",IF(4=MATCH($D97,$B$4:$F$4,0),1,0),IF(4=MATCH($D97,$B$4:$F$4,0),$G97+(1-$G97)/(5-MATCH($D97,$B$4:$F$4,0)+1),(1-$G97)/(5-MATCH($D97,$B$4:$F$4,0)+1))))),0)</f>
        <v>0.15</v>
      </c>
      <c r="L97" s="141" t="n">
        <f aca="false">IFERROR(IF($E97&lt;&gt;"Discrete",0,IF(5&lt;MATCH($D97,$B$4:$F$4,0),0,IF($F97&lt;&gt;"Y",IF(5=MATCH($D97,$B$4:$F$4,0),1,0),IF(5=MATCH($D97,$B$4:$F$4,0),$G97+(1-$G97)/(5-MATCH($D97,$B$4:$F$4,0)+1),(1-$G97)/(5-MATCH($D97,$B$4:$F$4,0)+1))))),0)</f>
        <v>0.15</v>
      </c>
    </row>
    <row r="98" customFormat="false" ht="14.25" hidden="false" customHeight="true" outlineLevel="0" collapsed="false">
      <c r="A98" s="139" t="n">
        <f aca="false">WP_상세!A95</f>
        <v>91</v>
      </c>
      <c r="B98" s="139" t="str">
        <f aca="false">WP_상세!B95</f>
        <v>SWE.3-BSW</v>
      </c>
      <c r="C98" s="139" t="str">
        <f aca="false">WP_상세!F95</f>
        <v>Software Detailed Design / 소프트웨어 상세설계서(정적측면)</v>
      </c>
      <c r="D98" s="139" t="str">
        <f aca="false">WP_상세!G95</f>
        <v>Proto</v>
      </c>
      <c r="E98" s="139" t="str">
        <f aca="false">WP_상세!H95</f>
        <v>Discrete</v>
      </c>
      <c r="F98" s="139" t="str">
        <f aca="false">WP_상세!I95</f>
        <v>Y</v>
      </c>
      <c r="G98" s="140" t="n">
        <f aca="false">WP_상세!J95</f>
        <v>0.4</v>
      </c>
      <c r="H98" s="141" t="n">
        <f aca="false">IFERROR(IF($E98&lt;&gt;"Discrete",0,IF(1&lt;MATCH($D98,$B$4:$F$4,0),0,IF($F98&lt;&gt;"Y",IF(1=MATCH($D98,$B$4:$F$4,0),1,0),IF(1=MATCH($D98,$B$4:$F$4,0),$G98+(1-$G98)/(5-MATCH($D98,$B$4:$F$4,0)+1),(1-$G98)/(5-MATCH($D98,$B$4:$F$4,0)+1))))),0)</f>
        <v>0</v>
      </c>
      <c r="I98" s="141" t="n">
        <f aca="false">IFERROR(IF($E98&lt;&gt;"Discrete",0,IF(2&lt;MATCH($D98,$B$4:$F$4,0),0,IF($F98&lt;&gt;"Y",IF(2=MATCH($D98,$B$4:$F$4,0),1,0),IF(2=MATCH($D98,$B$4:$F$4,0),$G98+(1-$G98)/(5-MATCH($D98,$B$4:$F$4,0)+1),(1-$G98)/(5-MATCH($D98,$B$4:$F$4,0)+1))))),0)</f>
        <v>0.55</v>
      </c>
      <c r="J98" s="141" t="n">
        <f aca="false">IFERROR(IF($E98&lt;&gt;"Discrete",0,IF(3&lt;MATCH($D98,$B$4:$F$4,0),0,IF($F98&lt;&gt;"Y",IF(3=MATCH($D98,$B$4:$F$4,0),1,0),IF(3=MATCH($D98,$B$4:$F$4,0),$G98+(1-$G98)/(5-MATCH($D98,$B$4:$F$4,0)+1),(1-$G98)/(5-MATCH($D98,$B$4:$F$4,0)+1))))),0)</f>
        <v>0.15</v>
      </c>
      <c r="K98" s="141" t="n">
        <f aca="false">IFERROR(IF($E98&lt;&gt;"Discrete",0,IF(4&lt;MATCH($D98,$B$4:$F$4,0),0,IF($F98&lt;&gt;"Y",IF(4=MATCH($D98,$B$4:$F$4,0),1,0),IF(4=MATCH($D98,$B$4:$F$4,0),$G98+(1-$G98)/(5-MATCH($D98,$B$4:$F$4,0)+1),(1-$G98)/(5-MATCH($D98,$B$4:$F$4,0)+1))))),0)</f>
        <v>0.15</v>
      </c>
      <c r="L98" s="141" t="n">
        <f aca="false">IFERROR(IF($E98&lt;&gt;"Discrete",0,IF(5&lt;MATCH($D98,$B$4:$F$4,0),0,IF($F98&lt;&gt;"Y",IF(5=MATCH($D98,$B$4:$F$4,0),1,0),IF(5=MATCH($D98,$B$4:$F$4,0),$G98+(1-$G98)/(5-MATCH($D98,$B$4:$F$4,0)+1),(1-$G98)/(5-MATCH($D98,$B$4:$F$4,0)+1))))),0)</f>
        <v>0.15</v>
      </c>
    </row>
    <row r="99" customFormat="false" ht="14.25" hidden="false" customHeight="true" outlineLevel="0" collapsed="false">
      <c r="A99" s="139" t="n">
        <f aca="false">WP_상세!A96</f>
        <v>92</v>
      </c>
      <c r="B99" s="139" t="str">
        <f aca="false">WP_상세!B96</f>
        <v>SWE.3-ASW</v>
      </c>
      <c r="C99" s="139" t="str">
        <f aca="false">WP_상세!F96</f>
        <v>Software Detailed Design / 소프트웨어 상세설계서(동적측면)</v>
      </c>
      <c r="D99" s="139" t="str">
        <f aca="false">WP_상세!G96</f>
        <v>Proto</v>
      </c>
      <c r="E99" s="139" t="str">
        <f aca="false">WP_상세!H96</f>
        <v>Discrete</v>
      </c>
      <c r="F99" s="139" t="str">
        <f aca="false">WP_상세!I96</f>
        <v>Y</v>
      </c>
      <c r="G99" s="140" t="n">
        <f aca="false">WP_상세!J96</f>
        <v>0.4</v>
      </c>
      <c r="H99" s="141" t="n">
        <f aca="false">IFERROR(IF($E99&lt;&gt;"Discrete",0,IF(1&lt;MATCH($D99,$B$4:$F$4,0),0,IF($F99&lt;&gt;"Y",IF(1=MATCH($D99,$B$4:$F$4,0),1,0),IF(1=MATCH($D99,$B$4:$F$4,0),$G99+(1-$G99)/(5-MATCH($D99,$B$4:$F$4,0)+1),(1-$G99)/(5-MATCH($D99,$B$4:$F$4,0)+1))))),0)</f>
        <v>0</v>
      </c>
      <c r="I99" s="141" t="n">
        <f aca="false">IFERROR(IF($E99&lt;&gt;"Discrete",0,IF(2&lt;MATCH($D99,$B$4:$F$4,0),0,IF($F99&lt;&gt;"Y",IF(2=MATCH($D99,$B$4:$F$4,0),1,0),IF(2=MATCH($D99,$B$4:$F$4,0),$G99+(1-$G99)/(5-MATCH($D99,$B$4:$F$4,0)+1),(1-$G99)/(5-MATCH($D99,$B$4:$F$4,0)+1))))),0)</f>
        <v>0.55</v>
      </c>
      <c r="J99" s="141" t="n">
        <f aca="false">IFERROR(IF($E99&lt;&gt;"Discrete",0,IF(3&lt;MATCH($D99,$B$4:$F$4,0),0,IF($F99&lt;&gt;"Y",IF(3=MATCH($D99,$B$4:$F$4,0),1,0),IF(3=MATCH($D99,$B$4:$F$4,0),$G99+(1-$G99)/(5-MATCH($D99,$B$4:$F$4,0)+1),(1-$G99)/(5-MATCH($D99,$B$4:$F$4,0)+1))))),0)</f>
        <v>0.15</v>
      </c>
      <c r="K99" s="141" t="n">
        <f aca="false">IFERROR(IF($E99&lt;&gt;"Discrete",0,IF(4&lt;MATCH($D99,$B$4:$F$4,0),0,IF($F99&lt;&gt;"Y",IF(4=MATCH($D99,$B$4:$F$4,0),1,0),IF(4=MATCH($D99,$B$4:$F$4,0),$G99+(1-$G99)/(5-MATCH($D99,$B$4:$F$4,0)+1),(1-$G99)/(5-MATCH($D99,$B$4:$F$4,0)+1))))),0)</f>
        <v>0.15</v>
      </c>
      <c r="L99" s="141" t="n">
        <f aca="false">IFERROR(IF($E99&lt;&gt;"Discrete",0,IF(5&lt;MATCH($D99,$B$4:$F$4,0),0,IF($F99&lt;&gt;"Y",IF(5=MATCH($D99,$B$4:$F$4,0),1,0),IF(5=MATCH($D99,$B$4:$F$4,0),$G99+(1-$G99)/(5-MATCH($D99,$B$4:$F$4,0)+1),(1-$G99)/(5-MATCH($D99,$B$4:$F$4,0)+1))))),0)</f>
        <v>0.15</v>
      </c>
    </row>
    <row r="100" customFormat="false" ht="14.25" hidden="false" customHeight="true" outlineLevel="0" collapsed="false">
      <c r="A100" s="139" t="n">
        <f aca="false">WP_상세!A97</f>
        <v>93</v>
      </c>
      <c r="B100" s="139" t="str">
        <f aca="false">WP_상세!B97</f>
        <v>SWE.3-BSW</v>
      </c>
      <c r="C100" s="139" t="str">
        <f aca="false">WP_상세!F97</f>
        <v>Software Detailed Design / 소프트웨어 상세설계서(동적측면)</v>
      </c>
      <c r="D100" s="139" t="str">
        <f aca="false">WP_상세!G97</f>
        <v>Proto</v>
      </c>
      <c r="E100" s="139" t="str">
        <f aca="false">WP_상세!H97</f>
        <v>Discrete</v>
      </c>
      <c r="F100" s="139" t="str">
        <f aca="false">WP_상세!I97</f>
        <v>Y</v>
      </c>
      <c r="G100" s="140" t="n">
        <f aca="false">WP_상세!J97</f>
        <v>0.4</v>
      </c>
      <c r="H100" s="141" t="n">
        <f aca="false">IFERROR(IF($E100&lt;&gt;"Discrete",0,IF(1&lt;MATCH($D100,$B$4:$F$4,0),0,IF($F100&lt;&gt;"Y",IF(1=MATCH($D100,$B$4:$F$4,0),1,0),IF(1=MATCH($D100,$B$4:$F$4,0),$G100+(1-$G100)/(5-MATCH($D100,$B$4:$F$4,0)+1),(1-$G100)/(5-MATCH($D100,$B$4:$F$4,0)+1))))),0)</f>
        <v>0</v>
      </c>
      <c r="I100" s="141" t="n">
        <f aca="false">IFERROR(IF($E100&lt;&gt;"Discrete",0,IF(2&lt;MATCH($D100,$B$4:$F$4,0),0,IF($F100&lt;&gt;"Y",IF(2=MATCH($D100,$B$4:$F$4,0),1,0),IF(2=MATCH($D100,$B$4:$F$4,0),$G100+(1-$G100)/(5-MATCH($D100,$B$4:$F$4,0)+1),(1-$G100)/(5-MATCH($D100,$B$4:$F$4,0)+1))))),0)</f>
        <v>0.55</v>
      </c>
      <c r="J100" s="141" t="n">
        <f aca="false">IFERROR(IF($E100&lt;&gt;"Discrete",0,IF(3&lt;MATCH($D100,$B$4:$F$4,0),0,IF($F100&lt;&gt;"Y",IF(3=MATCH($D100,$B$4:$F$4,0),1,0),IF(3=MATCH($D100,$B$4:$F$4,0),$G100+(1-$G100)/(5-MATCH($D100,$B$4:$F$4,0)+1),(1-$G100)/(5-MATCH($D100,$B$4:$F$4,0)+1))))),0)</f>
        <v>0.15</v>
      </c>
      <c r="K100" s="141" t="n">
        <f aca="false">IFERROR(IF($E100&lt;&gt;"Discrete",0,IF(4&lt;MATCH($D100,$B$4:$F$4,0),0,IF($F100&lt;&gt;"Y",IF(4=MATCH($D100,$B$4:$F$4,0),1,0),IF(4=MATCH($D100,$B$4:$F$4,0),$G100+(1-$G100)/(5-MATCH($D100,$B$4:$F$4,0)+1),(1-$G100)/(5-MATCH($D100,$B$4:$F$4,0)+1))))),0)</f>
        <v>0.15</v>
      </c>
      <c r="L100" s="141" t="n">
        <f aca="false">IFERROR(IF($E100&lt;&gt;"Discrete",0,IF(5&lt;MATCH($D100,$B$4:$F$4,0),0,IF($F100&lt;&gt;"Y",IF(5=MATCH($D100,$B$4:$F$4,0),1,0),IF(5=MATCH($D100,$B$4:$F$4,0),$G100+(1-$G100)/(5-MATCH($D100,$B$4:$F$4,0)+1),(1-$G100)/(5-MATCH($D100,$B$4:$F$4,0)+1))))),0)</f>
        <v>0.15</v>
      </c>
    </row>
    <row r="101" customFormat="false" ht="14.25" hidden="false" customHeight="true" outlineLevel="0" collapsed="false">
      <c r="A101" s="139" t="n">
        <f aca="false">WP_상세!A98</f>
        <v>94</v>
      </c>
      <c r="B101" s="139" t="str">
        <f aca="false">WP_상세!B98</f>
        <v>SWE.3-ASW</v>
      </c>
      <c r="C101" s="139" t="str">
        <f aca="false">WP_상세!F98</f>
        <v>Software Unit / 소프트웨어 단위(소스코드)</v>
      </c>
      <c r="D101" s="139" t="str">
        <f aca="false">WP_상세!G98</f>
        <v>Proto</v>
      </c>
      <c r="E101" s="139" t="str">
        <f aca="false">WP_상세!H98</f>
        <v>Discrete</v>
      </c>
      <c r="F101" s="139" t="str">
        <f aca="false">WP_상세!I98</f>
        <v>Y</v>
      </c>
      <c r="G101" s="140" t="n">
        <f aca="false">WP_상세!J98</f>
        <v>0.4</v>
      </c>
      <c r="H101" s="141" t="n">
        <f aca="false">IFERROR(IF($E101&lt;&gt;"Discrete",0,IF(1&lt;MATCH($D101,$B$4:$F$4,0),0,IF($F101&lt;&gt;"Y",IF(1=MATCH($D101,$B$4:$F$4,0),1,0),IF(1=MATCH($D101,$B$4:$F$4,0),$G101+(1-$G101)/(5-MATCH($D101,$B$4:$F$4,0)+1),(1-$G101)/(5-MATCH($D101,$B$4:$F$4,0)+1))))),0)</f>
        <v>0</v>
      </c>
      <c r="I101" s="141" t="n">
        <f aca="false">IFERROR(IF($E101&lt;&gt;"Discrete",0,IF(2&lt;MATCH($D101,$B$4:$F$4,0),0,IF($F101&lt;&gt;"Y",IF(2=MATCH($D101,$B$4:$F$4,0),1,0),IF(2=MATCH($D101,$B$4:$F$4,0),$G101+(1-$G101)/(5-MATCH($D101,$B$4:$F$4,0)+1),(1-$G101)/(5-MATCH($D101,$B$4:$F$4,0)+1))))),0)</f>
        <v>0.55</v>
      </c>
      <c r="J101" s="141" t="n">
        <f aca="false">IFERROR(IF($E101&lt;&gt;"Discrete",0,IF(3&lt;MATCH($D101,$B$4:$F$4,0),0,IF($F101&lt;&gt;"Y",IF(3=MATCH($D101,$B$4:$F$4,0),1,0),IF(3=MATCH($D101,$B$4:$F$4,0),$G101+(1-$G101)/(5-MATCH($D101,$B$4:$F$4,0)+1),(1-$G101)/(5-MATCH($D101,$B$4:$F$4,0)+1))))),0)</f>
        <v>0.15</v>
      </c>
      <c r="K101" s="141" t="n">
        <f aca="false">IFERROR(IF($E101&lt;&gt;"Discrete",0,IF(4&lt;MATCH($D101,$B$4:$F$4,0),0,IF($F101&lt;&gt;"Y",IF(4=MATCH($D101,$B$4:$F$4,0),1,0),IF(4=MATCH($D101,$B$4:$F$4,0),$G101+(1-$G101)/(5-MATCH($D101,$B$4:$F$4,0)+1),(1-$G101)/(5-MATCH($D101,$B$4:$F$4,0)+1))))),0)</f>
        <v>0.15</v>
      </c>
      <c r="L101" s="141" t="n">
        <f aca="false">IFERROR(IF($E101&lt;&gt;"Discrete",0,IF(5&lt;MATCH($D101,$B$4:$F$4,0),0,IF($F101&lt;&gt;"Y",IF(5=MATCH($D101,$B$4:$F$4,0),1,0),IF(5=MATCH($D101,$B$4:$F$4,0),$G101+(1-$G101)/(5-MATCH($D101,$B$4:$F$4,0)+1),(1-$G101)/(5-MATCH($D101,$B$4:$F$4,0)+1))))),0)</f>
        <v>0.15</v>
      </c>
    </row>
    <row r="102" customFormat="false" ht="14.25" hidden="false" customHeight="true" outlineLevel="0" collapsed="false">
      <c r="A102" s="139" t="n">
        <f aca="false">WP_상세!A99</f>
        <v>95</v>
      </c>
      <c r="B102" s="139" t="str">
        <f aca="false">WP_상세!B99</f>
        <v>SWE.3-BSW</v>
      </c>
      <c r="C102" s="139" t="str">
        <f aca="false">WP_상세!F99</f>
        <v>Software Unit / 소프트웨어 단위(소스코드)</v>
      </c>
      <c r="D102" s="139" t="str">
        <f aca="false">WP_상세!G99</f>
        <v>Proto</v>
      </c>
      <c r="E102" s="139" t="str">
        <f aca="false">WP_상세!H99</f>
        <v>Discrete</v>
      </c>
      <c r="F102" s="139" t="str">
        <f aca="false">WP_상세!I99</f>
        <v>Y</v>
      </c>
      <c r="G102" s="140" t="n">
        <f aca="false">WP_상세!J99</f>
        <v>0.4</v>
      </c>
      <c r="H102" s="141" t="n">
        <f aca="false">IFERROR(IF($E102&lt;&gt;"Discrete",0,IF(1&lt;MATCH($D102,$B$4:$F$4,0),0,IF($F102&lt;&gt;"Y",IF(1=MATCH($D102,$B$4:$F$4,0),1,0),IF(1=MATCH($D102,$B$4:$F$4,0),$G102+(1-$G102)/(5-MATCH($D102,$B$4:$F$4,0)+1),(1-$G102)/(5-MATCH($D102,$B$4:$F$4,0)+1))))),0)</f>
        <v>0</v>
      </c>
      <c r="I102" s="141" t="n">
        <f aca="false">IFERROR(IF($E102&lt;&gt;"Discrete",0,IF(2&lt;MATCH($D102,$B$4:$F$4,0),0,IF($F102&lt;&gt;"Y",IF(2=MATCH($D102,$B$4:$F$4,0),1,0),IF(2=MATCH($D102,$B$4:$F$4,0),$G102+(1-$G102)/(5-MATCH($D102,$B$4:$F$4,0)+1),(1-$G102)/(5-MATCH($D102,$B$4:$F$4,0)+1))))),0)</f>
        <v>0.55</v>
      </c>
      <c r="J102" s="141" t="n">
        <f aca="false">IFERROR(IF($E102&lt;&gt;"Discrete",0,IF(3&lt;MATCH($D102,$B$4:$F$4,0),0,IF($F102&lt;&gt;"Y",IF(3=MATCH($D102,$B$4:$F$4,0),1,0),IF(3=MATCH($D102,$B$4:$F$4,0),$G102+(1-$G102)/(5-MATCH($D102,$B$4:$F$4,0)+1),(1-$G102)/(5-MATCH($D102,$B$4:$F$4,0)+1))))),0)</f>
        <v>0.15</v>
      </c>
      <c r="K102" s="141" t="n">
        <f aca="false">IFERROR(IF($E102&lt;&gt;"Discrete",0,IF(4&lt;MATCH($D102,$B$4:$F$4,0),0,IF($F102&lt;&gt;"Y",IF(4=MATCH($D102,$B$4:$F$4,0),1,0),IF(4=MATCH($D102,$B$4:$F$4,0),$G102+(1-$G102)/(5-MATCH($D102,$B$4:$F$4,0)+1),(1-$G102)/(5-MATCH($D102,$B$4:$F$4,0)+1))))),0)</f>
        <v>0.15</v>
      </c>
      <c r="L102" s="141" t="n">
        <f aca="false">IFERROR(IF($E102&lt;&gt;"Discrete",0,IF(5&lt;MATCH($D102,$B$4:$F$4,0),0,IF($F102&lt;&gt;"Y",IF(5=MATCH($D102,$B$4:$F$4,0),1,0),IF(5=MATCH($D102,$B$4:$F$4,0),$G102+(1-$G102)/(5-MATCH($D102,$B$4:$F$4,0)+1),(1-$G102)/(5-MATCH($D102,$B$4:$F$4,0)+1))))),0)</f>
        <v>0.15</v>
      </c>
    </row>
    <row r="103" customFormat="false" ht="14.25" hidden="false" customHeight="true" outlineLevel="0" collapsed="false">
      <c r="A103" s="139" t="n">
        <f aca="false">WP_상세!A100</f>
        <v>96</v>
      </c>
      <c r="B103" s="139" t="str">
        <f aca="false">WP_상세!B100</f>
        <v>SWE.3-ASW</v>
      </c>
      <c r="C103" s="139" t="str">
        <f aca="false">WP_상세!F100</f>
        <v>Consistency Evidence / 상세설계-아키텍처/소스코드/요구사항 추적성 매트릭스</v>
      </c>
      <c r="D103" s="139" t="str">
        <f aca="false">WP_상세!G100</f>
        <v>Proto</v>
      </c>
      <c r="E103" s="139" t="str">
        <f aca="false">WP_상세!H100</f>
        <v>Discrete</v>
      </c>
      <c r="F103" s="139" t="str">
        <f aca="false">WP_상세!I100</f>
        <v>N</v>
      </c>
      <c r="G103" s="140" t="n">
        <f aca="false">WP_상세!J100</f>
        <v>1</v>
      </c>
      <c r="H103" s="141" t="n">
        <f aca="false">IFERROR(IF($E103&lt;&gt;"Discrete",0,IF(1&lt;MATCH($D103,$B$4:$F$4,0),0,IF($F103&lt;&gt;"Y",IF(1=MATCH($D103,$B$4:$F$4,0),1,0),IF(1=MATCH($D103,$B$4:$F$4,0),$G103+(1-$G103)/(5-MATCH($D103,$B$4:$F$4,0)+1),(1-$G103)/(5-MATCH($D103,$B$4:$F$4,0)+1))))),0)</f>
        <v>0</v>
      </c>
      <c r="I103" s="141" t="n">
        <f aca="false">IFERROR(IF($E103&lt;&gt;"Discrete",0,IF(2&lt;MATCH($D103,$B$4:$F$4,0),0,IF($F103&lt;&gt;"Y",IF(2=MATCH($D103,$B$4:$F$4,0),1,0),IF(2=MATCH($D103,$B$4:$F$4,0),$G103+(1-$G103)/(5-MATCH($D103,$B$4:$F$4,0)+1),(1-$G103)/(5-MATCH($D103,$B$4:$F$4,0)+1))))),0)</f>
        <v>1</v>
      </c>
      <c r="J103" s="141" t="n">
        <f aca="false">IFERROR(IF($E103&lt;&gt;"Discrete",0,IF(3&lt;MATCH($D103,$B$4:$F$4,0),0,IF($F103&lt;&gt;"Y",IF(3=MATCH($D103,$B$4:$F$4,0),1,0),IF(3=MATCH($D103,$B$4:$F$4,0),$G103+(1-$G103)/(5-MATCH($D103,$B$4:$F$4,0)+1),(1-$G103)/(5-MATCH($D103,$B$4:$F$4,0)+1))))),0)</f>
        <v>0</v>
      </c>
      <c r="K103" s="141" t="n">
        <f aca="false">IFERROR(IF($E103&lt;&gt;"Discrete",0,IF(4&lt;MATCH($D103,$B$4:$F$4,0),0,IF($F103&lt;&gt;"Y",IF(4=MATCH($D103,$B$4:$F$4,0),1,0),IF(4=MATCH($D103,$B$4:$F$4,0),$G103+(1-$G103)/(5-MATCH($D103,$B$4:$F$4,0)+1),(1-$G103)/(5-MATCH($D103,$B$4:$F$4,0)+1))))),0)</f>
        <v>0</v>
      </c>
      <c r="L103" s="141" t="n">
        <f aca="false">IFERROR(IF($E103&lt;&gt;"Discrete",0,IF(5&lt;MATCH($D103,$B$4:$F$4,0),0,IF($F103&lt;&gt;"Y",IF(5=MATCH($D103,$B$4:$F$4,0),1,0),IF(5=MATCH($D103,$B$4:$F$4,0),$G103+(1-$G103)/(5-MATCH($D103,$B$4:$F$4,0)+1),(1-$G103)/(5-MATCH($D103,$B$4:$F$4,0)+1))))),0)</f>
        <v>0</v>
      </c>
    </row>
    <row r="104" customFormat="false" ht="14.25" hidden="false" customHeight="true" outlineLevel="0" collapsed="false">
      <c r="A104" s="139" t="n">
        <f aca="false">WP_상세!A101</f>
        <v>97</v>
      </c>
      <c r="B104" s="139" t="str">
        <f aca="false">WP_상세!B101</f>
        <v>SWE.3-BSW</v>
      </c>
      <c r="C104" s="139" t="str">
        <f aca="false">WP_상세!F101</f>
        <v>Consistency Evidence / 상세설계-아키텍처/소스코드/요구사항 추적성 매트릭스</v>
      </c>
      <c r="D104" s="139" t="str">
        <f aca="false">WP_상세!G101</f>
        <v>Proto</v>
      </c>
      <c r="E104" s="139" t="str">
        <f aca="false">WP_상세!H101</f>
        <v>Discrete</v>
      </c>
      <c r="F104" s="139" t="str">
        <f aca="false">WP_상세!I101</f>
        <v>N</v>
      </c>
      <c r="G104" s="140" t="n">
        <f aca="false">WP_상세!J101</f>
        <v>1</v>
      </c>
      <c r="H104" s="141" t="n">
        <f aca="false">IFERROR(IF($E104&lt;&gt;"Discrete",0,IF(1&lt;MATCH($D104,$B$4:$F$4,0),0,IF($F104&lt;&gt;"Y",IF(1=MATCH($D104,$B$4:$F$4,0),1,0),IF(1=MATCH($D104,$B$4:$F$4,0),$G104+(1-$G104)/(5-MATCH($D104,$B$4:$F$4,0)+1),(1-$G104)/(5-MATCH($D104,$B$4:$F$4,0)+1))))),0)</f>
        <v>0</v>
      </c>
      <c r="I104" s="141" t="n">
        <f aca="false">IFERROR(IF($E104&lt;&gt;"Discrete",0,IF(2&lt;MATCH($D104,$B$4:$F$4,0),0,IF($F104&lt;&gt;"Y",IF(2=MATCH($D104,$B$4:$F$4,0),1,0),IF(2=MATCH($D104,$B$4:$F$4,0),$G104+(1-$G104)/(5-MATCH($D104,$B$4:$F$4,0)+1),(1-$G104)/(5-MATCH($D104,$B$4:$F$4,0)+1))))),0)</f>
        <v>1</v>
      </c>
      <c r="J104" s="141" t="n">
        <f aca="false">IFERROR(IF($E104&lt;&gt;"Discrete",0,IF(3&lt;MATCH($D104,$B$4:$F$4,0),0,IF($F104&lt;&gt;"Y",IF(3=MATCH($D104,$B$4:$F$4,0),1,0),IF(3=MATCH($D104,$B$4:$F$4,0),$G104+(1-$G104)/(5-MATCH($D104,$B$4:$F$4,0)+1),(1-$G104)/(5-MATCH($D104,$B$4:$F$4,0)+1))))),0)</f>
        <v>0</v>
      </c>
      <c r="K104" s="141" t="n">
        <f aca="false">IFERROR(IF($E104&lt;&gt;"Discrete",0,IF(4&lt;MATCH($D104,$B$4:$F$4,0),0,IF($F104&lt;&gt;"Y",IF(4=MATCH($D104,$B$4:$F$4,0),1,0),IF(4=MATCH($D104,$B$4:$F$4,0),$G104+(1-$G104)/(5-MATCH($D104,$B$4:$F$4,0)+1),(1-$G104)/(5-MATCH($D104,$B$4:$F$4,0)+1))))),0)</f>
        <v>0</v>
      </c>
      <c r="L104" s="141" t="n">
        <f aca="false">IFERROR(IF($E104&lt;&gt;"Discrete",0,IF(5&lt;MATCH($D104,$B$4:$F$4,0),0,IF($F104&lt;&gt;"Y",IF(5=MATCH($D104,$B$4:$F$4,0),1,0),IF(5=MATCH($D104,$B$4:$F$4,0),$G104+(1-$G104)/(5-MATCH($D104,$B$4:$F$4,0)+1),(1-$G104)/(5-MATCH($D104,$B$4:$F$4,0)+1))))),0)</f>
        <v>0</v>
      </c>
    </row>
    <row r="105" customFormat="false" ht="14.25" hidden="false" customHeight="true" outlineLevel="0" collapsed="false">
      <c r="A105" s="139" t="n">
        <f aca="false">WP_상세!A102</f>
        <v>98</v>
      </c>
      <c r="B105" s="139" t="str">
        <f aca="false">WP_상세!B102</f>
        <v>SWE.3-ASW</v>
      </c>
      <c r="C105" s="139" t="str">
        <f aca="false">WP_상세!F102</f>
        <v>Communication Evidence / 합의된 상세설계 및 SW단위 공유기록</v>
      </c>
      <c r="D105" s="139" t="str">
        <f aca="false">WP_상세!G102</f>
        <v>Proto</v>
      </c>
      <c r="E105" s="139" t="str">
        <f aca="false">WP_상세!H102</f>
        <v>Discrete</v>
      </c>
      <c r="F105" s="139" t="str">
        <f aca="false">WP_상세!I102</f>
        <v>N</v>
      </c>
      <c r="G105" s="140" t="n">
        <f aca="false">WP_상세!J102</f>
        <v>1</v>
      </c>
      <c r="H105" s="141" t="n">
        <f aca="false">IFERROR(IF($E105&lt;&gt;"Discrete",0,IF(1&lt;MATCH($D105,$B$4:$F$4,0),0,IF($F105&lt;&gt;"Y",IF(1=MATCH($D105,$B$4:$F$4,0),1,0),IF(1=MATCH($D105,$B$4:$F$4,0),$G105+(1-$G105)/(5-MATCH($D105,$B$4:$F$4,0)+1),(1-$G105)/(5-MATCH($D105,$B$4:$F$4,0)+1))))),0)</f>
        <v>0</v>
      </c>
      <c r="I105" s="141" t="n">
        <f aca="false">IFERROR(IF($E105&lt;&gt;"Discrete",0,IF(2&lt;MATCH($D105,$B$4:$F$4,0),0,IF($F105&lt;&gt;"Y",IF(2=MATCH($D105,$B$4:$F$4,0),1,0),IF(2=MATCH($D105,$B$4:$F$4,0),$G105+(1-$G105)/(5-MATCH($D105,$B$4:$F$4,0)+1),(1-$G105)/(5-MATCH($D105,$B$4:$F$4,0)+1))))),0)</f>
        <v>1</v>
      </c>
      <c r="J105" s="141" t="n">
        <f aca="false">IFERROR(IF($E105&lt;&gt;"Discrete",0,IF(3&lt;MATCH($D105,$B$4:$F$4,0),0,IF($F105&lt;&gt;"Y",IF(3=MATCH($D105,$B$4:$F$4,0),1,0),IF(3=MATCH($D105,$B$4:$F$4,0),$G105+(1-$G105)/(5-MATCH($D105,$B$4:$F$4,0)+1),(1-$G105)/(5-MATCH($D105,$B$4:$F$4,0)+1))))),0)</f>
        <v>0</v>
      </c>
      <c r="K105" s="141" t="n">
        <f aca="false">IFERROR(IF($E105&lt;&gt;"Discrete",0,IF(4&lt;MATCH($D105,$B$4:$F$4,0),0,IF($F105&lt;&gt;"Y",IF(4=MATCH($D105,$B$4:$F$4,0),1,0),IF(4=MATCH($D105,$B$4:$F$4,0),$G105+(1-$G105)/(5-MATCH($D105,$B$4:$F$4,0)+1),(1-$G105)/(5-MATCH($D105,$B$4:$F$4,0)+1))))),0)</f>
        <v>0</v>
      </c>
      <c r="L105" s="141" t="n">
        <f aca="false">IFERROR(IF($E105&lt;&gt;"Discrete",0,IF(5&lt;MATCH($D105,$B$4:$F$4,0),0,IF($F105&lt;&gt;"Y",IF(5=MATCH($D105,$B$4:$F$4,0),1,0),IF(5=MATCH($D105,$B$4:$F$4,0),$G105+(1-$G105)/(5-MATCH($D105,$B$4:$F$4,0)+1),(1-$G105)/(5-MATCH($D105,$B$4:$F$4,0)+1))))),0)</f>
        <v>0</v>
      </c>
    </row>
    <row r="106" customFormat="false" ht="14.25" hidden="false" customHeight="true" outlineLevel="0" collapsed="false">
      <c r="A106" s="139" t="n">
        <f aca="false">WP_상세!A103</f>
        <v>99</v>
      </c>
      <c r="B106" s="139" t="str">
        <f aca="false">WP_상세!B103</f>
        <v>SWE.3-BSW</v>
      </c>
      <c r="C106" s="139" t="str">
        <f aca="false">WP_상세!F103</f>
        <v>Communication Evidence / 합의된 상세설계 및 SW단위 공유기록</v>
      </c>
      <c r="D106" s="139" t="str">
        <f aca="false">WP_상세!G103</f>
        <v>Proto</v>
      </c>
      <c r="E106" s="139" t="str">
        <f aca="false">WP_상세!H103</f>
        <v>Discrete</v>
      </c>
      <c r="F106" s="139" t="str">
        <f aca="false">WP_상세!I103</f>
        <v>N</v>
      </c>
      <c r="G106" s="140" t="n">
        <f aca="false">WP_상세!J103</f>
        <v>1</v>
      </c>
      <c r="H106" s="141" t="n">
        <f aca="false">IFERROR(IF($E106&lt;&gt;"Discrete",0,IF(1&lt;MATCH($D106,$B$4:$F$4,0),0,IF($F106&lt;&gt;"Y",IF(1=MATCH($D106,$B$4:$F$4,0),1,0),IF(1=MATCH($D106,$B$4:$F$4,0),$G106+(1-$G106)/(5-MATCH($D106,$B$4:$F$4,0)+1),(1-$G106)/(5-MATCH($D106,$B$4:$F$4,0)+1))))),0)</f>
        <v>0</v>
      </c>
      <c r="I106" s="141" t="n">
        <f aca="false">IFERROR(IF($E106&lt;&gt;"Discrete",0,IF(2&lt;MATCH($D106,$B$4:$F$4,0),0,IF($F106&lt;&gt;"Y",IF(2=MATCH($D106,$B$4:$F$4,0),1,0),IF(2=MATCH($D106,$B$4:$F$4,0),$G106+(1-$G106)/(5-MATCH($D106,$B$4:$F$4,0)+1),(1-$G106)/(5-MATCH($D106,$B$4:$F$4,0)+1))))),0)</f>
        <v>1</v>
      </c>
      <c r="J106" s="141" t="n">
        <f aca="false">IFERROR(IF($E106&lt;&gt;"Discrete",0,IF(3&lt;MATCH($D106,$B$4:$F$4,0),0,IF($F106&lt;&gt;"Y",IF(3=MATCH($D106,$B$4:$F$4,0),1,0),IF(3=MATCH($D106,$B$4:$F$4,0),$G106+(1-$G106)/(5-MATCH($D106,$B$4:$F$4,0)+1),(1-$G106)/(5-MATCH($D106,$B$4:$F$4,0)+1))))),0)</f>
        <v>0</v>
      </c>
      <c r="K106" s="141" t="n">
        <f aca="false">IFERROR(IF($E106&lt;&gt;"Discrete",0,IF(4&lt;MATCH($D106,$B$4:$F$4,0),0,IF($F106&lt;&gt;"Y",IF(4=MATCH($D106,$B$4:$F$4,0),1,0),IF(4=MATCH($D106,$B$4:$F$4,0),$G106+(1-$G106)/(5-MATCH($D106,$B$4:$F$4,0)+1),(1-$G106)/(5-MATCH($D106,$B$4:$F$4,0)+1))))),0)</f>
        <v>0</v>
      </c>
      <c r="L106" s="141" t="n">
        <f aca="false">IFERROR(IF($E106&lt;&gt;"Discrete",0,IF(5&lt;MATCH($D106,$B$4:$F$4,0),0,IF($F106&lt;&gt;"Y",IF(5=MATCH($D106,$B$4:$F$4,0),1,0),IF(5=MATCH($D106,$B$4:$F$4,0),$G106+(1-$G106)/(5-MATCH($D106,$B$4:$F$4,0)+1),(1-$G106)/(5-MATCH($D106,$B$4:$F$4,0)+1))))),0)</f>
        <v>0</v>
      </c>
    </row>
    <row r="107" customFormat="false" ht="14.25" hidden="false" customHeight="true" outlineLevel="0" collapsed="false">
      <c r="A107" s="139" t="n">
        <f aca="false">WP_상세!A104</f>
        <v>100</v>
      </c>
      <c r="B107" s="139" t="str">
        <f aca="false">WP_상세!B104</f>
        <v>SWE.4-ASW</v>
      </c>
      <c r="C107" s="139" t="str">
        <f aca="false">WP_상세!F104</f>
        <v>Verification Measure / 소프트웨어 단위검증 방안서</v>
      </c>
      <c r="D107" s="139" t="str">
        <f aca="false">WP_상세!G104</f>
        <v>Proto</v>
      </c>
      <c r="E107" s="139" t="str">
        <f aca="false">WP_상세!H104</f>
        <v>Discrete</v>
      </c>
      <c r="F107" s="139" t="str">
        <f aca="false">WP_상세!I104</f>
        <v>N</v>
      </c>
      <c r="G107" s="140" t="n">
        <f aca="false">WP_상세!J104</f>
        <v>1</v>
      </c>
      <c r="H107" s="141" t="n">
        <f aca="false">IFERROR(IF($E107&lt;&gt;"Discrete",0,IF(1&lt;MATCH($D107,$B$4:$F$4,0),0,IF($F107&lt;&gt;"Y",IF(1=MATCH($D107,$B$4:$F$4,0),1,0),IF(1=MATCH($D107,$B$4:$F$4,0),$G107+(1-$G107)/(5-MATCH($D107,$B$4:$F$4,0)+1),(1-$G107)/(5-MATCH($D107,$B$4:$F$4,0)+1))))),0)</f>
        <v>0</v>
      </c>
      <c r="I107" s="141" t="n">
        <f aca="false">IFERROR(IF($E107&lt;&gt;"Discrete",0,IF(2&lt;MATCH($D107,$B$4:$F$4,0),0,IF($F107&lt;&gt;"Y",IF(2=MATCH($D107,$B$4:$F$4,0),1,0),IF(2=MATCH($D107,$B$4:$F$4,0),$G107+(1-$G107)/(5-MATCH($D107,$B$4:$F$4,0)+1),(1-$G107)/(5-MATCH($D107,$B$4:$F$4,0)+1))))),0)</f>
        <v>1</v>
      </c>
      <c r="J107" s="141" t="n">
        <f aca="false">IFERROR(IF($E107&lt;&gt;"Discrete",0,IF(3&lt;MATCH($D107,$B$4:$F$4,0),0,IF($F107&lt;&gt;"Y",IF(3=MATCH($D107,$B$4:$F$4,0),1,0),IF(3=MATCH($D107,$B$4:$F$4,0),$G107+(1-$G107)/(5-MATCH($D107,$B$4:$F$4,0)+1),(1-$G107)/(5-MATCH($D107,$B$4:$F$4,0)+1))))),0)</f>
        <v>0</v>
      </c>
      <c r="K107" s="141" t="n">
        <f aca="false">IFERROR(IF($E107&lt;&gt;"Discrete",0,IF(4&lt;MATCH($D107,$B$4:$F$4,0),0,IF($F107&lt;&gt;"Y",IF(4=MATCH($D107,$B$4:$F$4,0),1,0),IF(4=MATCH($D107,$B$4:$F$4,0),$G107+(1-$G107)/(5-MATCH($D107,$B$4:$F$4,0)+1),(1-$G107)/(5-MATCH($D107,$B$4:$F$4,0)+1))))),0)</f>
        <v>0</v>
      </c>
      <c r="L107" s="141" t="n">
        <f aca="false">IFERROR(IF($E107&lt;&gt;"Discrete",0,IF(5&lt;MATCH($D107,$B$4:$F$4,0),0,IF($F107&lt;&gt;"Y",IF(5=MATCH($D107,$B$4:$F$4,0),1,0),IF(5=MATCH($D107,$B$4:$F$4,0),$G107+(1-$G107)/(5-MATCH($D107,$B$4:$F$4,0)+1),(1-$G107)/(5-MATCH($D107,$B$4:$F$4,0)+1))))),0)</f>
        <v>0</v>
      </c>
    </row>
    <row r="108" customFormat="false" ht="14.25" hidden="false" customHeight="true" outlineLevel="0" collapsed="false">
      <c r="A108" s="139" t="n">
        <f aca="false">WP_상세!A105</f>
        <v>101</v>
      </c>
      <c r="B108" s="139" t="str">
        <f aca="false">WP_상세!B105</f>
        <v>SWE.4-BSW</v>
      </c>
      <c r="C108" s="139" t="str">
        <f aca="false">WP_상세!F105</f>
        <v>Verification Measure / 소프트웨어 단위검증 방안서</v>
      </c>
      <c r="D108" s="139" t="str">
        <f aca="false">WP_상세!G105</f>
        <v>Proto</v>
      </c>
      <c r="E108" s="139" t="str">
        <f aca="false">WP_상세!H105</f>
        <v>Discrete</v>
      </c>
      <c r="F108" s="139" t="str">
        <f aca="false">WP_상세!I105</f>
        <v>N</v>
      </c>
      <c r="G108" s="140" t="n">
        <f aca="false">WP_상세!J105</f>
        <v>1</v>
      </c>
      <c r="H108" s="141" t="n">
        <f aca="false">IFERROR(IF($E108&lt;&gt;"Discrete",0,IF(1&lt;MATCH($D108,$B$4:$F$4,0),0,IF($F108&lt;&gt;"Y",IF(1=MATCH($D108,$B$4:$F$4,0),1,0),IF(1=MATCH($D108,$B$4:$F$4,0),$G108+(1-$G108)/(5-MATCH($D108,$B$4:$F$4,0)+1),(1-$G108)/(5-MATCH($D108,$B$4:$F$4,0)+1))))),0)</f>
        <v>0</v>
      </c>
      <c r="I108" s="141" t="n">
        <f aca="false">IFERROR(IF($E108&lt;&gt;"Discrete",0,IF(2&lt;MATCH($D108,$B$4:$F$4,0),0,IF($F108&lt;&gt;"Y",IF(2=MATCH($D108,$B$4:$F$4,0),1,0),IF(2=MATCH($D108,$B$4:$F$4,0),$G108+(1-$G108)/(5-MATCH($D108,$B$4:$F$4,0)+1),(1-$G108)/(5-MATCH($D108,$B$4:$F$4,0)+1))))),0)</f>
        <v>1</v>
      </c>
      <c r="J108" s="141" t="n">
        <f aca="false">IFERROR(IF($E108&lt;&gt;"Discrete",0,IF(3&lt;MATCH($D108,$B$4:$F$4,0),0,IF($F108&lt;&gt;"Y",IF(3=MATCH($D108,$B$4:$F$4,0),1,0),IF(3=MATCH($D108,$B$4:$F$4,0),$G108+(1-$G108)/(5-MATCH($D108,$B$4:$F$4,0)+1),(1-$G108)/(5-MATCH($D108,$B$4:$F$4,0)+1))))),0)</f>
        <v>0</v>
      </c>
      <c r="K108" s="141" t="n">
        <f aca="false">IFERROR(IF($E108&lt;&gt;"Discrete",0,IF(4&lt;MATCH($D108,$B$4:$F$4,0),0,IF($F108&lt;&gt;"Y",IF(4=MATCH($D108,$B$4:$F$4,0),1,0),IF(4=MATCH($D108,$B$4:$F$4,0),$G108+(1-$G108)/(5-MATCH($D108,$B$4:$F$4,0)+1),(1-$G108)/(5-MATCH($D108,$B$4:$F$4,0)+1))))),0)</f>
        <v>0</v>
      </c>
      <c r="L108" s="141" t="n">
        <f aca="false">IFERROR(IF($E108&lt;&gt;"Discrete",0,IF(5&lt;MATCH($D108,$B$4:$F$4,0),0,IF($F108&lt;&gt;"Y",IF(5=MATCH($D108,$B$4:$F$4,0),1,0),IF(5=MATCH($D108,$B$4:$F$4,0),$G108+(1-$G108)/(5-MATCH($D108,$B$4:$F$4,0)+1),(1-$G108)/(5-MATCH($D108,$B$4:$F$4,0)+1))))),0)</f>
        <v>0</v>
      </c>
    </row>
    <row r="109" customFormat="false" ht="14.25" hidden="false" customHeight="true" outlineLevel="0" collapsed="false">
      <c r="A109" s="139" t="n">
        <f aca="false">WP_상세!A106</f>
        <v>102</v>
      </c>
      <c r="B109" s="139" t="str">
        <f aca="false">WP_상세!B106</f>
        <v>SWE.4-ASW</v>
      </c>
      <c r="C109" s="139" t="str">
        <f aca="false">WP_상세!F106</f>
        <v>Verification Measure Selection Set / 단위검증 방안 선정목록</v>
      </c>
      <c r="D109" s="139" t="str">
        <f aca="false">WP_상세!G106</f>
        <v>Proto</v>
      </c>
      <c r="E109" s="139" t="str">
        <f aca="false">WP_상세!H106</f>
        <v>Discrete</v>
      </c>
      <c r="F109" s="139" t="str">
        <f aca="false">WP_상세!I106</f>
        <v>N</v>
      </c>
      <c r="G109" s="140" t="n">
        <f aca="false">WP_상세!J106</f>
        <v>1</v>
      </c>
      <c r="H109" s="141" t="n">
        <f aca="false">IFERROR(IF($E109&lt;&gt;"Discrete",0,IF(1&lt;MATCH($D109,$B$4:$F$4,0),0,IF($F109&lt;&gt;"Y",IF(1=MATCH($D109,$B$4:$F$4,0),1,0),IF(1=MATCH($D109,$B$4:$F$4,0),$G109+(1-$G109)/(5-MATCH($D109,$B$4:$F$4,0)+1),(1-$G109)/(5-MATCH($D109,$B$4:$F$4,0)+1))))),0)</f>
        <v>0</v>
      </c>
      <c r="I109" s="141" t="n">
        <f aca="false">IFERROR(IF($E109&lt;&gt;"Discrete",0,IF(2&lt;MATCH($D109,$B$4:$F$4,0),0,IF($F109&lt;&gt;"Y",IF(2=MATCH($D109,$B$4:$F$4,0),1,0),IF(2=MATCH($D109,$B$4:$F$4,0),$G109+(1-$G109)/(5-MATCH($D109,$B$4:$F$4,0)+1),(1-$G109)/(5-MATCH($D109,$B$4:$F$4,0)+1))))),0)</f>
        <v>1</v>
      </c>
      <c r="J109" s="141" t="n">
        <f aca="false">IFERROR(IF($E109&lt;&gt;"Discrete",0,IF(3&lt;MATCH($D109,$B$4:$F$4,0),0,IF($F109&lt;&gt;"Y",IF(3=MATCH($D109,$B$4:$F$4,0),1,0),IF(3=MATCH($D109,$B$4:$F$4,0),$G109+(1-$G109)/(5-MATCH($D109,$B$4:$F$4,0)+1),(1-$G109)/(5-MATCH($D109,$B$4:$F$4,0)+1))))),0)</f>
        <v>0</v>
      </c>
      <c r="K109" s="141" t="n">
        <f aca="false">IFERROR(IF($E109&lt;&gt;"Discrete",0,IF(4&lt;MATCH($D109,$B$4:$F$4,0),0,IF($F109&lt;&gt;"Y",IF(4=MATCH($D109,$B$4:$F$4,0),1,0),IF(4=MATCH($D109,$B$4:$F$4,0),$G109+(1-$G109)/(5-MATCH($D109,$B$4:$F$4,0)+1),(1-$G109)/(5-MATCH($D109,$B$4:$F$4,0)+1))))),0)</f>
        <v>0</v>
      </c>
      <c r="L109" s="141" t="n">
        <f aca="false">IFERROR(IF($E109&lt;&gt;"Discrete",0,IF(5&lt;MATCH($D109,$B$4:$F$4,0),0,IF($F109&lt;&gt;"Y",IF(5=MATCH($D109,$B$4:$F$4,0),1,0),IF(5=MATCH($D109,$B$4:$F$4,0),$G109+(1-$G109)/(5-MATCH($D109,$B$4:$F$4,0)+1),(1-$G109)/(5-MATCH($D109,$B$4:$F$4,0)+1))))),0)</f>
        <v>0</v>
      </c>
    </row>
    <row r="110" customFormat="false" ht="14.25" hidden="false" customHeight="true" outlineLevel="0" collapsed="false">
      <c r="A110" s="139" t="n">
        <f aca="false">WP_상세!A107</f>
        <v>103</v>
      </c>
      <c r="B110" s="139" t="str">
        <f aca="false">WP_상세!B107</f>
        <v>SWE.4-BSW</v>
      </c>
      <c r="C110" s="139" t="str">
        <f aca="false">WP_상세!F107</f>
        <v>Verification Measure Selection Set / 단위검증 방안 선정목록</v>
      </c>
      <c r="D110" s="139" t="str">
        <f aca="false">WP_상세!G107</f>
        <v>Proto</v>
      </c>
      <c r="E110" s="139" t="str">
        <f aca="false">WP_상세!H107</f>
        <v>Discrete</v>
      </c>
      <c r="F110" s="139" t="str">
        <f aca="false">WP_상세!I107</f>
        <v>N</v>
      </c>
      <c r="G110" s="140" t="n">
        <f aca="false">WP_상세!J107</f>
        <v>1</v>
      </c>
      <c r="H110" s="141" t="n">
        <f aca="false">IFERROR(IF($E110&lt;&gt;"Discrete",0,IF(1&lt;MATCH($D110,$B$4:$F$4,0),0,IF($F110&lt;&gt;"Y",IF(1=MATCH($D110,$B$4:$F$4,0),1,0),IF(1=MATCH($D110,$B$4:$F$4,0),$G110+(1-$G110)/(5-MATCH($D110,$B$4:$F$4,0)+1),(1-$G110)/(5-MATCH($D110,$B$4:$F$4,0)+1))))),0)</f>
        <v>0</v>
      </c>
      <c r="I110" s="141" t="n">
        <f aca="false">IFERROR(IF($E110&lt;&gt;"Discrete",0,IF(2&lt;MATCH($D110,$B$4:$F$4,0),0,IF($F110&lt;&gt;"Y",IF(2=MATCH($D110,$B$4:$F$4,0),1,0),IF(2=MATCH($D110,$B$4:$F$4,0),$G110+(1-$G110)/(5-MATCH($D110,$B$4:$F$4,0)+1),(1-$G110)/(5-MATCH($D110,$B$4:$F$4,0)+1))))),0)</f>
        <v>1</v>
      </c>
      <c r="J110" s="141" t="n">
        <f aca="false">IFERROR(IF($E110&lt;&gt;"Discrete",0,IF(3&lt;MATCH($D110,$B$4:$F$4,0),0,IF($F110&lt;&gt;"Y",IF(3=MATCH($D110,$B$4:$F$4,0),1,0),IF(3=MATCH($D110,$B$4:$F$4,0),$G110+(1-$G110)/(5-MATCH($D110,$B$4:$F$4,0)+1),(1-$G110)/(5-MATCH($D110,$B$4:$F$4,0)+1))))),0)</f>
        <v>0</v>
      </c>
      <c r="K110" s="141" t="n">
        <f aca="false">IFERROR(IF($E110&lt;&gt;"Discrete",0,IF(4&lt;MATCH($D110,$B$4:$F$4,0),0,IF($F110&lt;&gt;"Y",IF(4=MATCH($D110,$B$4:$F$4,0),1,0),IF(4=MATCH($D110,$B$4:$F$4,0),$G110+(1-$G110)/(5-MATCH($D110,$B$4:$F$4,0)+1),(1-$G110)/(5-MATCH($D110,$B$4:$F$4,0)+1))))),0)</f>
        <v>0</v>
      </c>
      <c r="L110" s="141" t="n">
        <f aca="false">IFERROR(IF($E110&lt;&gt;"Discrete",0,IF(5&lt;MATCH($D110,$B$4:$F$4,0),0,IF($F110&lt;&gt;"Y",IF(5=MATCH($D110,$B$4:$F$4,0),1,0),IF(5=MATCH($D110,$B$4:$F$4,0),$G110+(1-$G110)/(5-MATCH($D110,$B$4:$F$4,0)+1),(1-$G110)/(5-MATCH($D110,$B$4:$F$4,0)+1))))),0)</f>
        <v>0</v>
      </c>
    </row>
    <row r="111" customFormat="false" ht="14.25" hidden="false" customHeight="true" outlineLevel="0" collapsed="false">
      <c r="A111" s="139" t="n">
        <f aca="false">WP_상세!A108</f>
        <v>104</v>
      </c>
      <c r="B111" s="139" t="str">
        <f aca="false">WP_상세!B108</f>
        <v>SWE.4-ASW</v>
      </c>
      <c r="C111" s="139" t="str">
        <f aca="false">WP_상세!F108</f>
        <v>Verification Results / 소프트웨어 단위검증 결과서</v>
      </c>
      <c r="D111" s="139" t="str">
        <f aca="false">WP_상세!G108</f>
        <v>Proto</v>
      </c>
      <c r="E111" s="139" t="str">
        <f aca="false">WP_상세!H108</f>
        <v>Discrete</v>
      </c>
      <c r="F111" s="139" t="str">
        <f aca="false">WP_상세!I108</f>
        <v>N</v>
      </c>
      <c r="G111" s="140" t="n">
        <f aca="false">WP_상세!J108</f>
        <v>1</v>
      </c>
      <c r="H111" s="141" t="n">
        <f aca="false">IFERROR(IF($E111&lt;&gt;"Discrete",0,IF(1&lt;MATCH($D111,$B$4:$F$4,0),0,IF($F111&lt;&gt;"Y",IF(1=MATCH($D111,$B$4:$F$4,0),1,0),IF(1=MATCH($D111,$B$4:$F$4,0),$G111+(1-$G111)/(5-MATCH($D111,$B$4:$F$4,0)+1),(1-$G111)/(5-MATCH($D111,$B$4:$F$4,0)+1))))),0)</f>
        <v>0</v>
      </c>
      <c r="I111" s="141" t="n">
        <f aca="false">IFERROR(IF($E111&lt;&gt;"Discrete",0,IF(2&lt;MATCH($D111,$B$4:$F$4,0),0,IF($F111&lt;&gt;"Y",IF(2=MATCH($D111,$B$4:$F$4,0),1,0),IF(2=MATCH($D111,$B$4:$F$4,0),$G111+(1-$G111)/(5-MATCH($D111,$B$4:$F$4,0)+1),(1-$G111)/(5-MATCH($D111,$B$4:$F$4,0)+1))))),0)</f>
        <v>1</v>
      </c>
      <c r="J111" s="141" t="n">
        <f aca="false">IFERROR(IF($E111&lt;&gt;"Discrete",0,IF(3&lt;MATCH($D111,$B$4:$F$4,0),0,IF($F111&lt;&gt;"Y",IF(3=MATCH($D111,$B$4:$F$4,0),1,0),IF(3=MATCH($D111,$B$4:$F$4,0),$G111+(1-$G111)/(5-MATCH($D111,$B$4:$F$4,0)+1),(1-$G111)/(5-MATCH($D111,$B$4:$F$4,0)+1))))),0)</f>
        <v>0</v>
      </c>
      <c r="K111" s="141" t="n">
        <f aca="false">IFERROR(IF($E111&lt;&gt;"Discrete",0,IF(4&lt;MATCH($D111,$B$4:$F$4,0),0,IF($F111&lt;&gt;"Y",IF(4=MATCH($D111,$B$4:$F$4,0),1,0),IF(4=MATCH($D111,$B$4:$F$4,0),$G111+(1-$G111)/(5-MATCH($D111,$B$4:$F$4,0)+1),(1-$G111)/(5-MATCH($D111,$B$4:$F$4,0)+1))))),0)</f>
        <v>0</v>
      </c>
      <c r="L111" s="141" t="n">
        <f aca="false">IFERROR(IF($E111&lt;&gt;"Discrete",0,IF(5&lt;MATCH($D111,$B$4:$F$4,0),0,IF($F111&lt;&gt;"Y",IF(5=MATCH($D111,$B$4:$F$4,0),1,0),IF(5=MATCH($D111,$B$4:$F$4,0),$G111+(1-$G111)/(5-MATCH($D111,$B$4:$F$4,0)+1),(1-$G111)/(5-MATCH($D111,$B$4:$F$4,0)+1))))),0)</f>
        <v>0</v>
      </c>
    </row>
    <row r="112" customFormat="false" ht="14.25" hidden="false" customHeight="true" outlineLevel="0" collapsed="false">
      <c r="A112" s="139" t="n">
        <f aca="false">WP_상세!A109</f>
        <v>105</v>
      </c>
      <c r="B112" s="139" t="str">
        <f aca="false">WP_상세!B109</f>
        <v>SWE.4-BSW</v>
      </c>
      <c r="C112" s="139" t="str">
        <f aca="false">WP_상세!F109</f>
        <v>Verification Results / 소프트웨어 단위검증 결과서</v>
      </c>
      <c r="D112" s="139" t="str">
        <f aca="false">WP_상세!G109</f>
        <v>Proto</v>
      </c>
      <c r="E112" s="139" t="str">
        <f aca="false">WP_상세!H109</f>
        <v>Discrete</v>
      </c>
      <c r="F112" s="139" t="str">
        <f aca="false">WP_상세!I109</f>
        <v>N</v>
      </c>
      <c r="G112" s="140" t="n">
        <f aca="false">WP_상세!J109</f>
        <v>1</v>
      </c>
      <c r="H112" s="141" t="n">
        <f aca="false">IFERROR(IF($E112&lt;&gt;"Discrete",0,IF(1&lt;MATCH($D112,$B$4:$F$4,0),0,IF($F112&lt;&gt;"Y",IF(1=MATCH($D112,$B$4:$F$4,0),1,0),IF(1=MATCH($D112,$B$4:$F$4,0),$G112+(1-$G112)/(5-MATCH($D112,$B$4:$F$4,0)+1),(1-$G112)/(5-MATCH($D112,$B$4:$F$4,0)+1))))),0)</f>
        <v>0</v>
      </c>
      <c r="I112" s="141" t="n">
        <f aca="false">IFERROR(IF($E112&lt;&gt;"Discrete",0,IF(2&lt;MATCH($D112,$B$4:$F$4,0),0,IF($F112&lt;&gt;"Y",IF(2=MATCH($D112,$B$4:$F$4,0),1,0),IF(2=MATCH($D112,$B$4:$F$4,0),$G112+(1-$G112)/(5-MATCH($D112,$B$4:$F$4,0)+1),(1-$G112)/(5-MATCH($D112,$B$4:$F$4,0)+1))))),0)</f>
        <v>1</v>
      </c>
      <c r="J112" s="141" t="n">
        <f aca="false">IFERROR(IF($E112&lt;&gt;"Discrete",0,IF(3&lt;MATCH($D112,$B$4:$F$4,0),0,IF($F112&lt;&gt;"Y",IF(3=MATCH($D112,$B$4:$F$4,0),1,0),IF(3=MATCH($D112,$B$4:$F$4,0),$G112+(1-$G112)/(5-MATCH($D112,$B$4:$F$4,0)+1),(1-$G112)/(5-MATCH($D112,$B$4:$F$4,0)+1))))),0)</f>
        <v>0</v>
      </c>
      <c r="K112" s="141" t="n">
        <f aca="false">IFERROR(IF($E112&lt;&gt;"Discrete",0,IF(4&lt;MATCH($D112,$B$4:$F$4,0),0,IF($F112&lt;&gt;"Y",IF(4=MATCH($D112,$B$4:$F$4,0),1,0),IF(4=MATCH($D112,$B$4:$F$4,0),$G112+(1-$G112)/(5-MATCH($D112,$B$4:$F$4,0)+1),(1-$G112)/(5-MATCH($D112,$B$4:$F$4,0)+1))))),0)</f>
        <v>0</v>
      </c>
      <c r="L112" s="141" t="n">
        <f aca="false">IFERROR(IF($E112&lt;&gt;"Discrete",0,IF(5&lt;MATCH($D112,$B$4:$F$4,0),0,IF($F112&lt;&gt;"Y",IF(5=MATCH($D112,$B$4:$F$4,0),1,0),IF(5=MATCH($D112,$B$4:$F$4,0),$G112+(1-$G112)/(5-MATCH($D112,$B$4:$F$4,0)+1),(1-$G112)/(5-MATCH($D112,$B$4:$F$4,0)+1))))),0)</f>
        <v>0</v>
      </c>
    </row>
    <row r="113" customFormat="false" ht="14.25" hidden="false" customHeight="true" outlineLevel="0" collapsed="false">
      <c r="A113" s="139" t="n">
        <f aca="false">WP_상세!A110</f>
        <v>106</v>
      </c>
      <c r="B113" s="139" t="str">
        <f aca="false">WP_상세!B110</f>
        <v>SWE.4-ASW</v>
      </c>
      <c r="C113" s="139" t="str">
        <f aca="false">WP_상세!F110</f>
        <v>Consistency Evidence / 검증방안-SW단위/검증결과 추적성 매트릭스</v>
      </c>
      <c r="D113" s="139" t="str">
        <f aca="false">WP_상세!G110</f>
        <v>Proto</v>
      </c>
      <c r="E113" s="139" t="str">
        <f aca="false">WP_상세!H110</f>
        <v>Discrete</v>
      </c>
      <c r="F113" s="139" t="str">
        <f aca="false">WP_상세!I110</f>
        <v>N</v>
      </c>
      <c r="G113" s="140" t="n">
        <f aca="false">WP_상세!J110</f>
        <v>1</v>
      </c>
      <c r="H113" s="141" t="n">
        <f aca="false">IFERROR(IF($E113&lt;&gt;"Discrete",0,IF(1&lt;MATCH($D113,$B$4:$F$4,0),0,IF($F113&lt;&gt;"Y",IF(1=MATCH($D113,$B$4:$F$4,0),1,0),IF(1=MATCH($D113,$B$4:$F$4,0),$G113+(1-$G113)/(5-MATCH($D113,$B$4:$F$4,0)+1),(1-$G113)/(5-MATCH($D113,$B$4:$F$4,0)+1))))),0)</f>
        <v>0</v>
      </c>
      <c r="I113" s="141" t="n">
        <f aca="false">IFERROR(IF($E113&lt;&gt;"Discrete",0,IF(2&lt;MATCH($D113,$B$4:$F$4,0),0,IF($F113&lt;&gt;"Y",IF(2=MATCH($D113,$B$4:$F$4,0),1,0),IF(2=MATCH($D113,$B$4:$F$4,0),$G113+(1-$G113)/(5-MATCH($D113,$B$4:$F$4,0)+1),(1-$G113)/(5-MATCH($D113,$B$4:$F$4,0)+1))))),0)</f>
        <v>1</v>
      </c>
      <c r="J113" s="141" t="n">
        <f aca="false">IFERROR(IF($E113&lt;&gt;"Discrete",0,IF(3&lt;MATCH($D113,$B$4:$F$4,0),0,IF($F113&lt;&gt;"Y",IF(3=MATCH($D113,$B$4:$F$4,0),1,0),IF(3=MATCH($D113,$B$4:$F$4,0),$G113+(1-$G113)/(5-MATCH($D113,$B$4:$F$4,0)+1),(1-$G113)/(5-MATCH($D113,$B$4:$F$4,0)+1))))),0)</f>
        <v>0</v>
      </c>
      <c r="K113" s="141" t="n">
        <f aca="false">IFERROR(IF($E113&lt;&gt;"Discrete",0,IF(4&lt;MATCH($D113,$B$4:$F$4,0),0,IF($F113&lt;&gt;"Y",IF(4=MATCH($D113,$B$4:$F$4,0),1,0),IF(4=MATCH($D113,$B$4:$F$4,0),$G113+(1-$G113)/(5-MATCH($D113,$B$4:$F$4,0)+1),(1-$G113)/(5-MATCH($D113,$B$4:$F$4,0)+1))))),0)</f>
        <v>0</v>
      </c>
      <c r="L113" s="141" t="n">
        <f aca="false">IFERROR(IF($E113&lt;&gt;"Discrete",0,IF(5&lt;MATCH($D113,$B$4:$F$4,0),0,IF($F113&lt;&gt;"Y",IF(5=MATCH($D113,$B$4:$F$4,0),1,0),IF(5=MATCH($D113,$B$4:$F$4,0),$G113+(1-$G113)/(5-MATCH($D113,$B$4:$F$4,0)+1),(1-$G113)/(5-MATCH($D113,$B$4:$F$4,0)+1))))),0)</f>
        <v>0</v>
      </c>
    </row>
    <row r="114" customFormat="false" ht="14.25" hidden="false" customHeight="true" outlineLevel="0" collapsed="false">
      <c r="A114" s="139" t="n">
        <f aca="false">WP_상세!A111</f>
        <v>107</v>
      </c>
      <c r="B114" s="139" t="str">
        <f aca="false">WP_상세!B111</f>
        <v>SWE.4-BSW</v>
      </c>
      <c r="C114" s="139" t="str">
        <f aca="false">WP_상세!F111</f>
        <v>Consistency Evidence / 검증방안-SW단위/검증결과 추적성 매트릭스</v>
      </c>
      <c r="D114" s="139" t="str">
        <f aca="false">WP_상세!G111</f>
        <v>Proto</v>
      </c>
      <c r="E114" s="139" t="str">
        <f aca="false">WP_상세!H111</f>
        <v>Discrete</v>
      </c>
      <c r="F114" s="139" t="str">
        <f aca="false">WP_상세!I111</f>
        <v>N</v>
      </c>
      <c r="G114" s="140" t="n">
        <f aca="false">WP_상세!J111</f>
        <v>1</v>
      </c>
      <c r="H114" s="141" t="n">
        <f aca="false">IFERROR(IF($E114&lt;&gt;"Discrete",0,IF(1&lt;MATCH($D114,$B$4:$F$4,0),0,IF($F114&lt;&gt;"Y",IF(1=MATCH($D114,$B$4:$F$4,0),1,0),IF(1=MATCH($D114,$B$4:$F$4,0),$G114+(1-$G114)/(5-MATCH($D114,$B$4:$F$4,0)+1),(1-$G114)/(5-MATCH($D114,$B$4:$F$4,0)+1))))),0)</f>
        <v>0</v>
      </c>
      <c r="I114" s="141" t="n">
        <f aca="false">IFERROR(IF($E114&lt;&gt;"Discrete",0,IF(2&lt;MATCH($D114,$B$4:$F$4,0),0,IF($F114&lt;&gt;"Y",IF(2=MATCH($D114,$B$4:$F$4,0),1,0),IF(2=MATCH($D114,$B$4:$F$4,0),$G114+(1-$G114)/(5-MATCH($D114,$B$4:$F$4,0)+1),(1-$G114)/(5-MATCH($D114,$B$4:$F$4,0)+1))))),0)</f>
        <v>1</v>
      </c>
      <c r="J114" s="141" t="n">
        <f aca="false">IFERROR(IF($E114&lt;&gt;"Discrete",0,IF(3&lt;MATCH($D114,$B$4:$F$4,0),0,IF($F114&lt;&gt;"Y",IF(3=MATCH($D114,$B$4:$F$4,0),1,0),IF(3=MATCH($D114,$B$4:$F$4,0),$G114+(1-$G114)/(5-MATCH($D114,$B$4:$F$4,0)+1),(1-$G114)/(5-MATCH($D114,$B$4:$F$4,0)+1))))),0)</f>
        <v>0</v>
      </c>
      <c r="K114" s="141" t="n">
        <f aca="false">IFERROR(IF($E114&lt;&gt;"Discrete",0,IF(4&lt;MATCH($D114,$B$4:$F$4,0),0,IF($F114&lt;&gt;"Y",IF(4=MATCH($D114,$B$4:$F$4,0),1,0),IF(4=MATCH($D114,$B$4:$F$4,0),$G114+(1-$G114)/(5-MATCH($D114,$B$4:$F$4,0)+1),(1-$G114)/(5-MATCH($D114,$B$4:$F$4,0)+1))))),0)</f>
        <v>0</v>
      </c>
      <c r="L114" s="141" t="n">
        <f aca="false">IFERROR(IF($E114&lt;&gt;"Discrete",0,IF(5&lt;MATCH($D114,$B$4:$F$4,0),0,IF($F114&lt;&gt;"Y",IF(5=MATCH($D114,$B$4:$F$4,0),1,0),IF(5=MATCH($D114,$B$4:$F$4,0),$G114+(1-$G114)/(5-MATCH($D114,$B$4:$F$4,0)+1),(1-$G114)/(5-MATCH($D114,$B$4:$F$4,0)+1))))),0)</f>
        <v>0</v>
      </c>
    </row>
    <row r="115" customFormat="false" ht="14.25" hidden="false" customHeight="true" outlineLevel="0" collapsed="false">
      <c r="A115" s="139" t="n">
        <f aca="false">WP_상세!A112</f>
        <v>108</v>
      </c>
      <c r="B115" s="139" t="str">
        <f aca="false">WP_상세!B112</f>
        <v>SWE.4-ASW</v>
      </c>
      <c r="C115" s="139" t="str">
        <f aca="false">WP_상세!F112</f>
        <v>Communication Evidence / SW단위검증 결과 요약보고서</v>
      </c>
      <c r="D115" s="139" t="str">
        <f aca="false">WP_상세!G112</f>
        <v>Proto</v>
      </c>
      <c r="E115" s="139" t="str">
        <f aca="false">WP_상세!H112</f>
        <v>Discrete</v>
      </c>
      <c r="F115" s="139" t="str">
        <f aca="false">WP_상세!I112</f>
        <v>N</v>
      </c>
      <c r="G115" s="140" t="n">
        <f aca="false">WP_상세!J112</f>
        <v>1</v>
      </c>
      <c r="H115" s="141" t="n">
        <f aca="false">IFERROR(IF($E115&lt;&gt;"Discrete",0,IF(1&lt;MATCH($D115,$B$4:$F$4,0),0,IF($F115&lt;&gt;"Y",IF(1=MATCH($D115,$B$4:$F$4,0),1,0),IF(1=MATCH($D115,$B$4:$F$4,0),$G115+(1-$G115)/(5-MATCH($D115,$B$4:$F$4,0)+1),(1-$G115)/(5-MATCH($D115,$B$4:$F$4,0)+1))))),0)</f>
        <v>0</v>
      </c>
      <c r="I115" s="141" t="n">
        <f aca="false">IFERROR(IF($E115&lt;&gt;"Discrete",0,IF(2&lt;MATCH($D115,$B$4:$F$4,0),0,IF($F115&lt;&gt;"Y",IF(2=MATCH($D115,$B$4:$F$4,0),1,0),IF(2=MATCH($D115,$B$4:$F$4,0),$G115+(1-$G115)/(5-MATCH($D115,$B$4:$F$4,0)+1),(1-$G115)/(5-MATCH($D115,$B$4:$F$4,0)+1))))),0)</f>
        <v>1</v>
      </c>
      <c r="J115" s="141" t="n">
        <f aca="false">IFERROR(IF($E115&lt;&gt;"Discrete",0,IF(3&lt;MATCH($D115,$B$4:$F$4,0),0,IF($F115&lt;&gt;"Y",IF(3=MATCH($D115,$B$4:$F$4,0),1,0),IF(3=MATCH($D115,$B$4:$F$4,0),$G115+(1-$G115)/(5-MATCH($D115,$B$4:$F$4,0)+1),(1-$G115)/(5-MATCH($D115,$B$4:$F$4,0)+1))))),0)</f>
        <v>0</v>
      </c>
      <c r="K115" s="141" t="n">
        <f aca="false">IFERROR(IF($E115&lt;&gt;"Discrete",0,IF(4&lt;MATCH($D115,$B$4:$F$4,0),0,IF($F115&lt;&gt;"Y",IF(4=MATCH($D115,$B$4:$F$4,0),1,0),IF(4=MATCH($D115,$B$4:$F$4,0),$G115+(1-$G115)/(5-MATCH($D115,$B$4:$F$4,0)+1),(1-$G115)/(5-MATCH($D115,$B$4:$F$4,0)+1))))),0)</f>
        <v>0</v>
      </c>
      <c r="L115" s="141" t="n">
        <f aca="false">IFERROR(IF($E115&lt;&gt;"Discrete",0,IF(5&lt;MATCH($D115,$B$4:$F$4,0),0,IF($F115&lt;&gt;"Y",IF(5=MATCH($D115,$B$4:$F$4,0),1,0),IF(5=MATCH($D115,$B$4:$F$4,0),$G115+(1-$G115)/(5-MATCH($D115,$B$4:$F$4,0)+1),(1-$G115)/(5-MATCH($D115,$B$4:$F$4,0)+1))))),0)</f>
        <v>0</v>
      </c>
    </row>
    <row r="116" customFormat="false" ht="14.25" hidden="false" customHeight="true" outlineLevel="0" collapsed="false">
      <c r="A116" s="139" t="n">
        <f aca="false">WP_상세!A113</f>
        <v>109</v>
      </c>
      <c r="B116" s="139" t="str">
        <f aca="false">WP_상세!B113</f>
        <v>SWE.4-BSW</v>
      </c>
      <c r="C116" s="139" t="str">
        <f aca="false">WP_상세!F113</f>
        <v>Communication Evidence / SW단위검증 결과 요약보고서</v>
      </c>
      <c r="D116" s="139" t="str">
        <f aca="false">WP_상세!G113</f>
        <v>Proto</v>
      </c>
      <c r="E116" s="139" t="str">
        <f aca="false">WP_상세!H113</f>
        <v>Discrete</v>
      </c>
      <c r="F116" s="139" t="str">
        <f aca="false">WP_상세!I113</f>
        <v>N</v>
      </c>
      <c r="G116" s="140" t="n">
        <f aca="false">WP_상세!J113</f>
        <v>1</v>
      </c>
      <c r="H116" s="141" t="n">
        <f aca="false">IFERROR(IF($E116&lt;&gt;"Discrete",0,IF(1&lt;MATCH($D116,$B$4:$F$4,0),0,IF($F116&lt;&gt;"Y",IF(1=MATCH($D116,$B$4:$F$4,0),1,0),IF(1=MATCH($D116,$B$4:$F$4,0),$G116+(1-$G116)/(5-MATCH($D116,$B$4:$F$4,0)+1),(1-$G116)/(5-MATCH($D116,$B$4:$F$4,0)+1))))),0)</f>
        <v>0</v>
      </c>
      <c r="I116" s="141" t="n">
        <f aca="false">IFERROR(IF($E116&lt;&gt;"Discrete",0,IF(2&lt;MATCH($D116,$B$4:$F$4,0),0,IF($F116&lt;&gt;"Y",IF(2=MATCH($D116,$B$4:$F$4,0),1,0),IF(2=MATCH($D116,$B$4:$F$4,0),$G116+(1-$G116)/(5-MATCH($D116,$B$4:$F$4,0)+1),(1-$G116)/(5-MATCH($D116,$B$4:$F$4,0)+1))))),0)</f>
        <v>1</v>
      </c>
      <c r="J116" s="141" t="n">
        <f aca="false">IFERROR(IF($E116&lt;&gt;"Discrete",0,IF(3&lt;MATCH($D116,$B$4:$F$4,0),0,IF($F116&lt;&gt;"Y",IF(3=MATCH($D116,$B$4:$F$4,0),1,0),IF(3=MATCH($D116,$B$4:$F$4,0),$G116+(1-$G116)/(5-MATCH($D116,$B$4:$F$4,0)+1),(1-$G116)/(5-MATCH($D116,$B$4:$F$4,0)+1))))),0)</f>
        <v>0</v>
      </c>
      <c r="K116" s="141" t="n">
        <f aca="false">IFERROR(IF($E116&lt;&gt;"Discrete",0,IF(4&lt;MATCH($D116,$B$4:$F$4,0),0,IF($F116&lt;&gt;"Y",IF(4=MATCH($D116,$B$4:$F$4,0),1,0),IF(4=MATCH($D116,$B$4:$F$4,0),$G116+(1-$G116)/(5-MATCH($D116,$B$4:$F$4,0)+1),(1-$G116)/(5-MATCH($D116,$B$4:$F$4,0)+1))))),0)</f>
        <v>0</v>
      </c>
      <c r="L116" s="141" t="n">
        <f aca="false">IFERROR(IF($E116&lt;&gt;"Discrete",0,IF(5&lt;MATCH($D116,$B$4:$F$4,0),0,IF($F116&lt;&gt;"Y",IF(5=MATCH($D116,$B$4:$F$4,0),1,0),IF(5=MATCH($D116,$B$4:$F$4,0),$G116+(1-$G116)/(5-MATCH($D116,$B$4:$F$4,0)+1),(1-$G116)/(5-MATCH($D116,$B$4:$F$4,0)+1))))),0)</f>
        <v>0</v>
      </c>
    </row>
    <row r="117" customFormat="false" ht="14.25" hidden="false" customHeight="true" outlineLevel="0" collapsed="false">
      <c r="A117" s="139" t="n">
        <f aca="false">WP_상세!A114</f>
        <v>110</v>
      </c>
      <c r="B117" s="139" t="str">
        <f aca="false">WP_상세!B114</f>
        <v>SWE.5</v>
      </c>
      <c r="C117" s="139" t="str">
        <f aca="false">WP_상세!F114</f>
        <v>Verification Measure / 소프트웨어 통합검증 방안서</v>
      </c>
      <c r="D117" s="139" t="str">
        <f aca="false">WP_상세!G114</f>
        <v>Proto</v>
      </c>
      <c r="E117" s="139" t="str">
        <f aca="false">WP_상세!H114</f>
        <v>Discrete</v>
      </c>
      <c r="F117" s="139" t="str">
        <f aca="false">WP_상세!I114</f>
        <v>N</v>
      </c>
      <c r="G117" s="140" t="n">
        <f aca="false">WP_상세!J114</f>
        <v>1</v>
      </c>
      <c r="H117" s="141" t="n">
        <f aca="false">IFERROR(IF($E117&lt;&gt;"Discrete",0,IF(1&lt;MATCH($D117,$B$4:$F$4,0),0,IF($F117&lt;&gt;"Y",IF(1=MATCH($D117,$B$4:$F$4,0),1,0),IF(1=MATCH($D117,$B$4:$F$4,0),$G117+(1-$G117)/(5-MATCH($D117,$B$4:$F$4,0)+1),(1-$G117)/(5-MATCH($D117,$B$4:$F$4,0)+1))))),0)</f>
        <v>0</v>
      </c>
      <c r="I117" s="141" t="n">
        <f aca="false">IFERROR(IF($E117&lt;&gt;"Discrete",0,IF(2&lt;MATCH($D117,$B$4:$F$4,0),0,IF($F117&lt;&gt;"Y",IF(2=MATCH($D117,$B$4:$F$4,0),1,0),IF(2=MATCH($D117,$B$4:$F$4,0),$G117+(1-$G117)/(5-MATCH($D117,$B$4:$F$4,0)+1),(1-$G117)/(5-MATCH($D117,$B$4:$F$4,0)+1))))),0)</f>
        <v>1</v>
      </c>
      <c r="J117" s="141" t="n">
        <f aca="false">IFERROR(IF($E117&lt;&gt;"Discrete",0,IF(3&lt;MATCH($D117,$B$4:$F$4,0),0,IF($F117&lt;&gt;"Y",IF(3=MATCH($D117,$B$4:$F$4,0),1,0),IF(3=MATCH($D117,$B$4:$F$4,0),$G117+(1-$G117)/(5-MATCH($D117,$B$4:$F$4,0)+1),(1-$G117)/(5-MATCH($D117,$B$4:$F$4,0)+1))))),0)</f>
        <v>0</v>
      </c>
      <c r="K117" s="141" t="n">
        <f aca="false">IFERROR(IF($E117&lt;&gt;"Discrete",0,IF(4&lt;MATCH($D117,$B$4:$F$4,0),0,IF($F117&lt;&gt;"Y",IF(4=MATCH($D117,$B$4:$F$4,0),1,0),IF(4=MATCH($D117,$B$4:$F$4,0),$G117+(1-$G117)/(5-MATCH($D117,$B$4:$F$4,0)+1),(1-$G117)/(5-MATCH($D117,$B$4:$F$4,0)+1))))),0)</f>
        <v>0</v>
      </c>
      <c r="L117" s="141" t="n">
        <f aca="false">IFERROR(IF($E117&lt;&gt;"Discrete",0,IF(5&lt;MATCH($D117,$B$4:$F$4,0),0,IF($F117&lt;&gt;"Y",IF(5=MATCH($D117,$B$4:$F$4,0),1,0),IF(5=MATCH($D117,$B$4:$F$4,0),$G117+(1-$G117)/(5-MATCH($D117,$B$4:$F$4,0)+1),(1-$G117)/(5-MATCH($D117,$B$4:$F$4,0)+1))))),0)</f>
        <v>0</v>
      </c>
    </row>
    <row r="118" customFormat="false" ht="14.25" hidden="false" customHeight="true" outlineLevel="0" collapsed="false">
      <c r="A118" s="139" t="n">
        <f aca="false">WP_상세!A115</f>
        <v>111</v>
      </c>
      <c r="B118" s="139" t="str">
        <f aca="false">WP_상세!B115</f>
        <v>SWE.5</v>
      </c>
      <c r="C118" s="139" t="str">
        <f aca="false">WP_상세!F115</f>
        <v>Verification Measure / 소프트웨어 컴포넌트 검증방안서</v>
      </c>
      <c r="D118" s="139" t="str">
        <f aca="false">WP_상세!G115</f>
        <v>Proto</v>
      </c>
      <c r="E118" s="139" t="str">
        <f aca="false">WP_상세!H115</f>
        <v>Discrete</v>
      </c>
      <c r="F118" s="139" t="str">
        <f aca="false">WP_상세!I115</f>
        <v>N</v>
      </c>
      <c r="G118" s="140" t="n">
        <f aca="false">WP_상세!J115</f>
        <v>1</v>
      </c>
      <c r="H118" s="141" t="n">
        <f aca="false">IFERROR(IF($E118&lt;&gt;"Discrete",0,IF(1&lt;MATCH($D118,$B$4:$F$4,0),0,IF($F118&lt;&gt;"Y",IF(1=MATCH($D118,$B$4:$F$4,0),1,0),IF(1=MATCH($D118,$B$4:$F$4,0),$G118+(1-$G118)/(5-MATCH($D118,$B$4:$F$4,0)+1),(1-$G118)/(5-MATCH($D118,$B$4:$F$4,0)+1))))),0)</f>
        <v>0</v>
      </c>
      <c r="I118" s="141" t="n">
        <f aca="false">IFERROR(IF($E118&lt;&gt;"Discrete",0,IF(2&lt;MATCH($D118,$B$4:$F$4,0),0,IF($F118&lt;&gt;"Y",IF(2=MATCH($D118,$B$4:$F$4,0),1,0),IF(2=MATCH($D118,$B$4:$F$4,0),$G118+(1-$G118)/(5-MATCH($D118,$B$4:$F$4,0)+1),(1-$G118)/(5-MATCH($D118,$B$4:$F$4,0)+1))))),0)</f>
        <v>1</v>
      </c>
      <c r="J118" s="141" t="n">
        <f aca="false">IFERROR(IF($E118&lt;&gt;"Discrete",0,IF(3&lt;MATCH($D118,$B$4:$F$4,0),0,IF($F118&lt;&gt;"Y",IF(3=MATCH($D118,$B$4:$F$4,0),1,0),IF(3=MATCH($D118,$B$4:$F$4,0),$G118+(1-$G118)/(5-MATCH($D118,$B$4:$F$4,0)+1),(1-$G118)/(5-MATCH($D118,$B$4:$F$4,0)+1))))),0)</f>
        <v>0</v>
      </c>
      <c r="K118" s="141" t="n">
        <f aca="false">IFERROR(IF($E118&lt;&gt;"Discrete",0,IF(4&lt;MATCH($D118,$B$4:$F$4,0),0,IF($F118&lt;&gt;"Y",IF(4=MATCH($D118,$B$4:$F$4,0),1,0),IF(4=MATCH($D118,$B$4:$F$4,0),$G118+(1-$G118)/(5-MATCH($D118,$B$4:$F$4,0)+1),(1-$G118)/(5-MATCH($D118,$B$4:$F$4,0)+1))))),0)</f>
        <v>0</v>
      </c>
      <c r="L118" s="141" t="n">
        <f aca="false">IFERROR(IF($E118&lt;&gt;"Discrete",0,IF(5&lt;MATCH($D118,$B$4:$F$4,0),0,IF($F118&lt;&gt;"Y",IF(5=MATCH($D118,$B$4:$F$4,0),1,0),IF(5=MATCH($D118,$B$4:$F$4,0),$G118+(1-$G118)/(5-MATCH($D118,$B$4:$F$4,0)+1),(1-$G118)/(5-MATCH($D118,$B$4:$F$4,0)+1))))),0)</f>
        <v>0</v>
      </c>
    </row>
    <row r="119" customFormat="false" ht="14.25" hidden="false" customHeight="true" outlineLevel="0" collapsed="false">
      <c r="A119" s="139" t="n">
        <f aca="false">WP_상세!A116</f>
        <v>112</v>
      </c>
      <c r="B119" s="139" t="str">
        <f aca="false">WP_상세!B116</f>
        <v>SWE.5</v>
      </c>
      <c r="C119" s="139" t="str">
        <f aca="false">WP_상세!F116</f>
        <v>Verification Measure Selection Set / 검증방안 선정목록</v>
      </c>
      <c r="D119" s="139" t="str">
        <f aca="false">WP_상세!G116</f>
        <v>Proto</v>
      </c>
      <c r="E119" s="139" t="str">
        <f aca="false">WP_상세!H116</f>
        <v>Discrete</v>
      </c>
      <c r="F119" s="139" t="str">
        <f aca="false">WP_상세!I116</f>
        <v>N</v>
      </c>
      <c r="G119" s="140" t="n">
        <f aca="false">WP_상세!J116</f>
        <v>1</v>
      </c>
      <c r="H119" s="141" t="n">
        <f aca="false">IFERROR(IF($E119&lt;&gt;"Discrete",0,IF(1&lt;MATCH($D119,$B$4:$F$4,0),0,IF($F119&lt;&gt;"Y",IF(1=MATCH($D119,$B$4:$F$4,0),1,0),IF(1=MATCH($D119,$B$4:$F$4,0),$G119+(1-$G119)/(5-MATCH($D119,$B$4:$F$4,0)+1),(1-$G119)/(5-MATCH($D119,$B$4:$F$4,0)+1))))),0)</f>
        <v>0</v>
      </c>
      <c r="I119" s="141" t="n">
        <f aca="false">IFERROR(IF($E119&lt;&gt;"Discrete",0,IF(2&lt;MATCH($D119,$B$4:$F$4,0),0,IF($F119&lt;&gt;"Y",IF(2=MATCH($D119,$B$4:$F$4,0),1,0),IF(2=MATCH($D119,$B$4:$F$4,0),$G119+(1-$G119)/(5-MATCH($D119,$B$4:$F$4,0)+1),(1-$G119)/(5-MATCH($D119,$B$4:$F$4,0)+1))))),0)</f>
        <v>1</v>
      </c>
      <c r="J119" s="141" t="n">
        <f aca="false">IFERROR(IF($E119&lt;&gt;"Discrete",0,IF(3&lt;MATCH($D119,$B$4:$F$4,0),0,IF($F119&lt;&gt;"Y",IF(3=MATCH($D119,$B$4:$F$4,0),1,0),IF(3=MATCH($D119,$B$4:$F$4,0),$G119+(1-$G119)/(5-MATCH($D119,$B$4:$F$4,0)+1),(1-$G119)/(5-MATCH($D119,$B$4:$F$4,0)+1))))),0)</f>
        <v>0</v>
      </c>
      <c r="K119" s="141" t="n">
        <f aca="false">IFERROR(IF($E119&lt;&gt;"Discrete",0,IF(4&lt;MATCH($D119,$B$4:$F$4,0),0,IF($F119&lt;&gt;"Y",IF(4=MATCH($D119,$B$4:$F$4,0),1,0),IF(4=MATCH($D119,$B$4:$F$4,0),$G119+(1-$G119)/(5-MATCH($D119,$B$4:$F$4,0)+1),(1-$G119)/(5-MATCH($D119,$B$4:$F$4,0)+1))))),0)</f>
        <v>0</v>
      </c>
      <c r="L119" s="141" t="n">
        <f aca="false">IFERROR(IF($E119&lt;&gt;"Discrete",0,IF(5&lt;MATCH($D119,$B$4:$F$4,0),0,IF($F119&lt;&gt;"Y",IF(5=MATCH($D119,$B$4:$F$4,0),1,0),IF(5=MATCH($D119,$B$4:$F$4,0),$G119+(1-$G119)/(5-MATCH($D119,$B$4:$F$4,0)+1),(1-$G119)/(5-MATCH($D119,$B$4:$F$4,0)+1))))),0)</f>
        <v>0</v>
      </c>
    </row>
    <row r="120" customFormat="false" ht="14.25" hidden="false" customHeight="true" outlineLevel="0" collapsed="false">
      <c r="A120" s="139" t="n">
        <f aca="false">WP_상세!A117</f>
        <v>113</v>
      </c>
      <c r="B120" s="139" t="str">
        <f aca="false">WP_상세!B117</f>
        <v>SWE.5</v>
      </c>
      <c r="C120" s="139" t="str">
        <f aca="false">WP_상세!F117</f>
        <v>Verification Results / 소프트웨어 통합/통합검증 결과서</v>
      </c>
      <c r="D120" s="139" t="str">
        <f aca="false">WP_상세!G117</f>
        <v>P1</v>
      </c>
      <c r="E120" s="139" t="str">
        <f aca="false">WP_상세!H117</f>
        <v>Discrete</v>
      </c>
      <c r="F120" s="139" t="str">
        <f aca="false">WP_상세!I117</f>
        <v>N</v>
      </c>
      <c r="G120" s="140" t="n">
        <f aca="false">WP_상세!J117</f>
        <v>1</v>
      </c>
      <c r="H120" s="141" t="n">
        <f aca="false">IFERROR(IF($E120&lt;&gt;"Discrete",0,IF(1&lt;MATCH($D120,$B$4:$F$4,0),0,IF($F120&lt;&gt;"Y",IF(1=MATCH($D120,$B$4:$F$4,0),1,0),IF(1=MATCH($D120,$B$4:$F$4,0),$G120+(1-$G120)/(5-MATCH($D120,$B$4:$F$4,0)+1),(1-$G120)/(5-MATCH($D120,$B$4:$F$4,0)+1))))),0)</f>
        <v>0</v>
      </c>
      <c r="I120" s="141" t="n">
        <f aca="false">IFERROR(IF($E120&lt;&gt;"Discrete",0,IF(2&lt;MATCH($D120,$B$4:$F$4,0),0,IF($F120&lt;&gt;"Y",IF(2=MATCH($D120,$B$4:$F$4,0),1,0),IF(2=MATCH($D120,$B$4:$F$4,0),$G120+(1-$G120)/(5-MATCH($D120,$B$4:$F$4,0)+1),(1-$G120)/(5-MATCH($D120,$B$4:$F$4,0)+1))))),0)</f>
        <v>0</v>
      </c>
      <c r="J120" s="141" t="n">
        <f aca="false">IFERROR(IF($E120&lt;&gt;"Discrete",0,IF(3&lt;MATCH($D120,$B$4:$F$4,0),0,IF($F120&lt;&gt;"Y",IF(3=MATCH($D120,$B$4:$F$4,0),1,0),IF(3=MATCH($D120,$B$4:$F$4,0),$G120+(1-$G120)/(5-MATCH($D120,$B$4:$F$4,0)+1),(1-$G120)/(5-MATCH($D120,$B$4:$F$4,0)+1))))),0)</f>
        <v>1</v>
      </c>
      <c r="K120" s="141" t="n">
        <f aca="false">IFERROR(IF($E120&lt;&gt;"Discrete",0,IF(4&lt;MATCH($D120,$B$4:$F$4,0),0,IF($F120&lt;&gt;"Y",IF(4=MATCH($D120,$B$4:$F$4,0),1,0),IF(4=MATCH($D120,$B$4:$F$4,0),$G120+(1-$G120)/(5-MATCH($D120,$B$4:$F$4,0)+1),(1-$G120)/(5-MATCH($D120,$B$4:$F$4,0)+1))))),0)</f>
        <v>0</v>
      </c>
      <c r="L120" s="141" t="n">
        <f aca="false">IFERROR(IF($E120&lt;&gt;"Discrete",0,IF(5&lt;MATCH($D120,$B$4:$F$4,0),0,IF($F120&lt;&gt;"Y",IF(5=MATCH($D120,$B$4:$F$4,0),1,0),IF(5=MATCH($D120,$B$4:$F$4,0),$G120+(1-$G120)/(5-MATCH($D120,$B$4:$F$4,0)+1),(1-$G120)/(5-MATCH($D120,$B$4:$F$4,0)+1))))),0)</f>
        <v>0</v>
      </c>
    </row>
    <row r="121" customFormat="false" ht="14.25" hidden="false" customHeight="true" outlineLevel="0" collapsed="false">
      <c r="A121" s="139" t="n">
        <f aca="false">WP_상세!A118</f>
        <v>114</v>
      </c>
      <c r="B121" s="139" t="str">
        <f aca="false">WP_상세!B118</f>
        <v>SWE.5</v>
      </c>
      <c r="C121" s="139" t="str">
        <f aca="false">WP_상세!F118</f>
        <v>Verification Results / 소프트웨어 컴포넌트 검증결과서</v>
      </c>
      <c r="D121" s="139" t="str">
        <f aca="false">WP_상세!G118</f>
        <v>P1</v>
      </c>
      <c r="E121" s="139" t="str">
        <f aca="false">WP_상세!H118</f>
        <v>Discrete</v>
      </c>
      <c r="F121" s="139" t="str">
        <f aca="false">WP_상세!I118</f>
        <v>N</v>
      </c>
      <c r="G121" s="140" t="n">
        <f aca="false">WP_상세!J118</f>
        <v>1</v>
      </c>
      <c r="H121" s="141" t="n">
        <f aca="false">IFERROR(IF($E121&lt;&gt;"Discrete",0,IF(1&lt;MATCH($D121,$B$4:$F$4,0),0,IF($F121&lt;&gt;"Y",IF(1=MATCH($D121,$B$4:$F$4,0),1,0),IF(1=MATCH($D121,$B$4:$F$4,0),$G121+(1-$G121)/(5-MATCH($D121,$B$4:$F$4,0)+1),(1-$G121)/(5-MATCH($D121,$B$4:$F$4,0)+1))))),0)</f>
        <v>0</v>
      </c>
      <c r="I121" s="141" t="n">
        <f aca="false">IFERROR(IF($E121&lt;&gt;"Discrete",0,IF(2&lt;MATCH($D121,$B$4:$F$4,0),0,IF($F121&lt;&gt;"Y",IF(2=MATCH($D121,$B$4:$F$4,0),1,0),IF(2=MATCH($D121,$B$4:$F$4,0),$G121+(1-$G121)/(5-MATCH($D121,$B$4:$F$4,0)+1),(1-$G121)/(5-MATCH($D121,$B$4:$F$4,0)+1))))),0)</f>
        <v>0</v>
      </c>
      <c r="J121" s="141" t="n">
        <f aca="false">IFERROR(IF($E121&lt;&gt;"Discrete",0,IF(3&lt;MATCH($D121,$B$4:$F$4,0),0,IF($F121&lt;&gt;"Y",IF(3=MATCH($D121,$B$4:$F$4,0),1,0),IF(3=MATCH($D121,$B$4:$F$4,0),$G121+(1-$G121)/(5-MATCH($D121,$B$4:$F$4,0)+1),(1-$G121)/(5-MATCH($D121,$B$4:$F$4,0)+1))))),0)</f>
        <v>1</v>
      </c>
      <c r="K121" s="141" t="n">
        <f aca="false">IFERROR(IF($E121&lt;&gt;"Discrete",0,IF(4&lt;MATCH($D121,$B$4:$F$4,0),0,IF($F121&lt;&gt;"Y",IF(4=MATCH($D121,$B$4:$F$4,0),1,0),IF(4=MATCH($D121,$B$4:$F$4,0),$G121+(1-$G121)/(5-MATCH($D121,$B$4:$F$4,0)+1),(1-$G121)/(5-MATCH($D121,$B$4:$F$4,0)+1))))),0)</f>
        <v>0</v>
      </c>
      <c r="L121" s="141" t="n">
        <f aca="false">IFERROR(IF($E121&lt;&gt;"Discrete",0,IF(5&lt;MATCH($D121,$B$4:$F$4,0),0,IF($F121&lt;&gt;"Y",IF(5=MATCH($D121,$B$4:$F$4,0),1,0),IF(5=MATCH($D121,$B$4:$F$4,0),$G121+(1-$G121)/(5-MATCH($D121,$B$4:$F$4,0)+1),(1-$G121)/(5-MATCH($D121,$B$4:$F$4,0)+1))))),0)</f>
        <v>0</v>
      </c>
    </row>
    <row r="122" customFormat="false" ht="14.25" hidden="false" customHeight="true" outlineLevel="0" collapsed="false">
      <c r="A122" s="139" t="n">
        <f aca="false">WP_상세!A119</f>
        <v>115</v>
      </c>
      <c r="B122" s="139" t="str">
        <f aca="false">WP_상세!B119</f>
        <v>SWE.5</v>
      </c>
      <c r="C122" s="139" t="str">
        <f aca="false">WP_상세!F119</f>
        <v>Consistency Evidence / 검증방안-아키텍처/상세설계/검증결과 추적성 매트릭스</v>
      </c>
      <c r="D122" s="139" t="str">
        <f aca="false">WP_상세!G119</f>
        <v>P1</v>
      </c>
      <c r="E122" s="139" t="str">
        <f aca="false">WP_상세!H119</f>
        <v>Discrete</v>
      </c>
      <c r="F122" s="139" t="str">
        <f aca="false">WP_상세!I119</f>
        <v>N</v>
      </c>
      <c r="G122" s="140" t="n">
        <f aca="false">WP_상세!J119</f>
        <v>1</v>
      </c>
      <c r="H122" s="141" t="n">
        <f aca="false">IFERROR(IF($E122&lt;&gt;"Discrete",0,IF(1&lt;MATCH($D122,$B$4:$F$4,0),0,IF($F122&lt;&gt;"Y",IF(1=MATCH($D122,$B$4:$F$4,0),1,0),IF(1=MATCH($D122,$B$4:$F$4,0),$G122+(1-$G122)/(5-MATCH($D122,$B$4:$F$4,0)+1),(1-$G122)/(5-MATCH($D122,$B$4:$F$4,0)+1))))),0)</f>
        <v>0</v>
      </c>
      <c r="I122" s="141" t="n">
        <f aca="false">IFERROR(IF($E122&lt;&gt;"Discrete",0,IF(2&lt;MATCH($D122,$B$4:$F$4,0),0,IF($F122&lt;&gt;"Y",IF(2=MATCH($D122,$B$4:$F$4,0),1,0),IF(2=MATCH($D122,$B$4:$F$4,0),$G122+(1-$G122)/(5-MATCH($D122,$B$4:$F$4,0)+1),(1-$G122)/(5-MATCH($D122,$B$4:$F$4,0)+1))))),0)</f>
        <v>0</v>
      </c>
      <c r="J122" s="141" t="n">
        <f aca="false">IFERROR(IF($E122&lt;&gt;"Discrete",0,IF(3&lt;MATCH($D122,$B$4:$F$4,0),0,IF($F122&lt;&gt;"Y",IF(3=MATCH($D122,$B$4:$F$4,0),1,0),IF(3=MATCH($D122,$B$4:$F$4,0),$G122+(1-$G122)/(5-MATCH($D122,$B$4:$F$4,0)+1),(1-$G122)/(5-MATCH($D122,$B$4:$F$4,0)+1))))),0)</f>
        <v>1</v>
      </c>
      <c r="K122" s="141" t="n">
        <f aca="false">IFERROR(IF($E122&lt;&gt;"Discrete",0,IF(4&lt;MATCH($D122,$B$4:$F$4,0),0,IF($F122&lt;&gt;"Y",IF(4=MATCH($D122,$B$4:$F$4,0),1,0),IF(4=MATCH($D122,$B$4:$F$4,0),$G122+(1-$G122)/(5-MATCH($D122,$B$4:$F$4,0)+1),(1-$G122)/(5-MATCH($D122,$B$4:$F$4,0)+1))))),0)</f>
        <v>0</v>
      </c>
      <c r="L122" s="141" t="n">
        <f aca="false">IFERROR(IF($E122&lt;&gt;"Discrete",0,IF(5&lt;MATCH($D122,$B$4:$F$4,0),0,IF($F122&lt;&gt;"Y",IF(5=MATCH($D122,$B$4:$F$4,0),1,0),IF(5=MATCH($D122,$B$4:$F$4,0),$G122+(1-$G122)/(5-MATCH($D122,$B$4:$F$4,0)+1),(1-$G122)/(5-MATCH($D122,$B$4:$F$4,0)+1))))),0)</f>
        <v>0</v>
      </c>
    </row>
    <row r="123" customFormat="false" ht="14.25" hidden="false" customHeight="true" outlineLevel="0" collapsed="false">
      <c r="A123" s="139" t="n">
        <f aca="false">WP_상세!A120</f>
        <v>116</v>
      </c>
      <c r="B123" s="139" t="str">
        <f aca="false">WP_상세!B120</f>
        <v>SWE.5</v>
      </c>
      <c r="C123" s="139" t="str">
        <f aca="false">WP_상세!F120</f>
        <v>Communication Evidence / 컴포넌트/통합검증 결과 요약보고서</v>
      </c>
      <c r="D123" s="139" t="str">
        <f aca="false">WP_상세!G120</f>
        <v>P1</v>
      </c>
      <c r="E123" s="139" t="str">
        <f aca="false">WP_상세!H120</f>
        <v>Discrete</v>
      </c>
      <c r="F123" s="139" t="str">
        <f aca="false">WP_상세!I120</f>
        <v>N</v>
      </c>
      <c r="G123" s="140" t="n">
        <f aca="false">WP_상세!J120</f>
        <v>1</v>
      </c>
      <c r="H123" s="141" t="n">
        <f aca="false">IFERROR(IF($E123&lt;&gt;"Discrete",0,IF(1&lt;MATCH($D123,$B$4:$F$4,0),0,IF($F123&lt;&gt;"Y",IF(1=MATCH($D123,$B$4:$F$4,0),1,0),IF(1=MATCH($D123,$B$4:$F$4,0),$G123+(1-$G123)/(5-MATCH($D123,$B$4:$F$4,0)+1),(1-$G123)/(5-MATCH($D123,$B$4:$F$4,0)+1))))),0)</f>
        <v>0</v>
      </c>
      <c r="I123" s="141" t="n">
        <f aca="false">IFERROR(IF($E123&lt;&gt;"Discrete",0,IF(2&lt;MATCH($D123,$B$4:$F$4,0),0,IF($F123&lt;&gt;"Y",IF(2=MATCH($D123,$B$4:$F$4,0),1,0),IF(2=MATCH($D123,$B$4:$F$4,0),$G123+(1-$G123)/(5-MATCH($D123,$B$4:$F$4,0)+1),(1-$G123)/(5-MATCH($D123,$B$4:$F$4,0)+1))))),0)</f>
        <v>0</v>
      </c>
      <c r="J123" s="141" t="n">
        <f aca="false">IFERROR(IF($E123&lt;&gt;"Discrete",0,IF(3&lt;MATCH($D123,$B$4:$F$4,0),0,IF($F123&lt;&gt;"Y",IF(3=MATCH($D123,$B$4:$F$4,0),1,0),IF(3=MATCH($D123,$B$4:$F$4,0),$G123+(1-$G123)/(5-MATCH($D123,$B$4:$F$4,0)+1),(1-$G123)/(5-MATCH($D123,$B$4:$F$4,0)+1))))),0)</f>
        <v>1</v>
      </c>
      <c r="K123" s="141" t="n">
        <f aca="false">IFERROR(IF($E123&lt;&gt;"Discrete",0,IF(4&lt;MATCH($D123,$B$4:$F$4,0),0,IF($F123&lt;&gt;"Y",IF(4=MATCH($D123,$B$4:$F$4,0),1,0),IF(4=MATCH($D123,$B$4:$F$4,0),$G123+(1-$G123)/(5-MATCH($D123,$B$4:$F$4,0)+1),(1-$G123)/(5-MATCH($D123,$B$4:$F$4,0)+1))))),0)</f>
        <v>0</v>
      </c>
      <c r="L123" s="141" t="n">
        <f aca="false">IFERROR(IF($E123&lt;&gt;"Discrete",0,IF(5&lt;MATCH($D123,$B$4:$F$4,0),0,IF($F123&lt;&gt;"Y",IF(5=MATCH($D123,$B$4:$F$4,0),1,0),IF(5=MATCH($D123,$B$4:$F$4,0),$G123+(1-$G123)/(5-MATCH($D123,$B$4:$F$4,0)+1),(1-$G123)/(5-MATCH($D123,$B$4:$F$4,0)+1))))),0)</f>
        <v>0</v>
      </c>
    </row>
    <row r="124" customFormat="false" ht="14.25" hidden="false" customHeight="true" outlineLevel="0" collapsed="false">
      <c r="A124" s="139" t="n">
        <f aca="false">WP_상세!A121</f>
        <v>117</v>
      </c>
      <c r="B124" s="139" t="str">
        <f aca="false">WP_상세!B121</f>
        <v>SWE.6</v>
      </c>
      <c r="C124" s="139" t="str">
        <f aca="false">WP_상세!F121</f>
        <v>Verification Measure / 소프트웨어 검증방안서</v>
      </c>
      <c r="D124" s="139" t="str">
        <f aca="false">WP_상세!G121</f>
        <v>P1</v>
      </c>
      <c r="E124" s="139" t="str">
        <f aca="false">WP_상세!H121</f>
        <v>Discrete</v>
      </c>
      <c r="F124" s="139" t="str">
        <f aca="false">WP_상세!I121</f>
        <v>N</v>
      </c>
      <c r="G124" s="140" t="n">
        <f aca="false">WP_상세!J121</f>
        <v>1</v>
      </c>
      <c r="H124" s="141" t="n">
        <f aca="false">IFERROR(IF($E124&lt;&gt;"Discrete",0,IF(1&lt;MATCH($D124,$B$4:$F$4,0),0,IF($F124&lt;&gt;"Y",IF(1=MATCH($D124,$B$4:$F$4,0),1,0),IF(1=MATCH($D124,$B$4:$F$4,0),$G124+(1-$G124)/(5-MATCH($D124,$B$4:$F$4,0)+1),(1-$G124)/(5-MATCH($D124,$B$4:$F$4,0)+1))))),0)</f>
        <v>0</v>
      </c>
      <c r="I124" s="141" t="n">
        <f aca="false">IFERROR(IF($E124&lt;&gt;"Discrete",0,IF(2&lt;MATCH($D124,$B$4:$F$4,0),0,IF($F124&lt;&gt;"Y",IF(2=MATCH($D124,$B$4:$F$4,0),1,0),IF(2=MATCH($D124,$B$4:$F$4,0),$G124+(1-$G124)/(5-MATCH($D124,$B$4:$F$4,0)+1),(1-$G124)/(5-MATCH($D124,$B$4:$F$4,0)+1))))),0)</f>
        <v>0</v>
      </c>
      <c r="J124" s="141" t="n">
        <f aca="false">IFERROR(IF($E124&lt;&gt;"Discrete",0,IF(3&lt;MATCH($D124,$B$4:$F$4,0),0,IF($F124&lt;&gt;"Y",IF(3=MATCH($D124,$B$4:$F$4,0),1,0),IF(3=MATCH($D124,$B$4:$F$4,0),$G124+(1-$G124)/(5-MATCH($D124,$B$4:$F$4,0)+1),(1-$G124)/(5-MATCH($D124,$B$4:$F$4,0)+1))))),0)</f>
        <v>1</v>
      </c>
      <c r="K124" s="141" t="n">
        <f aca="false">IFERROR(IF($E124&lt;&gt;"Discrete",0,IF(4&lt;MATCH($D124,$B$4:$F$4,0),0,IF($F124&lt;&gt;"Y",IF(4=MATCH($D124,$B$4:$F$4,0),1,0),IF(4=MATCH($D124,$B$4:$F$4,0),$G124+(1-$G124)/(5-MATCH($D124,$B$4:$F$4,0)+1),(1-$G124)/(5-MATCH($D124,$B$4:$F$4,0)+1))))),0)</f>
        <v>0</v>
      </c>
      <c r="L124" s="141" t="n">
        <f aca="false">IFERROR(IF($E124&lt;&gt;"Discrete",0,IF(5&lt;MATCH($D124,$B$4:$F$4,0),0,IF($F124&lt;&gt;"Y",IF(5=MATCH($D124,$B$4:$F$4,0),1,0),IF(5=MATCH($D124,$B$4:$F$4,0),$G124+(1-$G124)/(5-MATCH($D124,$B$4:$F$4,0)+1),(1-$G124)/(5-MATCH($D124,$B$4:$F$4,0)+1))))),0)</f>
        <v>0</v>
      </c>
    </row>
    <row r="125" customFormat="false" ht="14.25" hidden="false" customHeight="true" outlineLevel="0" collapsed="false">
      <c r="A125" s="139" t="n">
        <f aca="false">WP_상세!A122</f>
        <v>118</v>
      </c>
      <c r="B125" s="139" t="str">
        <f aca="false">WP_상세!B122</f>
        <v>SWE.6</v>
      </c>
      <c r="C125" s="139" t="str">
        <f aca="false">WP_상세!F122</f>
        <v>Verification Measure Selection Set / SW검증 방안 선정목록</v>
      </c>
      <c r="D125" s="139" t="str">
        <f aca="false">WP_상세!G122</f>
        <v>P1</v>
      </c>
      <c r="E125" s="139" t="str">
        <f aca="false">WP_상세!H122</f>
        <v>Discrete</v>
      </c>
      <c r="F125" s="139" t="str">
        <f aca="false">WP_상세!I122</f>
        <v>N</v>
      </c>
      <c r="G125" s="140" t="n">
        <f aca="false">WP_상세!J122</f>
        <v>1</v>
      </c>
      <c r="H125" s="141" t="n">
        <f aca="false">IFERROR(IF($E125&lt;&gt;"Discrete",0,IF(1&lt;MATCH($D125,$B$4:$F$4,0),0,IF($F125&lt;&gt;"Y",IF(1=MATCH($D125,$B$4:$F$4,0),1,0),IF(1=MATCH($D125,$B$4:$F$4,0),$G125+(1-$G125)/(5-MATCH($D125,$B$4:$F$4,0)+1),(1-$G125)/(5-MATCH($D125,$B$4:$F$4,0)+1))))),0)</f>
        <v>0</v>
      </c>
      <c r="I125" s="141" t="n">
        <f aca="false">IFERROR(IF($E125&lt;&gt;"Discrete",0,IF(2&lt;MATCH($D125,$B$4:$F$4,0),0,IF($F125&lt;&gt;"Y",IF(2=MATCH($D125,$B$4:$F$4,0),1,0),IF(2=MATCH($D125,$B$4:$F$4,0),$G125+(1-$G125)/(5-MATCH($D125,$B$4:$F$4,0)+1),(1-$G125)/(5-MATCH($D125,$B$4:$F$4,0)+1))))),0)</f>
        <v>0</v>
      </c>
      <c r="J125" s="141" t="n">
        <f aca="false">IFERROR(IF($E125&lt;&gt;"Discrete",0,IF(3&lt;MATCH($D125,$B$4:$F$4,0),0,IF($F125&lt;&gt;"Y",IF(3=MATCH($D125,$B$4:$F$4,0),1,0),IF(3=MATCH($D125,$B$4:$F$4,0),$G125+(1-$G125)/(5-MATCH($D125,$B$4:$F$4,0)+1),(1-$G125)/(5-MATCH($D125,$B$4:$F$4,0)+1))))),0)</f>
        <v>1</v>
      </c>
      <c r="K125" s="141" t="n">
        <f aca="false">IFERROR(IF($E125&lt;&gt;"Discrete",0,IF(4&lt;MATCH($D125,$B$4:$F$4,0),0,IF($F125&lt;&gt;"Y",IF(4=MATCH($D125,$B$4:$F$4,0),1,0),IF(4=MATCH($D125,$B$4:$F$4,0),$G125+(1-$G125)/(5-MATCH($D125,$B$4:$F$4,0)+1),(1-$G125)/(5-MATCH($D125,$B$4:$F$4,0)+1))))),0)</f>
        <v>0</v>
      </c>
      <c r="L125" s="141" t="n">
        <f aca="false">IFERROR(IF($E125&lt;&gt;"Discrete",0,IF(5&lt;MATCH($D125,$B$4:$F$4,0),0,IF($F125&lt;&gt;"Y",IF(5=MATCH($D125,$B$4:$F$4,0),1,0),IF(5=MATCH($D125,$B$4:$F$4,0),$G125+(1-$G125)/(5-MATCH($D125,$B$4:$F$4,0)+1),(1-$G125)/(5-MATCH($D125,$B$4:$F$4,0)+1))))),0)</f>
        <v>0</v>
      </c>
    </row>
    <row r="126" customFormat="false" ht="14.25" hidden="false" customHeight="true" outlineLevel="0" collapsed="false">
      <c r="A126" s="139" t="n">
        <f aca="false">WP_상세!A123</f>
        <v>119</v>
      </c>
      <c r="B126" s="139" t="str">
        <f aca="false">WP_상세!B123</f>
        <v>SWE.6</v>
      </c>
      <c r="C126" s="139" t="str">
        <f aca="false">WP_상세!F123</f>
        <v>Verification Results / 통합 소프트웨어 검증결과서</v>
      </c>
      <c r="D126" s="139" t="str">
        <f aca="false">WP_상세!G123</f>
        <v>P2</v>
      </c>
      <c r="E126" s="139" t="str">
        <f aca="false">WP_상세!H123</f>
        <v>Discrete</v>
      </c>
      <c r="F126" s="139" t="str">
        <f aca="false">WP_상세!I123</f>
        <v>N</v>
      </c>
      <c r="G126" s="140" t="n">
        <f aca="false">WP_상세!J123</f>
        <v>1</v>
      </c>
      <c r="H126" s="141" t="n">
        <f aca="false">IFERROR(IF($E126&lt;&gt;"Discrete",0,IF(1&lt;MATCH($D126,$B$4:$F$4,0),0,IF($F126&lt;&gt;"Y",IF(1=MATCH($D126,$B$4:$F$4,0),1,0),IF(1=MATCH($D126,$B$4:$F$4,0),$G126+(1-$G126)/(5-MATCH($D126,$B$4:$F$4,0)+1),(1-$G126)/(5-MATCH($D126,$B$4:$F$4,0)+1))))),0)</f>
        <v>0</v>
      </c>
      <c r="I126" s="141" t="n">
        <f aca="false">IFERROR(IF($E126&lt;&gt;"Discrete",0,IF(2&lt;MATCH($D126,$B$4:$F$4,0),0,IF($F126&lt;&gt;"Y",IF(2=MATCH($D126,$B$4:$F$4,0),1,0),IF(2=MATCH($D126,$B$4:$F$4,0),$G126+(1-$G126)/(5-MATCH($D126,$B$4:$F$4,0)+1),(1-$G126)/(5-MATCH($D126,$B$4:$F$4,0)+1))))),0)</f>
        <v>0</v>
      </c>
      <c r="J126" s="141" t="n">
        <f aca="false">IFERROR(IF($E126&lt;&gt;"Discrete",0,IF(3&lt;MATCH($D126,$B$4:$F$4,0),0,IF($F126&lt;&gt;"Y",IF(3=MATCH($D126,$B$4:$F$4,0),1,0),IF(3=MATCH($D126,$B$4:$F$4,0),$G126+(1-$G126)/(5-MATCH($D126,$B$4:$F$4,0)+1),(1-$G126)/(5-MATCH($D126,$B$4:$F$4,0)+1))))),0)</f>
        <v>0</v>
      </c>
      <c r="K126" s="141" t="n">
        <f aca="false">IFERROR(IF($E126&lt;&gt;"Discrete",0,IF(4&lt;MATCH($D126,$B$4:$F$4,0),0,IF($F126&lt;&gt;"Y",IF(4=MATCH($D126,$B$4:$F$4,0),1,0),IF(4=MATCH($D126,$B$4:$F$4,0),$G126+(1-$G126)/(5-MATCH($D126,$B$4:$F$4,0)+1),(1-$G126)/(5-MATCH($D126,$B$4:$F$4,0)+1))))),0)</f>
        <v>1</v>
      </c>
      <c r="L126" s="141" t="n">
        <f aca="false">IFERROR(IF($E126&lt;&gt;"Discrete",0,IF(5&lt;MATCH($D126,$B$4:$F$4,0),0,IF($F126&lt;&gt;"Y",IF(5=MATCH($D126,$B$4:$F$4,0),1,0),IF(5=MATCH($D126,$B$4:$F$4,0),$G126+(1-$G126)/(5-MATCH($D126,$B$4:$F$4,0)+1),(1-$G126)/(5-MATCH($D126,$B$4:$F$4,0)+1))))),0)</f>
        <v>0</v>
      </c>
    </row>
    <row r="127" customFormat="false" ht="14.25" hidden="false" customHeight="true" outlineLevel="0" collapsed="false">
      <c r="A127" s="139" t="n">
        <f aca="false">WP_상세!A124</f>
        <v>120</v>
      </c>
      <c r="B127" s="139" t="str">
        <f aca="false">WP_상세!B124</f>
        <v>SWE.6</v>
      </c>
      <c r="C127" s="139" t="str">
        <f aca="false">WP_상세!F124</f>
        <v>Consistency Evidence / 검증방안-SW요구사항/검증결과 추적성 매트릭스</v>
      </c>
      <c r="D127" s="139" t="str">
        <f aca="false">WP_상세!G124</f>
        <v>P2</v>
      </c>
      <c r="E127" s="139" t="str">
        <f aca="false">WP_상세!H124</f>
        <v>Discrete</v>
      </c>
      <c r="F127" s="139" t="str">
        <f aca="false">WP_상세!I124</f>
        <v>N</v>
      </c>
      <c r="G127" s="140" t="n">
        <f aca="false">WP_상세!J124</f>
        <v>1</v>
      </c>
      <c r="H127" s="141" t="n">
        <f aca="false">IFERROR(IF($E127&lt;&gt;"Discrete",0,IF(1&lt;MATCH($D127,$B$4:$F$4,0),0,IF($F127&lt;&gt;"Y",IF(1=MATCH($D127,$B$4:$F$4,0),1,0),IF(1=MATCH($D127,$B$4:$F$4,0),$G127+(1-$G127)/(5-MATCH($D127,$B$4:$F$4,0)+1),(1-$G127)/(5-MATCH($D127,$B$4:$F$4,0)+1))))),0)</f>
        <v>0</v>
      </c>
      <c r="I127" s="141" t="n">
        <f aca="false">IFERROR(IF($E127&lt;&gt;"Discrete",0,IF(2&lt;MATCH($D127,$B$4:$F$4,0),0,IF($F127&lt;&gt;"Y",IF(2=MATCH($D127,$B$4:$F$4,0),1,0),IF(2=MATCH($D127,$B$4:$F$4,0),$G127+(1-$G127)/(5-MATCH($D127,$B$4:$F$4,0)+1),(1-$G127)/(5-MATCH($D127,$B$4:$F$4,0)+1))))),0)</f>
        <v>0</v>
      </c>
      <c r="J127" s="141" t="n">
        <f aca="false">IFERROR(IF($E127&lt;&gt;"Discrete",0,IF(3&lt;MATCH($D127,$B$4:$F$4,0),0,IF($F127&lt;&gt;"Y",IF(3=MATCH($D127,$B$4:$F$4,0),1,0),IF(3=MATCH($D127,$B$4:$F$4,0),$G127+(1-$G127)/(5-MATCH($D127,$B$4:$F$4,0)+1),(1-$G127)/(5-MATCH($D127,$B$4:$F$4,0)+1))))),0)</f>
        <v>0</v>
      </c>
      <c r="K127" s="141" t="n">
        <f aca="false">IFERROR(IF($E127&lt;&gt;"Discrete",0,IF(4&lt;MATCH($D127,$B$4:$F$4,0),0,IF($F127&lt;&gt;"Y",IF(4=MATCH($D127,$B$4:$F$4,0),1,0),IF(4=MATCH($D127,$B$4:$F$4,0),$G127+(1-$G127)/(5-MATCH($D127,$B$4:$F$4,0)+1),(1-$G127)/(5-MATCH($D127,$B$4:$F$4,0)+1))))),0)</f>
        <v>1</v>
      </c>
      <c r="L127" s="141" t="n">
        <f aca="false">IFERROR(IF($E127&lt;&gt;"Discrete",0,IF(5&lt;MATCH($D127,$B$4:$F$4,0),0,IF($F127&lt;&gt;"Y",IF(5=MATCH($D127,$B$4:$F$4,0),1,0),IF(5=MATCH($D127,$B$4:$F$4,0),$G127+(1-$G127)/(5-MATCH($D127,$B$4:$F$4,0)+1),(1-$G127)/(5-MATCH($D127,$B$4:$F$4,0)+1))))),0)</f>
        <v>0</v>
      </c>
    </row>
    <row r="128" customFormat="false" ht="14.25" hidden="false" customHeight="true" outlineLevel="0" collapsed="false">
      <c r="A128" s="139" t="n">
        <f aca="false">WP_상세!A125</f>
        <v>121</v>
      </c>
      <c r="B128" s="139" t="str">
        <f aca="false">WP_상세!B125</f>
        <v>SWE.6</v>
      </c>
      <c r="C128" s="139" t="str">
        <f aca="false">WP_상세!F125</f>
        <v>Communication Evidence / SW검증결과 요약보고서</v>
      </c>
      <c r="D128" s="139" t="str">
        <f aca="false">WP_상세!G125</f>
        <v>P2</v>
      </c>
      <c r="E128" s="139" t="str">
        <f aca="false">WP_상세!H125</f>
        <v>Discrete</v>
      </c>
      <c r="F128" s="139" t="str">
        <f aca="false">WP_상세!I125</f>
        <v>N</v>
      </c>
      <c r="G128" s="140" t="n">
        <f aca="false">WP_상세!J125</f>
        <v>1</v>
      </c>
      <c r="H128" s="141" t="n">
        <f aca="false">IFERROR(IF($E128&lt;&gt;"Discrete",0,IF(1&lt;MATCH($D128,$B$4:$F$4,0),0,IF($F128&lt;&gt;"Y",IF(1=MATCH($D128,$B$4:$F$4,0),1,0),IF(1=MATCH($D128,$B$4:$F$4,0),$G128+(1-$G128)/(5-MATCH($D128,$B$4:$F$4,0)+1),(1-$G128)/(5-MATCH($D128,$B$4:$F$4,0)+1))))),0)</f>
        <v>0</v>
      </c>
      <c r="I128" s="141" t="n">
        <f aca="false">IFERROR(IF($E128&lt;&gt;"Discrete",0,IF(2&lt;MATCH($D128,$B$4:$F$4,0),0,IF($F128&lt;&gt;"Y",IF(2=MATCH($D128,$B$4:$F$4,0),1,0),IF(2=MATCH($D128,$B$4:$F$4,0),$G128+(1-$G128)/(5-MATCH($D128,$B$4:$F$4,0)+1),(1-$G128)/(5-MATCH($D128,$B$4:$F$4,0)+1))))),0)</f>
        <v>0</v>
      </c>
      <c r="J128" s="141" t="n">
        <f aca="false">IFERROR(IF($E128&lt;&gt;"Discrete",0,IF(3&lt;MATCH($D128,$B$4:$F$4,0),0,IF($F128&lt;&gt;"Y",IF(3=MATCH($D128,$B$4:$F$4,0),1,0),IF(3=MATCH($D128,$B$4:$F$4,0),$G128+(1-$G128)/(5-MATCH($D128,$B$4:$F$4,0)+1),(1-$G128)/(5-MATCH($D128,$B$4:$F$4,0)+1))))),0)</f>
        <v>0</v>
      </c>
      <c r="K128" s="141" t="n">
        <f aca="false">IFERROR(IF($E128&lt;&gt;"Discrete",0,IF(4&lt;MATCH($D128,$B$4:$F$4,0),0,IF($F128&lt;&gt;"Y",IF(4=MATCH($D128,$B$4:$F$4,0),1,0),IF(4=MATCH($D128,$B$4:$F$4,0),$G128+(1-$G128)/(5-MATCH($D128,$B$4:$F$4,0)+1),(1-$G128)/(5-MATCH($D128,$B$4:$F$4,0)+1))))),0)</f>
        <v>1</v>
      </c>
      <c r="L128" s="141" t="n">
        <f aca="false">IFERROR(IF($E128&lt;&gt;"Discrete",0,IF(5&lt;MATCH($D128,$B$4:$F$4,0),0,IF($F128&lt;&gt;"Y",IF(5=MATCH($D128,$B$4:$F$4,0),1,0),IF(5=MATCH($D128,$B$4:$F$4,0),$G128+(1-$G128)/(5-MATCH($D128,$B$4:$F$4,0)+1),(1-$G128)/(5-MATCH($D128,$B$4:$F$4,0)+1))))),0)</f>
        <v>0</v>
      </c>
    </row>
    <row r="129" customFormat="false" ht="14.25" hidden="false" customHeight="true" outlineLevel="0" collapsed="false">
      <c r="A129" s="139" t="n">
        <f aca="false">WP_상세!A126</f>
        <v>122</v>
      </c>
      <c r="B129" s="139" t="str">
        <f aca="false">WP_상세!B126</f>
        <v>VAL.1</v>
      </c>
      <c r="C129" s="139" t="str">
        <f aca="false">WP_상세!F126</f>
        <v>Validation Measure / 제품확인 방안서</v>
      </c>
      <c r="D129" s="139" t="str">
        <f aca="false">WP_상세!G126</f>
        <v>P2</v>
      </c>
      <c r="E129" s="139" t="str">
        <f aca="false">WP_상세!H126</f>
        <v>Discrete</v>
      </c>
      <c r="F129" s="139" t="str">
        <f aca="false">WP_상세!I126</f>
        <v>N</v>
      </c>
      <c r="G129" s="140" t="n">
        <f aca="false">WP_상세!J126</f>
        <v>1</v>
      </c>
      <c r="H129" s="141" t="n">
        <f aca="false">IFERROR(IF($E129&lt;&gt;"Discrete",0,IF(1&lt;MATCH($D129,$B$4:$F$4,0),0,IF($F129&lt;&gt;"Y",IF(1=MATCH($D129,$B$4:$F$4,0),1,0),IF(1=MATCH($D129,$B$4:$F$4,0),$G129+(1-$G129)/(5-MATCH($D129,$B$4:$F$4,0)+1),(1-$G129)/(5-MATCH($D129,$B$4:$F$4,0)+1))))),0)</f>
        <v>0</v>
      </c>
      <c r="I129" s="141" t="n">
        <f aca="false">IFERROR(IF($E129&lt;&gt;"Discrete",0,IF(2&lt;MATCH($D129,$B$4:$F$4,0),0,IF($F129&lt;&gt;"Y",IF(2=MATCH($D129,$B$4:$F$4,0),1,0),IF(2=MATCH($D129,$B$4:$F$4,0),$G129+(1-$G129)/(5-MATCH($D129,$B$4:$F$4,0)+1),(1-$G129)/(5-MATCH($D129,$B$4:$F$4,0)+1))))),0)</f>
        <v>0</v>
      </c>
      <c r="J129" s="141" t="n">
        <f aca="false">IFERROR(IF($E129&lt;&gt;"Discrete",0,IF(3&lt;MATCH($D129,$B$4:$F$4,0),0,IF($F129&lt;&gt;"Y",IF(3=MATCH($D129,$B$4:$F$4,0),1,0),IF(3=MATCH($D129,$B$4:$F$4,0),$G129+(1-$G129)/(5-MATCH($D129,$B$4:$F$4,0)+1),(1-$G129)/(5-MATCH($D129,$B$4:$F$4,0)+1))))),0)</f>
        <v>0</v>
      </c>
      <c r="K129" s="141" t="n">
        <f aca="false">IFERROR(IF($E129&lt;&gt;"Discrete",0,IF(4&lt;MATCH($D129,$B$4:$F$4,0),0,IF($F129&lt;&gt;"Y",IF(4=MATCH($D129,$B$4:$F$4,0),1,0),IF(4=MATCH($D129,$B$4:$F$4,0),$G129+(1-$G129)/(5-MATCH($D129,$B$4:$F$4,0)+1),(1-$G129)/(5-MATCH($D129,$B$4:$F$4,0)+1))))),0)</f>
        <v>1</v>
      </c>
      <c r="L129" s="141" t="n">
        <f aca="false">IFERROR(IF($E129&lt;&gt;"Discrete",0,IF(5&lt;MATCH($D129,$B$4:$F$4,0),0,IF($F129&lt;&gt;"Y",IF(5=MATCH($D129,$B$4:$F$4,0),1,0),IF(5=MATCH($D129,$B$4:$F$4,0),$G129+(1-$G129)/(5-MATCH($D129,$B$4:$F$4,0)+1),(1-$G129)/(5-MATCH($D129,$B$4:$F$4,0)+1))))),0)</f>
        <v>0</v>
      </c>
    </row>
    <row r="130" customFormat="false" ht="14.25" hidden="false" customHeight="true" outlineLevel="0" collapsed="false">
      <c r="A130" s="139" t="n">
        <f aca="false">WP_상세!A127</f>
        <v>123</v>
      </c>
      <c r="B130" s="139" t="str">
        <f aca="false">WP_상세!B127</f>
        <v>VAL.1</v>
      </c>
      <c r="C130" s="139" t="str">
        <f aca="false">WP_상세!F127</f>
        <v>Validation Measure Selection Set / 확인 방안 선정목록</v>
      </c>
      <c r="D130" s="139" t="str">
        <f aca="false">WP_상세!G127</f>
        <v>P2</v>
      </c>
      <c r="E130" s="139" t="str">
        <f aca="false">WP_상세!H127</f>
        <v>Discrete</v>
      </c>
      <c r="F130" s="139" t="str">
        <f aca="false">WP_상세!I127</f>
        <v>N</v>
      </c>
      <c r="G130" s="140" t="n">
        <f aca="false">WP_상세!J127</f>
        <v>1</v>
      </c>
      <c r="H130" s="141" t="n">
        <f aca="false">IFERROR(IF($E130&lt;&gt;"Discrete",0,IF(1&lt;MATCH($D130,$B$4:$F$4,0),0,IF($F130&lt;&gt;"Y",IF(1=MATCH($D130,$B$4:$F$4,0),1,0),IF(1=MATCH($D130,$B$4:$F$4,0),$G130+(1-$G130)/(5-MATCH($D130,$B$4:$F$4,0)+1),(1-$G130)/(5-MATCH($D130,$B$4:$F$4,0)+1))))),0)</f>
        <v>0</v>
      </c>
      <c r="I130" s="141" t="n">
        <f aca="false">IFERROR(IF($E130&lt;&gt;"Discrete",0,IF(2&lt;MATCH($D130,$B$4:$F$4,0),0,IF($F130&lt;&gt;"Y",IF(2=MATCH($D130,$B$4:$F$4,0),1,0),IF(2=MATCH($D130,$B$4:$F$4,0),$G130+(1-$G130)/(5-MATCH($D130,$B$4:$F$4,0)+1),(1-$G130)/(5-MATCH($D130,$B$4:$F$4,0)+1))))),0)</f>
        <v>0</v>
      </c>
      <c r="J130" s="141" t="n">
        <f aca="false">IFERROR(IF($E130&lt;&gt;"Discrete",0,IF(3&lt;MATCH($D130,$B$4:$F$4,0),0,IF($F130&lt;&gt;"Y",IF(3=MATCH($D130,$B$4:$F$4,0),1,0),IF(3=MATCH($D130,$B$4:$F$4,0),$G130+(1-$G130)/(5-MATCH($D130,$B$4:$F$4,0)+1),(1-$G130)/(5-MATCH($D130,$B$4:$F$4,0)+1))))),0)</f>
        <v>0</v>
      </c>
      <c r="K130" s="141" t="n">
        <f aca="false">IFERROR(IF($E130&lt;&gt;"Discrete",0,IF(4&lt;MATCH($D130,$B$4:$F$4,0),0,IF($F130&lt;&gt;"Y",IF(4=MATCH($D130,$B$4:$F$4,0),1,0),IF(4=MATCH($D130,$B$4:$F$4,0),$G130+(1-$G130)/(5-MATCH($D130,$B$4:$F$4,0)+1),(1-$G130)/(5-MATCH($D130,$B$4:$F$4,0)+1))))),0)</f>
        <v>1</v>
      </c>
      <c r="L130" s="141" t="n">
        <f aca="false">IFERROR(IF($E130&lt;&gt;"Discrete",0,IF(5&lt;MATCH($D130,$B$4:$F$4,0),0,IF($F130&lt;&gt;"Y",IF(5=MATCH($D130,$B$4:$F$4,0),1,0),IF(5=MATCH($D130,$B$4:$F$4,0),$G130+(1-$G130)/(5-MATCH($D130,$B$4:$F$4,0)+1),(1-$G130)/(5-MATCH($D130,$B$4:$F$4,0)+1))))),0)</f>
        <v>0</v>
      </c>
    </row>
    <row r="131" customFormat="false" ht="14.25" hidden="false" customHeight="true" outlineLevel="0" collapsed="false">
      <c r="A131" s="139" t="n">
        <f aca="false">WP_상세!A128</f>
        <v>124</v>
      </c>
      <c r="B131" s="139" t="str">
        <f aca="false">WP_상세!B128</f>
        <v>VAL.1</v>
      </c>
      <c r="C131" s="139" t="str">
        <f aca="false">WP_상세!F128</f>
        <v>Validation Results / 제품확인 결과서</v>
      </c>
      <c r="D131" s="139" t="str">
        <f aca="false">WP_상세!G128</f>
        <v>P2</v>
      </c>
      <c r="E131" s="139" t="str">
        <f aca="false">WP_상세!H128</f>
        <v>Discrete</v>
      </c>
      <c r="F131" s="139" t="str">
        <f aca="false">WP_상세!I128</f>
        <v>N</v>
      </c>
      <c r="G131" s="140" t="n">
        <f aca="false">WP_상세!J128</f>
        <v>1</v>
      </c>
      <c r="H131" s="141" t="n">
        <f aca="false">IFERROR(IF($E131&lt;&gt;"Discrete",0,IF(1&lt;MATCH($D131,$B$4:$F$4,0),0,IF($F131&lt;&gt;"Y",IF(1=MATCH($D131,$B$4:$F$4,0),1,0),IF(1=MATCH($D131,$B$4:$F$4,0),$G131+(1-$G131)/(5-MATCH($D131,$B$4:$F$4,0)+1),(1-$G131)/(5-MATCH($D131,$B$4:$F$4,0)+1))))),0)</f>
        <v>0</v>
      </c>
      <c r="I131" s="141" t="n">
        <f aca="false">IFERROR(IF($E131&lt;&gt;"Discrete",0,IF(2&lt;MATCH($D131,$B$4:$F$4,0),0,IF($F131&lt;&gt;"Y",IF(2=MATCH($D131,$B$4:$F$4,0),1,0),IF(2=MATCH($D131,$B$4:$F$4,0),$G131+(1-$G131)/(5-MATCH($D131,$B$4:$F$4,0)+1),(1-$G131)/(5-MATCH($D131,$B$4:$F$4,0)+1))))),0)</f>
        <v>0</v>
      </c>
      <c r="J131" s="141" t="n">
        <f aca="false">IFERROR(IF($E131&lt;&gt;"Discrete",0,IF(3&lt;MATCH($D131,$B$4:$F$4,0),0,IF($F131&lt;&gt;"Y",IF(3=MATCH($D131,$B$4:$F$4,0),1,0),IF(3=MATCH($D131,$B$4:$F$4,0),$G131+(1-$G131)/(5-MATCH($D131,$B$4:$F$4,0)+1),(1-$G131)/(5-MATCH($D131,$B$4:$F$4,0)+1))))),0)</f>
        <v>0</v>
      </c>
      <c r="K131" s="141" t="n">
        <f aca="false">IFERROR(IF($E131&lt;&gt;"Discrete",0,IF(4&lt;MATCH($D131,$B$4:$F$4,0),0,IF($F131&lt;&gt;"Y",IF(4=MATCH($D131,$B$4:$F$4,0),1,0),IF(4=MATCH($D131,$B$4:$F$4,0),$G131+(1-$G131)/(5-MATCH($D131,$B$4:$F$4,0)+1),(1-$G131)/(5-MATCH($D131,$B$4:$F$4,0)+1))))),0)</f>
        <v>1</v>
      </c>
      <c r="L131" s="141" t="n">
        <f aca="false">IFERROR(IF($E131&lt;&gt;"Discrete",0,IF(5&lt;MATCH($D131,$B$4:$F$4,0),0,IF($F131&lt;&gt;"Y",IF(5=MATCH($D131,$B$4:$F$4,0),1,0),IF(5=MATCH($D131,$B$4:$F$4,0),$G131+(1-$G131)/(5-MATCH($D131,$B$4:$F$4,0)+1),(1-$G131)/(5-MATCH($D131,$B$4:$F$4,0)+1))))),0)</f>
        <v>0</v>
      </c>
    </row>
    <row r="132" customFormat="false" ht="14.25" hidden="false" customHeight="true" outlineLevel="0" collapsed="false">
      <c r="A132" s="139" t="n">
        <f aca="false">WP_상세!A129</f>
        <v>125</v>
      </c>
      <c r="B132" s="139" t="str">
        <f aca="false">WP_상세!B129</f>
        <v>VAL.1</v>
      </c>
      <c r="C132" s="139" t="str">
        <f aca="false">WP_상세!F129</f>
        <v>Consistency Evidence / 확인방안-요구사항/확인결과 추적성 매트릭스</v>
      </c>
      <c r="D132" s="139" t="str">
        <f aca="false">WP_상세!G129</f>
        <v>P2</v>
      </c>
      <c r="E132" s="139" t="str">
        <f aca="false">WP_상세!H129</f>
        <v>Discrete</v>
      </c>
      <c r="F132" s="139" t="str">
        <f aca="false">WP_상세!I129</f>
        <v>N</v>
      </c>
      <c r="G132" s="140" t="n">
        <f aca="false">WP_상세!J129</f>
        <v>1</v>
      </c>
      <c r="H132" s="141" t="n">
        <f aca="false">IFERROR(IF($E132&lt;&gt;"Discrete",0,IF(1&lt;MATCH($D132,$B$4:$F$4,0),0,IF($F132&lt;&gt;"Y",IF(1=MATCH($D132,$B$4:$F$4,0),1,0),IF(1=MATCH($D132,$B$4:$F$4,0),$G132+(1-$G132)/(5-MATCH($D132,$B$4:$F$4,0)+1),(1-$G132)/(5-MATCH($D132,$B$4:$F$4,0)+1))))),0)</f>
        <v>0</v>
      </c>
      <c r="I132" s="141" t="n">
        <f aca="false">IFERROR(IF($E132&lt;&gt;"Discrete",0,IF(2&lt;MATCH($D132,$B$4:$F$4,0),0,IF($F132&lt;&gt;"Y",IF(2=MATCH($D132,$B$4:$F$4,0),1,0),IF(2=MATCH($D132,$B$4:$F$4,0),$G132+(1-$G132)/(5-MATCH($D132,$B$4:$F$4,0)+1),(1-$G132)/(5-MATCH($D132,$B$4:$F$4,0)+1))))),0)</f>
        <v>0</v>
      </c>
      <c r="J132" s="141" t="n">
        <f aca="false">IFERROR(IF($E132&lt;&gt;"Discrete",0,IF(3&lt;MATCH($D132,$B$4:$F$4,0),0,IF($F132&lt;&gt;"Y",IF(3=MATCH($D132,$B$4:$F$4,0),1,0),IF(3=MATCH($D132,$B$4:$F$4,0),$G132+(1-$G132)/(5-MATCH($D132,$B$4:$F$4,0)+1),(1-$G132)/(5-MATCH($D132,$B$4:$F$4,0)+1))))),0)</f>
        <v>0</v>
      </c>
      <c r="K132" s="141" t="n">
        <f aca="false">IFERROR(IF($E132&lt;&gt;"Discrete",0,IF(4&lt;MATCH($D132,$B$4:$F$4,0),0,IF($F132&lt;&gt;"Y",IF(4=MATCH($D132,$B$4:$F$4,0),1,0),IF(4=MATCH($D132,$B$4:$F$4,0),$G132+(1-$G132)/(5-MATCH($D132,$B$4:$F$4,0)+1),(1-$G132)/(5-MATCH($D132,$B$4:$F$4,0)+1))))),0)</f>
        <v>1</v>
      </c>
      <c r="L132" s="141" t="n">
        <f aca="false">IFERROR(IF($E132&lt;&gt;"Discrete",0,IF(5&lt;MATCH($D132,$B$4:$F$4,0),0,IF($F132&lt;&gt;"Y",IF(5=MATCH($D132,$B$4:$F$4,0),1,0),IF(5=MATCH($D132,$B$4:$F$4,0),$G132+(1-$G132)/(5-MATCH($D132,$B$4:$F$4,0)+1),(1-$G132)/(5-MATCH($D132,$B$4:$F$4,0)+1))))),0)</f>
        <v>0</v>
      </c>
    </row>
    <row r="133" customFormat="false" ht="14.25" hidden="false" customHeight="true" outlineLevel="0" collapsed="false">
      <c r="A133" s="139" t="n">
        <f aca="false">WP_상세!A130</f>
        <v>126</v>
      </c>
      <c r="B133" s="139" t="str">
        <f aca="false">WP_상세!B130</f>
        <v>VAL.1</v>
      </c>
      <c r="C133" s="139" t="str">
        <f aca="false">WP_상세!F130</f>
        <v>Communication Evidence / 제품확인 결과 요약보고서</v>
      </c>
      <c r="D133" s="139" t="str">
        <f aca="false">WP_상세!G130</f>
        <v>P2</v>
      </c>
      <c r="E133" s="139" t="str">
        <f aca="false">WP_상세!H130</f>
        <v>Discrete</v>
      </c>
      <c r="F133" s="139" t="str">
        <f aca="false">WP_상세!I130</f>
        <v>N</v>
      </c>
      <c r="G133" s="140" t="n">
        <f aca="false">WP_상세!J130</f>
        <v>1</v>
      </c>
      <c r="H133" s="141" t="n">
        <f aca="false">IFERROR(IF($E133&lt;&gt;"Discrete",0,IF(1&lt;MATCH($D133,$B$4:$F$4,0),0,IF($F133&lt;&gt;"Y",IF(1=MATCH($D133,$B$4:$F$4,0),1,0),IF(1=MATCH($D133,$B$4:$F$4,0),$G133+(1-$G133)/(5-MATCH($D133,$B$4:$F$4,0)+1),(1-$G133)/(5-MATCH($D133,$B$4:$F$4,0)+1))))),0)</f>
        <v>0</v>
      </c>
      <c r="I133" s="141" t="n">
        <f aca="false">IFERROR(IF($E133&lt;&gt;"Discrete",0,IF(2&lt;MATCH($D133,$B$4:$F$4,0),0,IF($F133&lt;&gt;"Y",IF(2=MATCH($D133,$B$4:$F$4,0),1,0),IF(2=MATCH($D133,$B$4:$F$4,0),$G133+(1-$G133)/(5-MATCH($D133,$B$4:$F$4,0)+1),(1-$G133)/(5-MATCH($D133,$B$4:$F$4,0)+1))))),0)</f>
        <v>0</v>
      </c>
      <c r="J133" s="141" t="n">
        <f aca="false">IFERROR(IF($E133&lt;&gt;"Discrete",0,IF(3&lt;MATCH($D133,$B$4:$F$4,0),0,IF($F133&lt;&gt;"Y",IF(3=MATCH($D133,$B$4:$F$4,0),1,0),IF(3=MATCH($D133,$B$4:$F$4,0),$G133+(1-$G133)/(5-MATCH($D133,$B$4:$F$4,0)+1),(1-$G133)/(5-MATCH($D133,$B$4:$F$4,0)+1))))),0)</f>
        <v>0</v>
      </c>
      <c r="K133" s="141" t="n">
        <f aca="false">IFERROR(IF($E133&lt;&gt;"Discrete",0,IF(4&lt;MATCH($D133,$B$4:$F$4,0),0,IF($F133&lt;&gt;"Y",IF(4=MATCH($D133,$B$4:$F$4,0),1,0),IF(4=MATCH($D133,$B$4:$F$4,0),$G133+(1-$G133)/(5-MATCH($D133,$B$4:$F$4,0)+1),(1-$G133)/(5-MATCH($D133,$B$4:$F$4,0)+1))))),0)</f>
        <v>1</v>
      </c>
      <c r="L133" s="141" t="n">
        <f aca="false">IFERROR(IF($E133&lt;&gt;"Discrete",0,IF(5&lt;MATCH($D133,$B$4:$F$4,0),0,IF($F133&lt;&gt;"Y",IF(5=MATCH($D133,$B$4:$F$4,0),1,0),IF(5=MATCH($D133,$B$4:$F$4,0),$G133+(1-$G133)/(5-MATCH($D133,$B$4:$F$4,0)+1),(1-$G133)/(5-MATCH($D133,$B$4:$F$4,0)+1))))),0)</f>
        <v>0</v>
      </c>
    </row>
    <row r="134" customFormat="false" ht="14.25" hidden="false" customHeight="true" outlineLevel="0" collapsed="false">
      <c r="A134" s="139" t="n">
        <f aca="false">WP_상세!A131</f>
        <v>127</v>
      </c>
      <c r="B134" s="139" t="str">
        <f aca="false">WP_상세!B131</f>
        <v>MLE.1</v>
      </c>
      <c r="C134" s="139" t="str">
        <f aca="false">WP_상세!F131</f>
        <v>Requirement / ML 요구사항 명세서</v>
      </c>
      <c r="D134" s="139" t="str">
        <f aca="false">WP_상세!G131</f>
        <v>M-Car</v>
      </c>
      <c r="E134" s="139" t="str">
        <f aca="false">WP_상세!H131</f>
        <v>Discrete</v>
      </c>
      <c r="F134" s="139" t="str">
        <f aca="false">WP_상세!I131</f>
        <v>Y</v>
      </c>
      <c r="G134" s="140" t="n">
        <f aca="false">WP_상세!J131</f>
        <v>0.4</v>
      </c>
      <c r="H134" s="141" t="n">
        <f aca="false">IFERROR(IF($E134&lt;&gt;"Discrete",0,IF(1&lt;MATCH($D134,$B$4:$F$4,0),0,IF($F134&lt;&gt;"Y",IF(1=MATCH($D134,$B$4:$F$4,0),1,0),IF(1=MATCH($D134,$B$4:$F$4,0),$G134+(1-$G134)/(5-MATCH($D134,$B$4:$F$4,0)+1),(1-$G134)/(5-MATCH($D134,$B$4:$F$4,0)+1))))),0)</f>
        <v>0.52</v>
      </c>
      <c r="I134" s="141" t="n">
        <f aca="false">IFERROR(IF($E134&lt;&gt;"Discrete",0,IF(2&lt;MATCH($D134,$B$4:$F$4,0),0,IF($F134&lt;&gt;"Y",IF(2=MATCH($D134,$B$4:$F$4,0),1,0),IF(2=MATCH($D134,$B$4:$F$4,0),$G134+(1-$G134)/(5-MATCH($D134,$B$4:$F$4,0)+1),(1-$G134)/(5-MATCH($D134,$B$4:$F$4,0)+1))))),0)</f>
        <v>0.12</v>
      </c>
      <c r="J134" s="141" t="n">
        <f aca="false">IFERROR(IF($E134&lt;&gt;"Discrete",0,IF(3&lt;MATCH($D134,$B$4:$F$4,0),0,IF($F134&lt;&gt;"Y",IF(3=MATCH($D134,$B$4:$F$4,0),1,0),IF(3=MATCH($D134,$B$4:$F$4,0),$G134+(1-$G134)/(5-MATCH($D134,$B$4:$F$4,0)+1),(1-$G134)/(5-MATCH($D134,$B$4:$F$4,0)+1))))),0)</f>
        <v>0.12</v>
      </c>
      <c r="K134" s="141" t="n">
        <f aca="false">IFERROR(IF($E134&lt;&gt;"Discrete",0,IF(4&lt;MATCH($D134,$B$4:$F$4,0),0,IF($F134&lt;&gt;"Y",IF(4=MATCH($D134,$B$4:$F$4,0),1,0),IF(4=MATCH($D134,$B$4:$F$4,0),$G134+(1-$G134)/(5-MATCH($D134,$B$4:$F$4,0)+1),(1-$G134)/(5-MATCH($D134,$B$4:$F$4,0)+1))))),0)</f>
        <v>0.12</v>
      </c>
      <c r="L134" s="141" t="n">
        <f aca="false">IFERROR(IF($E134&lt;&gt;"Discrete",0,IF(5&lt;MATCH($D134,$B$4:$F$4,0),0,IF($F134&lt;&gt;"Y",IF(5=MATCH($D134,$B$4:$F$4,0),1,0),IF(5=MATCH($D134,$B$4:$F$4,0),$G134+(1-$G134)/(5-MATCH($D134,$B$4:$F$4,0)+1),(1-$G134)/(5-MATCH($D134,$B$4:$F$4,0)+1))))),0)</f>
        <v>0.12</v>
      </c>
    </row>
    <row r="135" customFormat="false" ht="14.25" hidden="false" customHeight="true" outlineLevel="0" collapsed="false">
      <c r="A135" s="139" t="n">
        <f aca="false">WP_상세!A132</f>
        <v>128</v>
      </c>
      <c r="B135" s="139" t="str">
        <f aca="false">WP_상세!B132</f>
        <v>MLE.1</v>
      </c>
      <c r="C135" s="139" t="str">
        <f aca="false">WP_상세!F132</f>
        <v>Requirement Attribute / ML 요구사항 구조화 문서</v>
      </c>
      <c r="D135" s="139" t="str">
        <f aca="false">WP_상세!G132</f>
        <v>M-Car</v>
      </c>
      <c r="E135" s="139" t="str">
        <f aca="false">WP_상세!H132</f>
        <v>Discrete</v>
      </c>
      <c r="F135" s="139" t="str">
        <f aca="false">WP_상세!I132</f>
        <v>Y</v>
      </c>
      <c r="G135" s="140" t="n">
        <f aca="false">WP_상세!J132</f>
        <v>0.4</v>
      </c>
      <c r="H135" s="141" t="n">
        <f aca="false">IFERROR(IF($E135&lt;&gt;"Discrete",0,IF(1&lt;MATCH($D135,$B$4:$F$4,0),0,IF($F135&lt;&gt;"Y",IF(1=MATCH($D135,$B$4:$F$4,0),1,0),IF(1=MATCH($D135,$B$4:$F$4,0),$G135+(1-$G135)/(5-MATCH($D135,$B$4:$F$4,0)+1),(1-$G135)/(5-MATCH($D135,$B$4:$F$4,0)+1))))),0)</f>
        <v>0.52</v>
      </c>
      <c r="I135" s="141" t="n">
        <f aca="false">IFERROR(IF($E135&lt;&gt;"Discrete",0,IF(2&lt;MATCH($D135,$B$4:$F$4,0),0,IF($F135&lt;&gt;"Y",IF(2=MATCH($D135,$B$4:$F$4,0),1,0),IF(2=MATCH($D135,$B$4:$F$4,0),$G135+(1-$G135)/(5-MATCH($D135,$B$4:$F$4,0)+1),(1-$G135)/(5-MATCH($D135,$B$4:$F$4,0)+1))))),0)</f>
        <v>0.12</v>
      </c>
      <c r="J135" s="141" t="n">
        <f aca="false">IFERROR(IF($E135&lt;&gt;"Discrete",0,IF(3&lt;MATCH($D135,$B$4:$F$4,0),0,IF($F135&lt;&gt;"Y",IF(3=MATCH($D135,$B$4:$F$4,0),1,0),IF(3=MATCH($D135,$B$4:$F$4,0),$G135+(1-$G135)/(5-MATCH($D135,$B$4:$F$4,0)+1),(1-$G135)/(5-MATCH($D135,$B$4:$F$4,0)+1))))),0)</f>
        <v>0.12</v>
      </c>
      <c r="K135" s="141" t="n">
        <f aca="false">IFERROR(IF($E135&lt;&gt;"Discrete",0,IF(4&lt;MATCH($D135,$B$4:$F$4,0),0,IF($F135&lt;&gt;"Y",IF(4=MATCH($D135,$B$4:$F$4,0),1,0),IF(4=MATCH($D135,$B$4:$F$4,0),$G135+(1-$G135)/(5-MATCH($D135,$B$4:$F$4,0)+1),(1-$G135)/(5-MATCH($D135,$B$4:$F$4,0)+1))))),0)</f>
        <v>0.12</v>
      </c>
      <c r="L135" s="141" t="n">
        <f aca="false">IFERROR(IF($E135&lt;&gt;"Discrete",0,IF(5&lt;MATCH($D135,$B$4:$F$4,0),0,IF($F135&lt;&gt;"Y",IF(5=MATCH($D135,$B$4:$F$4,0),1,0),IF(5=MATCH($D135,$B$4:$F$4,0),$G135+(1-$G135)/(5-MATCH($D135,$B$4:$F$4,0)+1),(1-$G135)/(5-MATCH($D135,$B$4:$F$4,0)+1))))),0)</f>
        <v>0.12</v>
      </c>
    </row>
    <row r="136" customFormat="false" ht="14.25" hidden="false" customHeight="true" outlineLevel="0" collapsed="false">
      <c r="A136" s="139" t="n">
        <f aca="false">WP_상세!A133</f>
        <v>129</v>
      </c>
      <c r="B136" s="139" t="str">
        <f aca="false">WP_상세!B133</f>
        <v>MLE.1</v>
      </c>
      <c r="C136" s="139" t="str">
        <f aca="false">WP_상세!F133</f>
        <v>Analysis Results / ML 요구사항 분석서</v>
      </c>
      <c r="D136" s="139" t="str">
        <f aca="false">WP_상세!G133</f>
        <v>M-Car</v>
      </c>
      <c r="E136" s="139" t="str">
        <f aca="false">WP_상세!H133</f>
        <v>Discrete</v>
      </c>
      <c r="F136" s="139" t="str">
        <f aca="false">WP_상세!I133</f>
        <v>N</v>
      </c>
      <c r="G136" s="140" t="n">
        <f aca="false">WP_상세!J133</f>
        <v>1</v>
      </c>
      <c r="H136" s="141" t="n">
        <f aca="false">IFERROR(IF($E136&lt;&gt;"Discrete",0,IF(1&lt;MATCH($D136,$B$4:$F$4,0),0,IF($F136&lt;&gt;"Y",IF(1=MATCH($D136,$B$4:$F$4,0),1,0),IF(1=MATCH($D136,$B$4:$F$4,0),$G136+(1-$G136)/(5-MATCH($D136,$B$4:$F$4,0)+1),(1-$G136)/(5-MATCH($D136,$B$4:$F$4,0)+1))))),0)</f>
        <v>1</v>
      </c>
      <c r="I136" s="141" t="n">
        <f aca="false">IFERROR(IF($E136&lt;&gt;"Discrete",0,IF(2&lt;MATCH($D136,$B$4:$F$4,0),0,IF($F136&lt;&gt;"Y",IF(2=MATCH($D136,$B$4:$F$4,0),1,0),IF(2=MATCH($D136,$B$4:$F$4,0),$G136+(1-$G136)/(5-MATCH($D136,$B$4:$F$4,0)+1),(1-$G136)/(5-MATCH($D136,$B$4:$F$4,0)+1))))),0)</f>
        <v>0</v>
      </c>
      <c r="J136" s="141" t="n">
        <f aca="false">IFERROR(IF($E136&lt;&gt;"Discrete",0,IF(3&lt;MATCH($D136,$B$4:$F$4,0),0,IF($F136&lt;&gt;"Y",IF(3=MATCH($D136,$B$4:$F$4,0),1,0),IF(3=MATCH($D136,$B$4:$F$4,0),$G136+(1-$G136)/(5-MATCH($D136,$B$4:$F$4,0)+1),(1-$G136)/(5-MATCH($D136,$B$4:$F$4,0)+1))))),0)</f>
        <v>0</v>
      </c>
      <c r="K136" s="141" t="n">
        <f aca="false">IFERROR(IF($E136&lt;&gt;"Discrete",0,IF(4&lt;MATCH($D136,$B$4:$F$4,0),0,IF($F136&lt;&gt;"Y",IF(4=MATCH($D136,$B$4:$F$4,0),1,0),IF(4=MATCH($D136,$B$4:$F$4,0),$G136+(1-$G136)/(5-MATCH($D136,$B$4:$F$4,0)+1),(1-$G136)/(5-MATCH($D136,$B$4:$F$4,0)+1))))),0)</f>
        <v>0</v>
      </c>
      <c r="L136" s="141" t="n">
        <f aca="false">IFERROR(IF($E136&lt;&gt;"Discrete",0,IF(5&lt;MATCH($D136,$B$4:$F$4,0),0,IF($F136&lt;&gt;"Y",IF(5=MATCH($D136,$B$4:$F$4,0),1,0),IF(5=MATCH($D136,$B$4:$F$4,0),$G136+(1-$G136)/(5-MATCH($D136,$B$4:$F$4,0)+1),(1-$G136)/(5-MATCH($D136,$B$4:$F$4,0)+1))))),0)</f>
        <v>0</v>
      </c>
    </row>
    <row r="137" customFormat="false" ht="14.25" hidden="false" customHeight="true" outlineLevel="0" collapsed="false">
      <c r="A137" s="139" t="n">
        <f aca="false">WP_상세!A134</f>
        <v>130</v>
      </c>
      <c r="B137" s="139" t="str">
        <f aca="false">WP_상세!B134</f>
        <v>MLE.1</v>
      </c>
      <c r="C137" s="139" t="str">
        <f aca="false">WP_상세!F134</f>
        <v>Analysis Results / ML 운영환경 영향분석서</v>
      </c>
      <c r="D137" s="139" t="str">
        <f aca="false">WP_상세!G134</f>
        <v>M-Car</v>
      </c>
      <c r="E137" s="139" t="str">
        <f aca="false">WP_상세!H134</f>
        <v>Discrete</v>
      </c>
      <c r="F137" s="139" t="str">
        <f aca="false">WP_상세!I134</f>
        <v>N</v>
      </c>
      <c r="G137" s="140" t="n">
        <f aca="false">WP_상세!J134</f>
        <v>1</v>
      </c>
      <c r="H137" s="141" t="n">
        <f aca="false">IFERROR(IF($E137&lt;&gt;"Discrete",0,IF(1&lt;MATCH($D137,$B$4:$F$4,0),0,IF($F137&lt;&gt;"Y",IF(1=MATCH($D137,$B$4:$F$4,0),1,0),IF(1=MATCH($D137,$B$4:$F$4,0),$G137+(1-$G137)/(5-MATCH($D137,$B$4:$F$4,0)+1),(1-$G137)/(5-MATCH($D137,$B$4:$F$4,0)+1))))),0)</f>
        <v>1</v>
      </c>
      <c r="I137" s="141" t="n">
        <f aca="false">IFERROR(IF($E137&lt;&gt;"Discrete",0,IF(2&lt;MATCH($D137,$B$4:$F$4,0),0,IF($F137&lt;&gt;"Y",IF(2=MATCH($D137,$B$4:$F$4,0),1,0),IF(2=MATCH($D137,$B$4:$F$4,0),$G137+(1-$G137)/(5-MATCH($D137,$B$4:$F$4,0)+1),(1-$G137)/(5-MATCH($D137,$B$4:$F$4,0)+1))))),0)</f>
        <v>0</v>
      </c>
      <c r="J137" s="141" t="n">
        <f aca="false">IFERROR(IF($E137&lt;&gt;"Discrete",0,IF(3&lt;MATCH($D137,$B$4:$F$4,0),0,IF($F137&lt;&gt;"Y",IF(3=MATCH($D137,$B$4:$F$4,0),1,0),IF(3=MATCH($D137,$B$4:$F$4,0),$G137+(1-$G137)/(5-MATCH($D137,$B$4:$F$4,0)+1),(1-$G137)/(5-MATCH($D137,$B$4:$F$4,0)+1))))),0)</f>
        <v>0</v>
      </c>
      <c r="K137" s="141" t="n">
        <f aca="false">IFERROR(IF($E137&lt;&gt;"Discrete",0,IF(4&lt;MATCH($D137,$B$4:$F$4,0),0,IF($F137&lt;&gt;"Y",IF(4=MATCH($D137,$B$4:$F$4,0),1,0),IF(4=MATCH($D137,$B$4:$F$4,0),$G137+(1-$G137)/(5-MATCH($D137,$B$4:$F$4,0)+1),(1-$G137)/(5-MATCH($D137,$B$4:$F$4,0)+1))))),0)</f>
        <v>0</v>
      </c>
      <c r="L137" s="141" t="n">
        <f aca="false">IFERROR(IF($E137&lt;&gt;"Discrete",0,IF(5&lt;MATCH($D137,$B$4:$F$4,0),0,IF($F137&lt;&gt;"Y",IF(5=MATCH($D137,$B$4:$F$4,0),1,0),IF(5=MATCH($D137,$B$4:$F$4,0),$G137+(1-$G137)/(5-MATCH($D137,$B$4:$F$4,0)+1),(1-$G137)/(5-MATCH($D137,$B$4:$F$4,0)+1))))),0)</f>
        <v>0</v>
      </c>
    </row>
    <row r="138" customFormat="false" ht="14.25" hidden="false" customHeight="true" outlineLevel="0" collapsed="false">
      <c r="A138" s="139" t="n">
        <f aca="false">WP_상세!A135</f>
        <v>131</v>
      </c>
      <c r="B138" s="139" t="str">
        <f aca="false">WP_상세!B135</f>
        <v>MLE.1</v>
      </c>
      <c r="C138" s="139" t="str">
        <f aca="false">WP_상세!F135</f>
        <v>Consistency Evidence / ML요구사항-SW요구사항 추적성 매트릭스</v>
      </c>
      <c r="D138" s="139" t="str">
        <f aca="false">WP_상세!G135</f>
        <v>M-Car</v>
      </c>
      <c r="E138" s="139" t="str">
        <f aca="false">WP_상세!H135</f>
        <v>Discrete</v>
      </c>
      <c r="F138" s="139" t="str">
        <f aca="false">WP_상세!I135</f>
        <v>N</v>
      </c>
      <c r="G138" s="140" t="n">
        <f aca="false">WP_상세!J135</f>
        <v>1</v>
      </c>
      <c r="H138" s="141" t="n">
        <f aca="false">IFERROR(IF($E138&lt;&gt;"Discrete",0,IF(1&lt;MATCH($D138,$B$4:$F$4,0),0,IF($F138&lt;&gt;"Y",IF(1=MATCH($D138,$B$4:$F$4,0),1,0),IF(1=MATCH($D138,$B$4:$F$4,0),$G138+(1-$G138)/(5-MATCH($D138,$B$4:$F$4,0)+1),(1-$G138)/(5-MATCH($D138,$B$4:$F$4,0)+1))))),0)</f>
        <v>1</v>
      </c>
      <c r="I138" s="141" t="n">
        <f aca="false">IFERROR(IF($E138&lt;&gt;"Discrete",0,IF(2&lt;MATCH($D138,$B$4:$F$4,0),0,IF($F138&lt;&gt;"Y",IF(2=MATCH($D138,$B$4:$F$4,0),1,0),IF(2=MATCH($D138,$B$4:$F$4,0),$G138+(1-$G138)/(5-MATCH($D138,$B$4:$F$4,0)+1),(1-$G138)/(5-MATCH($D138,$B$4:$F$4,0)+1))))),0)</f>
        <v>0</v>
      </c>
      <c r="J138" s="141" t="n">
        <f aca="false">IFERROR(IF($E138&lt;&gt;"Discrete",0,IF(3&lt;MATCH($D138,$B$4:$F$4,0),0,IF($F138&lt;&gt;"Y",IF(3=MATCH($D138,$B$4:$F$4,0),1,0),IF(3=MATCH($D138,$B$4:$F$4,0),$G138+(1-$G138)/(5-MATCH($D138,$B$4:$F$4,0)+1),(1-$G138)/(5-MATCH($D138,$B$4:$F$4,0)+1))))),0)</f>
        <v>0</v>
      </c>
      <c r="K138" s="141" t="n">
        <f aca="false">IFERROR(IF($E138&lt;&gt;"Discrete",0,IF(4&lt;MATCH($D138,$B$4:$F$4,0),0,IF($F138&lt;&gt;"Y",IF(4=MATCH($D138,$B$4:$F$4,0),1,0),IF(4=MATCH($D138,$B$4:$F$4,0),$G138+(1-$G138)/(5-MATCH($D138,$B$4:$F$4,0)+1),(1-$G138)/(5-MATCH($D138,$B$4:$F$4,0)+1))))),0)</f>
        <v>0</v>
      </c>
      <c r="L138" s="141" t="n">
        <f aca="false">IFERROR(IF($E138&lt;&gt;"Discrete",0,IF(5&lt;MATCH($D138,$B$4:$F$4,0),0,IF($F138&lt;&gt;"Y",IF(5=MATCH($D138,$B$4:$F$4,0),1,0),IF(5=MATCH($D138,$B$4:$F$4,0),$G138+(1-$G138)/(5-MATCH($D138,$B$4:$F$4,0)+1),(1-$G138)/(5-MATCH($D138,$B$4:$F$4,0)+1))))),0)</f>
        <v>0</v>
      </c>
    </row>
    <row r="139" customFormat="false" ht="14.25" hidden="false" customHeight="true" outlineLevel="0" collapsed="false">
      <c r="A139" s="139" t="n">
        <f aca="false">WP_상세!A136</f>
        <v>132</v>
      </c>
      <c r="B139" s="139" t="str">
        <f aca="false">WP_상세!B136</f>
        <v>MLE.1</v>
      </c>
      <c r="C139" s="139" t="str">
        <f aca="false">WP_상세!F136</f>
        <v>Communication Evidence / 합의된 ML 요구사항 공유기록</v>
      </c>
      <c r="D139" s="139" t="str">
        <f aca="false">WP_상세!G136</f>
        <v>M-Car</v>
      </c>
      <c r="E139" s="139" t="str">
        <f aca="false">WP_상세!H136</f>
        <v>Discrete</v>
      </c>
      <c r="F139" s="139" t="str">
        <f aca="false">WP_상세!I136</f>
        <v>N</v>
      </c>
      <c r="G139" s="140" t="n">
        <f aca="false">WP_상세!J136</f>
        <v>1</v>
      </c>
      <c r="H139" s="141" t="n">
        <f aca="false">IFERROR(IF($E139&lt;&gt;"Discrete",0,IF(1&lt;MATCH($D139,$B$4:$F$4,0),0,IF($F139&lt;&gt;"Y",IF(1=MATCH($D139,$B$4:$F$4,0),1,0),IF(1=MATCH($D139,$B$4:$F$4,0),$G139+(1-$G139)/(5-MATCH($D139,$B$4:$F$4,0)+1),(1-$G139)/(5-MATCH($D139,$B$4:$F$4,0)+1))))),0)</f>
        <v>1</v>
      </c>
      <c r="I139" s="141" t="n">
        <f aca="false">IFERROR(IF($E139&lt;&gt;"Discrete",0,IF(2&lt;MATCH($D139,$B$4:$F$4,0),0,IF($F139&lt;&gt;"Y",IF(2=MATCH($D139,$B$4:$F$4,0),1,0),IF(2=MATCH($D139,$B$4:$F$4,0),$G139+(1-$G139)/(5-MATCH($D139,$B$4:$F$4,0)+1),(1-$G139)/(5-MATCH($D139,$B$4:$F$4,0)+1))))),0)</f>
        <v>0</v>
      </c>
      <c r="J139" s="141" t="n">
        <f aca="false">IFERROR(IF($E139&lt;&gt;"Discrete",0,IF(3&lt;MATCH($D139,$B$4:$F$4,0),0,IF($F139&lt;&gt;"Y",IF(3=MATCH($D139,$B$4:$F$4,0),1,0),IF(3=MATCH($D139,$B$4:$F$4,0),$G139+(1-$G139)/(5-MATCH($D139,$B$4:$F$4,0)+1),(1-$G139)/(5-MATCH($D139,$B$4:$F$4,0)+1))))),0)</f>
        <v>0</v>
      </c>
      <c r="K139" s="141" t="n">
        <f aca="false">IFERROR(IF($E139&lt;&gt;"Discrete",0,IF(4&lt;MATCH($D139,$B$4:$F$4,0),0,IF($F139&lt;&gt;"Y",IF(4=MATCH($D139,$B$4:$F$4,0),1,0),IF(4=MATCH($D139,$B$4:$F$4,0),$G139+(1-$G139)/(5-MATCH($D139,$B$4:$F$4,0)+1),(1-$G139)/(5-MATCH($D139,$B$4:$F$4,0)+1))))),0)</f>
        <v>0</v>
      </c>
      <c r="L139" s="141" t="n">
        <f aca="false">IFERROR(IF($E139&lt;&gt;"Discrete",0,IF(5&lt;MATCH($D139,$B$4:$F$4,0),0,IF($F139&lt;&gt;"Y",IF(5=MATCH($D139,$B$4:$F$4,0),1,0),IF(5=MATCH($D139,$B$4:$F$4,0),$G139+(1-$G139)/(5-MATCH($D139,$B$4:$F$4,0)+1),(1-$G139)/(5-MATCH($D139,$B$4:$F$4,0)+1))))),0)</f>
        <v>0</v>
      </c>
    </row>
    <row r="140" customFormat="false" ht="14.25" hidden="false" customHeight="true" outlineLevel="0" collapsed="false">
      <c r="A140" s="139" t="n">
        <f aca="false">WP_상세!A137</f>
        <v>133</v>
      </c>
      <c r="B140" s="139" t="str">
        <f aca="false">WP_상세!B137</f>
        <v>MLE.2</v>
      </c>
      <c r="C140" s="139" t="str">
        <f aca="false">WP_상세!F137</f>
        <v>ML Architecture / ML 아키텍처 설계서</v>
      </c>
      <c r="D140" s="139" t="str">
        <f aca="false">WP_상세!G137</f>
        <v>M-Car</v>
      </c>
      <c r="E140" s="139" t="str">
        <f aca="false">WP_상세!H137</f>
        <v>Discrete</v>
      </c>
      <c r="F140" s="139" t="str">
        <f aca="false">WP_상세!I137</f>
        <v>Y</v>
      </c>
      <c r="G140" s="140" t="n">
        <f aca="false">WP_상세!J137</f>
        <v>0.4</v>
      </c>
      <c r="H140" s="141" t="n">
        <f aca="false">IFERROR(IF($E140&lt;&gt;"Discrete",0,IF(1&lt;MATCH($D140,$B$4:$F$4,0),0,IF($F140&lt;&gt;"Y",IF(1=MATCH($D140,$B$4:$F$4,0),1,0),IF(1=MATCH($D140,$B$4:$F$4,0),$G140+(1-$G140)/(5-MATCH($D140,$B$4:$F$4,0)+1),(1-$G140)/(5-MATCH($D140,$B$4:$F$4,0)+1))))),0)</f>
        <v>0.52</v>
      </c>
      <c r="I140" s="141" t="n">
        <f aca="false">IFERROR(IF($E140&lt;&gt;"Discrete",0,IF(2&lt;MATCH($D140,$B$4:$F$4,0),0,IF($F140&lt;&gt;"Y",IF(2=MATCH($D140,$B$4:$F$4,0),1,0),IF(2=MATCH($D140,$B$4:$F$4,0),$G140+(1-$G140)/(5-MATCH($D140,$B$4:$F$4,0)+1),(1-$G140)/(5-MATCH($D140,$B$4:$F$4,0)+1))))),0)</f>
        <v>0.12</v>
      </c>
      <c r="J140" s="141" t="n">
        <f aca="false">IFERROR(IF($E140&lt;&gt;"Discrete",0,IF(3&lt;MATCH($D140,$B$4:$F$4,0),0,IF($F140&lt;&gt;"Y",IF(3=MATCH($D140,$B$4:$F$4,0),1,0),IF(3=MATCH($D140,$B$4:$F$4,0),$G140+(1-$G140)/(5-MATCH($D140,$B$4:$F$4,0)+1),(1-$G140)/(5-MATCH($D140,$B$4:$F$4,0)+1))))),0)</f>
        <v>0.12</v>
      </c>
      <c r="K140" s="141" t="n">
        <f aca="false">IFERROR(IF($E140&lt;&gt;"Discrete",0,IF(4&lt;MATCH($D140,$B$4:$F$4,0),0,IF($F140&lt;&gt;"Y",IF(4=MATCH($D140,$B$4:$F$4,0),1,0),IF(4=MATCH($D140,$B$4:$F$4,0),$G140+(1-$G140)/(5-MATCH($D140,$B$4:$F$4,0)+1),(1-$G140)/(5-MATCH($D140,$B$4:$F$4,0)+1))))),0)</f>
        <v>0.12</v>
      </c>
      <c r="L140" s="141" t="n">
        <f aca="false">IFERROR(IF($E140&lt;&gt;"Discrete",0,IF(5&lt;MATCH($D140,$B$4:$F$4,0),0,IF($F140&lt;&gt;"Y",IF(5=MATCH($D140,$B$4:$F$4,0),1,0),IF(5=MATCH($D140,$B$4:$F$4,0),$G140+(1-$G140)/(5-MATCH($D140,$B$4:$F$4,0)+1),(1-$G140)/(5-MATCH($D140,$B$4:$F$4,0)+1))))),0)</f>
        <v>0.12</v>
      </c>
    </row>
    <row r="141" customFormat="false" ht="14.25" hidden="false" customHeight="true" outlineLevel="0" collapsed="false">
      <c r="A141" s="139" t="n">
        <f aca="false">WP_상세!A138</f>
        <v>134</v>
      </c>
      <c r="B141" s="139" t="str">
        <f aca="false">WP_상세!B138</f>
        <v>MLE.2</v>
      </c>
      <c r="C141" s="139" t="str">
        <f aca="false">WP_상세!F138</f>
        <v>ML Architecture / 하이퍼파라미터 범위/초기값 정의서</v>
      </c>
      <c r="D141" s="139" t="str">
        <f aca="false">WP_상세!G138</f>
        <v>M-Car</v>
      </c>
      <c r="E141" s="139" t="str">
        <f aca="false">WP_상세!H138</f>
        <v>Discrete</v>
      </c>
      <c r="F141" s="139" t="str">
        <f aca="false">WP_상세!I138</f>
        <v>Y</v>
      </c>
      <c r="G141" s="140" t="n">
        <f aca="false">WP_상세!J138</f>
        <v>0.4</v>
      </c>
      <c r="H141" s="141" t="n">
        <f aca="false">IFERROR(IF($E141&lt;&gt;"Discrete",0,IF(1&lt;MATCH($D141,$B$4:$F$4,0),0,IF($F141&lt;&gt;"Y",IF(1=MATCH($D141,$B$4:$F$4,0),1,0),IF(1=MATCH($D141,$B$4:$F$4,0),$G141+(1-$G141)/(5-MATCH($D141,$B$4:$F$4,0)+1),(1-$G141)/(5-MATCH($D141,$B$4:$F$4,0)+1))))),0)</f>
        <v>0.52</v>
      </c>
      <c r="I141" s="141" t="n">
        <f aca="false">IFERROR(IF($E141&lt;&gt;"Discrete",0,IF(2&lt;MATCH($D141,$B$4:$F$4,0),0,IF($F141&lt;&gt;"Y",IF(2=MATCH($D141,$B$4:$F$4,0),1,0),IF(2=MATCH($D141,$B$4:$F$4,0),$G141+(1-$G141)/(5-MATCH($D141,$B$4:$F$4,0)+1),(1-$G141)/(5-MATCH($D141,$B$4:$F$4,0)+1))))),0)</f>
        <v>0.12</v>
      </c>
      <c r="J141" s="141" t="n">
        <f aca="false">IFERROR(IF($E141&lt;&gt;"Discrete",0,IF(3&lt;MATCH($D141,$B$4:$F$4,0),0,IF($F141&lt;&gt;"Y",IF(3=MATCH($D141,$B$4:$F$4,0),1,0),IF(3=MATCH($D141,$B$4:$F$4,0),$G141+(1-$G141)/(5-MATCH($D141,$B$4:$F$4,0)+1),(1-$G141)/(5-MATCH($D141,$B$4:$F$4,0)+1))))),0)</f>
        <v>0.12</v>
      </c>
      <c r="K141" s="141" t="n">
        <f aca="false">IFERROR(IF($E141&lt;&gt;"Discrete",0,IF(4&lt;MATCH($D141,$B$4:$F$4,0),0,IF($F141&lt;&gt;"Y",IF(4=MATCH($D141,$B$4:$F$4,0),1,0),IF(4=MATCH($D141,$B$4:$F$4,0),$G141+(1-$G141)/(5-MATCH($D141,$B$4:$F$4,0)+1),(1-$G141)/(5-MATCH($D141,$B$4:$F$4,0)+1))))),0)</f>
        <v>0.12</v>
      </c>
      <c r="L141" s="141" t="n">
        <f aca="false">IFERROR(IF($E141&lt;&gt;"Discrete",0,IF(5&lt;MATCH($D141,$B$4:$F$4,0),0,IF($F141&lt;&gt;"Y",IF(5=MATCH($D141,$B$4:$F$4,0),1,0),IF(5=MATCH($D141,$B$4:$F$4,0),$G141+(1-$G141)/(5-MATCH($D141,$B$4:$F$4,0)+1),(1-$G141)/(5-MATCH($D141,$B$4:$F$4,0)+1))))),0)</f>
        <v>0.12</v>
      </c>
    </row>
    <row r="142" customFormat="false" ht="14.25" hidden="false" customHeight="true" outlineLevel="0" collapsed="false">
      <c r="A142" s="139" t="n">
        <f aca="false">WP_상세!A139</f>
        <v>135</v>
      </c>
      <c r="B142" s="139" t="str">
        <f aca="false">WP_상세!B139</f>
        <v>MLE.2</v>
      </c>
      <c r="C142" s="139" t="str">
        <f aca="false">WP_상세!F139</f>
        <v>Analysis Results / ML 아키텍처 요소 분석서</v>
      </c>
      <c r="D142" s="139" t="str">
        <f aca="false">WP_상세!G139</f>
        <v>M-Car</v>
      </c>
      <c r="E142" s="139" t="str">
        <f aca="false">WP_상세!H139</f>
        <v>Discrete</v>
      </c>
      <c r="F142" s="139" t="str">
        <f aca="false">WP_상세!I139</f>
        <v>N</v>
      </c>
      <c r="G142" s="140" t="n">
        <f aca="false">WP_상세!J139</f>
        <v>1</v>
      </c>
      <c r="H142" s="141" t="n">
        <f aca="false">IFERROR(IF($E142&lt;&gt;"Discrete",0,IF(1&lt;MATCH($D142,$B$4:$F$4,0),0,IF($F142&lt;&gt;"Y",IF(1=MATCH($D142,$B$4:$F$4,0),1,0),IF(1=MATCH($D142,$B$4:$F$4,0),$G142+(1-$G142)/(5-MATCH($D142,$B$4:$F$4,0)+1),(1-$G142)/(5-MATCH($D142,$B$4:$F$4,0)+1))))),0)</f>
        <v>1</v>
      </c>
      <c r="I142" s="141" t="n">
        <f aca="false">IFERROR(IF($E142&lt;&gt;"Discrete",0,IF(2&lt;MATCH($D142,$B$4:$F$4,0),0,IF($F142&lt;&gt;"Y",IF(2=MATCH($D142,$B$4:$F$4,0),1,0),IF(2=MATCH($D142,$B$4:$F$4,0),$G142+(1-$G142)/(5-MATCH($D142,$B$4:$F$4,0)+1),(1-$G142)/(5-MATCH($D142,$B$4:$F$4,0)+1))))),0)</f>
        <v>0</v>
      </c>
      <c r="J142" s="141" t="n">
        <f aca="false">IFERROR(IF($E142&lt;&gt;"Discrete",0,IF(3&lt;MATCH($D142,$B$4:$F$4,0),0,IF($F142&lt;&gt;"Y",IF(3=MATCH($D142,$B$4:$F$4,0),1,0),IF(3=MATCH($D142,$B$4:$F$4,0),$G142+(1-$G142)/(5-MATCH($D142,$B$4:$F$4,0)+1),(1-$G142)/(5-MATCH($D142,$B$4:$F$4,0)+1))))),0)</f>
        <v>0</v>
      </c>
      <c r="K142" s="141" t="n">
        <f aca="false">IFERROR(IF($E142&lt;&gt;"Discrete",0,IF(4&lt;MATCH($D142,$B$4:$F$4,0),0,IF($F142&lt;&gt;"Y",IF(4=MATCH($D142,$B$4:$F$4,0),1,0),IF(4=MATCH($D142,$B$4:$F$4,0),$G142+(1-$G142)/(5-MATCH($D142,$B$4:$F$4,0)+1),(1-$G142)/(5-MATCH($D142,$B$4:$F$4,0)+1))))),0)</f>
        <v>0</v>
      </c>
      <c r="L142" s="141" t="n">
        <f aca="false">IFERROR(IF($E142&lt;&gt;"Discrete",0,IF(5&lt;MATCH($D142,$B$4:$F$4,0),0,IF($F142&lt;&gt;"Y",IF(5=MATCH($D142,$B$4:$F$4,0),1,0),IF(5=MATCH($D142,$B$4:$F$4,0),$G142+(1-$G142)/(5-MATCH($D142,$B$4:$F$4,0)+1),(1-$G142)/(5-MATCH($D142,$B$4:$F$4,0)+1))))),0)</f>
        <v>0</v>
      </c>
    </row>
    <row r="143" customFormat="false" ht="14.25" hidden="false" customHeight="true" outlineLevel="0" collapsed="false">
      <c r="A143" s="139" t="n">
        <f aca="false">WP_상세!A140</f>
        <v>136</v>
      </c>
      <c r="B143" s="139" t="str">
        <f aca="false">WP_상세!B140</f>
        <v>MLE.2</v>
      </c>
      <c r="C143" s="139" t="str">
        <f aca="false">WP_상세!F140</f>
        <v>ML Architecture / ML 아키텍처 요소 인터페이스 정의서</v>
      </c>
      <c r="D143" s="139" t="str">
        <f aca="false">WP_상세!G140</f>
        <v>M-Car</v>
      </c>
      <c r="E143" s="139" t="str">
        <f aca="false">WP_상세!H140</f>
        <v>Discrete</v>
      </c>
      <c r="F143" s="139" t="str">
        <f aca="false">WP_상세!I140</f>
        <v>Y</v>
      </c>
      <c r="G143" s="140" t="n">
        <f aca="false">WP_상세!J140</f>
        <v>0.4</v>
      </c>
      <c r="H143" s="141" t="n">
        <f aca="false">IFERROR(IF($E143&lt;&gt;"Discrete",0,IF(1&lt;MATCH($D143,$B$4:$F$4,0),0,IF($F143&lt;&gt;"Y",IF(1=MATCH($D143,$B$4:$F$4,0),1,0),IF(1=MATCH($D143,$B$4:$F$4,0),$G143+(1-$G143)/(5-MATCH($D143,$B$4:$F$4,0)+1),(1-$G143)/(5-MATCH($D143,$B$4:$F$4,0)+1))))),0)</f>
        <v>0.52</v>
      </c>
      <c r="I143" s="141" t="n">
        <f aca="false">IFERROR(IF($E143&lt;&gt;"Discrete",0,IF(2&lt;MATCH($D143,$B$4:$F$4,0),0,IF($F143&lt;&gt;"Y",IF(2=MATCH($D143,$B$4:$F$4,0),1,0),IF(2=MATCH($D143,$B$4:$F$4,0),$G143+(1-$G143)/(5-MATCH($D143,$B$4:$F$4,0)+1),(1-$G143)/(5-MATCH($D143,$B$4:$F$4,0)+1))))),0)</f>
        <v>0.12</v>
      </c>
      <c r="J143" s="141" t="n">
        <f aca="false">IFERROR(IF($E143&lt;&gt;"Discrete",0,IF(3&lt;MATCH($D143,$B$4:$F$4,0),0,IF($F143&lt;&gt;"Y",IF(3=MATCH($D143,$B$4:$F$4,0),1,0),IF(3=MATCH($D143,$B$4:$F$4,0),$G143+(1-$G143)/(5-MATCH($D143,$B$4:$F$4,0)+1),(1-$G143)/(5-MATCH($D143,$B$4:$F$4,0)+1))))),0)</f>
        <v>0.12</v>
      </c>
      <c r="K143" s="141" t="n">
        <f aca="false">IFERROR(IF($E143&lt;&gt;"Discrete",0,IF(4&lt;MATCH($D143,$B$4:$F$4,0),0,IF($F143&lt;&gt;"Y",IF(4=MATCH($D143,$B$4:$F$4,0),1,0),IF(4=MATCH($D143,$B$4:$F$4,0),$G143+(1-$G143)/(5-MATCH($D143,$B$4:$F$4,0)+1),(1-$G143)/(5-MATCH($D143,$B$4:$F$4,0)+1))))),0)</f>
        <v>0.12</v>
      </c>
      <c r="L143" s="141" t="n">
        <f aca="false">IFERROR(IF($E143&lt;&gt;"Discrete",0,IF(5&lt;MATCH($D143,$B$4:$F$4,0),0,IF($F143&lt;&gt;"Y",IF(5=MATCH($D143,$B$4:$F$4,0),1,0),IF(5=MATCH($D143,$B$4:$F$4,0),$G143+(1-$G143)/(5-MATCH($D143,$B$4:$F$4,0)+1),(1-$G143)/(5-MATCH($D143,$B$4:$F$4,0)+1))))),0)</f>
        <v>0.12</v>
      </c>
    </row>
    <row r="144" customFormat="false" ht="14.25" hidden="false" customHeight="true" outlineLevel="0" collapsed="false">
      <c r="A144" s="139" t="n">
        <f aca="false">WP_상세!A141</f>
        <v>137</v>
      </c>
      <c r="B144" s="139" t="str">
        <f aca="false">WP_상세!B141</f>
        <v>MLE.2</v>
      </c>
      <c r="C144" s="139" t="str">
        <f aca="false">WP_상세!F141</f>
        <v>ML Architecture / ML 아키텍처 자원소비 목표 정의서</v>
      </c>
      <c r="D144" s="139" t="str">
        <f aca="false">WP_상세!G141</f>
        <v>M-Car</v>
      </c>
      <c r="E144" s="139" t="str">
        <f aca="false">WP_상세!H141</f>
        <v>Discrete</v>
      </c>
      <c r="F144" s="139" t="str">
        <f aca="false">WP_상세!I141</f>
        <v>Y</v>
      </c>
      <c r="G144" s="140" t="n">
        <f aca="false">WP_상세!J141</f>
        <v>0.4</v>
      </c>
      <c r="H144" s="141" t="n">
        <f aca="false">IFERROR(IF($E144&lt;&gt;"Discrete",0,IF(1&lt;MATCH($D144,$B$4:$F$4,0),0,IF($F144&lt;&gt;"Y",IF(1=MATCH($D144,$B$4:$F$4,0),1,0),IF(1=MATCH($D144,$B$4:$F$4,0),$G144+(1-$G144)/(5-MATCH($D144,$B$4:$F$4,0)+1),(1-$G144)/(5-MATCH($D144,$B$4:$F$4,0)+1))))),0)</f>
        <v>0.52</v>
      </c>
      <c r="I144" s="141" t="n">
        <f aca="false">IFERROR(IF($E144&lt;&gt;"Discrete",0,IF(2&lt;MATCH($D144,$B$4:$F$4,0),0,IF($F144&lt;&gt;"Y",IF(2=MATCH($D144,$B$4:$F$4,0),1,0),IF(2=MATCH($D144,$B$4:$F$4,0),$G144+(1-$G144)/(5-MATCH($D144,$B$4:$F$4,0)+1),(1-$G144)/(5-MATCH($D144,$B$4:$F$4,0)+1))))),0)</f>
        <v>0.12</v>
      </c>
      <c r="J144" s="141" t="n">
        <f aca="false">IFERROR(IF($E144&lt;&gt;"Discrete",0,IF(3&lt;MATCH($D144,$B$4:$F$4,0),0,IF($F144&lt;&gt;"Y",IF(3=MATCH($D144,$B$4:$F$4,0),1,0),IF(3=MATCH($D144,$B$4:$F$4,0),$G144+(1-$G144)/(5-MATCH($D144,$B$4:$F$4,0)+1),(1-$G144)/(5-MATCH($D144,$B$4:$F$4,0)+1))))),0)</f>
        <v>0.12</v>
      </c>
      <c r="K144" s="141" t="n">
        <f aca="false">IFERROR(IF($E144&lt;&gt;"Discrete",0,IF(4&lt;MATCH($D144,$B$4:$F$4,0),0,IF($F144&lt;&gt;"Y",IF(4=MATCH($D144,$B$4:$F$4,0),1,0),IF(4=MATCH($D144,$B$4:$F$4,0),$G144+(1-$G144)/(5-MATCH($D144,$B$4:$F$4,0)+1),(1-$G144)/(5-MATCH($D144,$B$4:$F$4,0)+1))))),0)</f>
        <v>0.12</v>
      </c>
      <c r="L144" s="141" t="n">
        <f aca="false">IFERROR(IF($E144&lt;&gt;"Discrete",0,IF(5&lt;MATCH($D144,$B$4:$F$4,0),0,IF($F144&lt;&gt;"Y",IF(5=MATCH($D144,$B$4:$F$4,0),1,0),IF(5=MATCH($D144,$B$4:$F$4,0),$G144+(1-$G144)/(5-MATCH($D144,$B$4:$F$4,0)+1),(1-$G144)/(5-MATCH($D144,$B$4:$F$4,0)+1))))),0)</f>
        <v>0.12</v>
      </c>
    </row>
    <row r="145" customFormat="false" ht="14.25" hidden="false" customHeight="true" outlineLevel="0" collapsed="false">
      <c r="A145" s="139" t="n">
        <f aca="false">WP_상세!A142</f>
        <v>138</v>
      </c>
      <c r="B145" s="139" t="str">
        <f aca="false">WP_상세!B142</f>
        <v>MLE.2</v>
      </c>
      <c r="C145" s="139" t="str">
        <f aca="false">WP_상세!F142</f>
        <v>Consistency Evidence / ML아키텍처-ML요구사항 추적성 매트릭스</v>
      </c>
      <c r="D145" s="139" t="str">
        <f aca="false">WP_상세!G142</f>
        <v>M-Car</v>
      </c>
      <c r="E145" s="139" t="str">
        <f aca="false">WP_상세!H142</f>
        <v>Discrete</v>
      </c>
      <c r="F145" s="139" t="str">
        <f aca="false">WP_상세!I142</f>
        <v>N</v>
      </c>
      <c r="G145" s="140" t="n">
        <f aca="false">WP_상세!J142</f>
        <v>1</v>
      </c>
      <c r="H145" s="141" t="n">
        <f aca="false">IFERROR(IF($E145&lt;&gt;"Discrete",0,IF(1&lt;MATCH($D145,$B$4:$F$4,0),0,IF($F145&lt;&gt;"Y",IF(1=MATCH($D145,$B$4:$F$4,0),1,0),IF(1=MATCH($D145,$B$4:$F$4,0),$G145+(1-$G145)/(5-MATCH($D145,$B$4:$F$4,0)+1),(1-$G145)/(5-MATCH($D145,$B$4:$F$4,0)+1))))),0)</f>
        <v>1</v>
      </c>
      <c r="I145" s="141" t="n">
        <f aca="false">IFERROR(IF($E145&lt;&gt;"Discrete",0,IF(2&lt;MATCH($D145,$B$4:$F$4,0),0,IF($F145&lt;&gt;"Y",IF(2=MATCH($D145,$B$4:$F$4,0),1,0),IF(2=MATCH($D145,$B$4:$F$4,0),$G145+(1-$G145)/(5-MATCH($D145,$B$4:$F$4,0)+1),(1-$G145)/(5-MATCH($D145,$B$4:$F$4,0)+1))))),0)</f>
        <v>0</v>
      </c>
      <c r="J145" s="141" t="n">
        <f aca="false">IFERROR(IF($E145&lt;&gt;"Discrete",0,IF(3&lt;MATCH($D145,$B$4:$F$4,0),0,IF($F145&lt;&gt;"Y",IF(3=MATCH($D145,$B$4:$F$4,0),1,0),IF(3=MATCH($D145,$B$4:$F$4,0),$G145+(1-$G145)/(5-MATCH($D145,$B$4:$F$4,0)+1),(1-$G145)/(5-MATCH($D145,$B$4:$F$4,0)+1))))),0)</f>
        <v>0</v>
      </c>
      <c r="K145" s="141" t="n">
        <f aca="false">IFERROR(IF($E145&lt;&gt;"Discrete",0,IF(4&lt;MATCH($D145,$B$4:$F$4,0),0,IF($F145&lt;&gt;"Y",IF(4=MATCH($D145,$B$4:$F$4,0),1,0),IF(4=MATCH($D145,$B$4:$F$4,0),$G145+(1-$G145)/(5-MATCH($D145,$B$4:$F$4,0)+1),(1-$G145)/(5-MATCH($D145,$B$4:$F$4,0)+1))))),0)</f>
        <v>0</v>
      </c>
      <c r="L145" s="141" t="n">
        <f aca="false">IFERROR(IF($E145&lt;&gt;"Discrete",0,IF(5&lt;MATCH($D145,$B$4:$F$4,0),0,IF($F145&lt;&gt;"Y",IF(5=MATCH($D145,$B$4:$F$4,0),1,0),IF(5=MATCH($D145,$B$4:$F$4,0),$G145+(1-$G145)/(5-MATCH($D145,$B$4:$F$4,0)+1),(1-$G145)/(5-MATCH($D145,$B$4:$F$4,0)+1))))),0)</f>
        <v>0</v>
      </c>
    </row>
    <row r="146" customFormat="false" ht="14.25" hidden="false" customHeight="true" outlineLevel="0" collapsed="false">
      <c r="A146" s="139" t="n">
        <f aca="false">WP_상세!A143</f>
        <v>139</v>
      </c>
      <c r="B146" s="139" t="str">
        <f aca="false">WP_상세!B143</f>
        <v>MLE.2</v>
      </c>
      <c r="C146" s="139" t="str">
        <f aca="false">WP_상세!F143</f>
        <v>Communication Evidence / 합의된 ML 아키텍처 공유기록</v>
      </c>
      <c r="D146" s="139" t="str">
        <f aca="false">WP_상세!G143</f>
        <v>M-Car</v>
      </c>
      <c r="E146" s="139" t="str">
        <f aca="false">WP_상세!H143</f>
        <v>Discrete</v>
      </c>
      <c r="F146" s="139" t="str">
        <f aca="false">WP_상세!I143</f>
        <v>N</v>
      </c>
      <c r="G146" s="140" t="n">
        <f aca="false">WP_상세!J143</f>
        <v>1</v>
      </c>
      <c r="H146" s="141" t="n">
        <f aca="false">IFERROR(IF($E146&lt;&gt;"Discrete",0,IF(1&lt;MATCH($D146,$B$4:$F$4,0),0,IF($F146&lt;&gt;"Y",IF(1=MATCH($D146,$B$4:$F$4,0),1,0),IF(1=MATCH($D146,$B$4:$F$4,0),$G146+(1-$G146)/(5-MATCH($D146,$B$4:$F$4,0)+1),(1-$G146)/(5-MATCH($D146,$B$4:$F$4,0)+1))))),0)</f>
        <v>1</v>
      </c>
      <c r="I146" s="141" t="n">
        <f aca="false">IFERROR(IF($E146&lt;&gt;"Discrete",0,IF(2&lt;MATCH($D146,$B$4:$F$4,0),0,IF($F146&lt;&gt;"Y",IF(2=MATCH($D146,$B$4:$F$4,0),1,0),IF(2=MATCH($D146,$B$4:$F$4,0),$G146+(1-$G146)/(5-MATCH($D146,$B$4:$F$4,0)+1),(1-$G146)/(5-MATCH($D146,$B$4:$F$4,0)+1))))),0)</f>
        <v>0</v>
      </c>
      <c r="J146" s="141" t="n">
        <f aca="false">IFERROR(IF($E146&lt;&gt;"Discrete",0,IF(3&lt;MATCH($D146,$B$4:$F$4,0),0,IF($F146&lt;&gt;"Y",IF(3=MATCH($D146,$B$4:$F$4,0),1,0),IF(3=MATCH($D146,$B$4:$F$4,0),$G146+(1-$G146)/(5-MATCH($D146,$B$4:$F$4,0)+1),(1-$G146)/(5-MATCH($D146,$B$4:$F$4,0)+1))))),0)</f>
        <v>0</v>
      </c>
      <c r="K146" s="141" t="n">
        <f aca="false">IFERROR(IF($E146&lt;&gt;"Discrete",0,IF(4&lt;MATCH($D146,$B$4:$F$4,0),0,IF($F146&lt;&gt;"Y",IF(4=MATCH($D146,$B$4:$F$4,0),1,0),IF(4=MATCH($D146,$B$4:$F$4,0),$G146+(1-$G146)/(5-MATCH($D146,$B$4:$F$4,0)+1),(1-$G146)/(5-MATCH($D146,$B$4:$F$4,0)+1))))),0)</f>
        <v>0</v>
      </c>
      <c r="L146" s="141" t="n">
        <f aca="false">IFERROR(IF($E146&lt;&gt;"Discrete",0,IF(5&lt;MATCH($D146,$B$4:$F$4,0),0,IF($F146&lt;&gt;"Y",IF(5=MATCH($D146,$B$4:$F$4,0),1,0),IF(5=MATCH($D146,$B$4:$F$4,0),$G146+(1-$G146)/(5-MATCH($D146,$B$4:$F$4,0)+1),(1-$G146)/(5-MATCH($D146,$B$4:$F$4,0)+1))))),0)</f>
        <v>0</v>
      </c>
    </row>
    <row r="147" customFormat="false" ht="14.25" hidden="false" customHeight="true" outlineLevel="0" collapsed="false">
      <c r="A147" s="139" t="n">
        <f aca="false">WP_상세!A144</f>
        <v>140</v>
      </c>
      <c r="B147" s="139" t="str">
        <f aca="false">WP_상세!B144</f>
        <v>MLE.3</v>
      </c>
      <c r="C147" s="139" t="str">
        <f aca="false">WP_상세!F144</f>
        <v>ML Training Approach / ML 훈련/검증 접근방식서</v>
      </c>
      <c r="D147" s="139" t="str">
        <f aca="false">WP_상세!G144</f>
        <v>Proto</v>
      </c>
      <c r="E147" s="139" t="str">
        <f aca="false">WP_상세!H144</f>
        <v>Discrete</v>
      </c>
      <c r="F147" s="139" t="str">
        <f aca="false">WP_상세!I144</f>
        <v>N</v>
      </c>
      <c r="G147" s="140" t="n">
        <f aca="false">WP_상세!J144</f>
        <v>1</v>
      </c>
      <c r="H147" s="141" t="n">
        <f aca="false">IFERROR(IF($E147&lt;&gt;"Discrete",0,IF(1&lt;MATCH($D147,$B$4:$F$4,0),0,IF($F147&lt;&gt;"Y",IF(1=MATCH($D147,$B$4:$F$4,0),1,0),IF(1=MATCH($D147,$B$4:$F$4,0),$G147+(1-$G147)/(5-MATCH($D147,$B$4:$F$4,0)+1),(1-$G147)/(5-MATCH($D147,$B$4:$F$4,0)+1))))),0)</f>
        <v>0</v>
      </c>
      <c r="I147" s="141" t="n">
        <f aca="false">IFERROR(IF($E147&lt;&gt;"Discrete",0,IF(2&lt;MATCH($D147,$B$4:$F$4,0),0,IF($F147&lt;&gt;"Y",IF(2=MATCH($D147,$B$4:$F$4,0),1,0),IF(2=MATCH($D147,$B$4:$F$4,0),$G147+(1-$G147)/(5-MATCH($D147,$B$4:$F$4,0)+1),(1-$G147)/(5-MATCH($D147,$B$4:$F$4,0)+1))))),0)</f>
        <v>1</v>
      </c>
      <c r="J147" s="141" t="n">
        <f aca="false">IFERROR(IF($E147&lt;&gt;"Discrete",0,IF(3&lt;MATCH($D147,$B$4:$F$4,0),0,IF($F147&lt;&gt;"Y",IF(3=MATCH($D147,$B$4:$F$4,0),1,0),IF(3=MATCH($D147,$B$4:$F$4,0),$G147+(1-$G147)/(5-MATCH($D147,$B$4:$F$4,0)+1),(1-$G147)/(5-MATCH($D147,$B$4:$F$4,0)+1))))),0)</f>
        <v>0</v>
      </c>
      <c r="K147" s="141" t="n">
        <f aca="false">IFERROR(IF($E147&lt;&gt;"Discrete",0,IF(4&lt;MATCH($D147,$B$4:$F$4,0),0,IF($F147&lt;&gt;"Y",IF(4=MATCH($D147,$B$4:$F$4,0),1,0),IF(4=MATCH($D147,$B$4:$F$4,0),$G147+(1-$G147)/(5-MATCH($D147,$B$4:$F$4,0)+1),(1-$G147)/(5-MATCH($D147,$B$4:$F$4,0)+1))))),0)</f>
        <v>0</v>
      </c>
      <c r="L147" s="141" t="n">
        <f aca="false">IFERROR(IF($E147&lt;&gt;"Discrete",0,IF(5&lt;MATCH($D147,$B$4:$F$4,0),0,IF($F147&lt;&gt;"Y",IF(5=MATCH($D147,$B$4:$F$4,0),1,0),IF(5=MATCH($D147,$B$4:$F$4,0),$G147+(1-$G147)/(5-MATCH($D147,$B$4:$F$4,0)+1),(1-$G147)/(5-MATCH($D147,$B$4:$F$4,0)+1))))),0)</f>
        <v>0</v>
      </c>
    </row>
    <row r="148" customFormat="false" ht="14.25" hidden="false" customHeight="true" outlineLevel="0" collapsed="false">
      <c r="A148" s="139" t="n">
        <f aca="false">WP_상세!A145</f>
        <v>141</v>
      </c>
      <c r="B148" s="139" t="str">
        <f aca="false">WP_상세!B145</f>
        <v>MLE.3</v>
      </c>
      <c r="C148" s="139" t="str">
        <f aca="false">WP_상세!F145</f>
        <v>ML Training/Validation Data Set / ML 훈련/검증 데이터셋</v>
      </c>
      <c r="D148" s="139" t="str">
        <f aca="false">WP_상세!G145</f>
        <v>Proto</v>
      </c>
      <c r="E148" s="139" t="str">
        <f aca="false">WP_상세!H145</f>
        <v>Discrete</v>
      </c>
      <c r="F148" s="139" t="str">
        <f aca="false">WP_상세!I145</f>
        <v>N</v>
      </c>
      <c r="G148" s="140" t="n">
        <f aca="false">WP_상세!J145</f>
        <v>1</v>
      </c>
      <c r="H148" s="141" t="n">
        <f aca="false">IFERROR(IF($E148&lt;&gt;"Discrete",0,IF(1&lt;MATCH($D148,$B$4:$F$4,0),0,IF($F148&lt;&gt;"Y",IF(1=MATCH($D148,$B$4:$F$4,0),1,0),IF(1=MATCH($D148,$B$4:$F$4,0),$G148+(1-$G148)/(5-MATCH($D148,$B$4:$F$4,0)+1),(1-$G148)/(5-MATCH($D148,$B$4:$F$4,0)+1))))),0)</f>
        <v>0</v>
      </c>
      <c r="I148" s="141" t="n">
        <f aca="false">IFERROR(IF($E148&lt;&gt;"Discrete",0,IF(2&lt;MATCH($D148,$B$4:$F$4,0),0,IF($F148&lt;&gt;"Y",IF(2=MATCH($D148,$B$4:$F$4,0),1,0),IF(2=MATCH($D148,$B$4:$F$4,0),$G148+(1-$G148)/(5-MATCH($D148,$B$4:$F$4,0)+1),(1-$G148)/(5-MATCH($D148,$B$4:$F$4,0)+1))))),0)</f>
        <v>1</v>
      </c>
      <c r="J148" s="141" t="n">
        <f aca="false">IFERROR(IF($E148&lt;&gt;"Discrete",0,IF(3&lt;MATCH($D148,$B$4:$F$4,0),0,IF($F148&lt;&gt;"Y",IF(3=MATCH($D148,$B$4:$F$4,0),1,0),IF(3=MATCH($D148,$B$4:$F$4,0),$G148+(1-$G148)/(5-MATCH($D148,$B$4:$F$4,0)+1),(1-$G148)/(5-MATCH($D148,$B$4:$F$4,0)+1))))),0)</f>
        <v>0</v>
      </c>
      <c r="K148" s="141" t="n">
        <f aca="false">IFERROR(IF($E148&lt;&gt;"Discrete",0,IF(4&lt;MATCH($D148,$B$4:$F$4,0),0,IF($F148&lt;&gt;"Y",IF(4=MATCH($D148,$B$4:$F$4,0),1,0),IF(4=MATCH($D148,$B$4:$F$4,0),$G148+(1-$G148)/(5-MATCH($D148,$B$4:$F$4,0)+1),(1-$G148)/(5-MATCH($D148,$B$4:$F$4,0)+1))))),0)</f>
        <v>0</v>
      </c>
      <c r="L148" s="141" t="n">
        <f aca="false">IFERROR(IF($E148&lt;&gt;"Discrete",0,IF(5&lt;MATCH($D148,$B$4:$F$4,0),0,IF($F148&lt;&gt;"Y",IF(5=MATCH($D148,$B$4:$F$4,0),1,0),IF(5=MATCH($D148,$B$4:$F$4,0),$G148+(1-$G148)/(5-MATCH($D148,$B$4:$F$4,0)+1),(1-$G148)/(5-MATCH($D148,$B$4:$F$4,0)+1))))),0)</f>
        <v>0</v>
      </c>
    </row>
    <row r="149" customFormat="false" ht="14.25" hidden="false" customHeight="true" outlineLevel="0" collapsed="false">
      <c r="A149" s="139" t="n">
        <f aca="false">WP_상세!A146</f>
        <v>142</v>
      </c>
      <c r="B149" s="139" t="str">
        <f aca="false">WP_상세!B146</f>
        <v>MLE.3</v>
      </c>
      <c r="C149" s="139" t="str">
        <f aca="false">WP_상세!F146</f>
        <v>ML Model / ML 모델(생성/최적화)</v>
      </c>
      <c r="D149" s="139" t="str">
        <f aca="false">WP_상세!G146</f>
        <v>P1</v>
      </c>
      <c r="E149" s="139" t="str">
        <f aca="false">WP_상세!H146</f>
        <v>Discrete</v>
      </c>
      <c r="F149" s="139" t="str">
        <f aca="false">WP_상세!I146</f>
        <v>N</v>
      </c>
      <c r="G149" s="140" t="n">
        <f aca="false">WP_상세!J146</f>
        <v>1</v>
      </c>
      <c r="H149" s="141" t="n">
        <f aca="false">IFERROR(IF($E149&lt;&gt;"Discrete",0,IF(1&lt;MATCH($D149,$B$4:$F$4,0),0,IF($F149&lt;&gt;"Y",IF(1=MATCH($D149,$B$4:$F$4,0),1,0),IF(1=MATCH($D149,$B$4:$F$4,0),$G149+(1-$G149)/(5-MATCH($D149,$B$4:$F$4,0)+1),(1-$G149)/(5-MATCH($D149,$B$4:$F$4,0)+1))))),0)</f>
        <v>0</v>
      </c>
      <c r="I149" s="141" t="n">
        <f aca="false">IFERROR(IF($E149&lt;&gt;"Discrete",0,IF(2&lt;MATCH($D149,$B$4:$F$4,0),0,IF($F149&lt;&gt;"Y",IF(2=MATCH($D149,$B$4:$F$4,0),1,0),IF(2=MATCH($D149,$B$4:$F$4,0),$G149+(1-$G149)/(5-MATCH($D149,$B$4:$F$4,0)+1),(1-$G149)/(5-MATCH($D149,$B$4:$F$4,0)+1))))),0)</f>
        <v>0</v>
      </c>
      <c r="J149" s="141" t="n">
        <f aca="false">IFERROR(IF($E149&lt;&gt;"Discrete",0,IF(3&lt;MATCH($D149,$B$4:$F$4,0),0,IF($F149&lt;&gt;"Y",IF(3=MATCH($D149,$B$4:$F$4,0),1,0),IF(3=MATCH($D149,$B$4:$F$4,0),$G149+(1-$G149)/(5-MATCH($D149,$B$4:$F$4,0)+1),(1-$G149)/(5-MATCH($D149,$B$4:$F$4,0)+1))))),0)</f>
        <v>1</v>
      </c>
      <c r="K149" s="141" t="n">
        <f aca="false">IFERROR(IF($E149&lt;&gt;"Discrete",0,IF(4&lt;MATCH($D149,$B$4:$F$4,0),0,IF($F149&lt;&gt;"Y",IF(4=MATCH($D149,$B$4:$F$4,0),1,0),IF(4=MATCH($D149,$B$4:$F$4,0),$G149+(1-$G149)/(5-MATCH($D149,$B$4:$F$4,0)+1),(1-$G149)/(5-MATCH($D149,$B$4:$F$4,0)+1))))),0)</f>
        <v>0</v>
      </c>
      <c r="L149" s="141" t="n">
        <f aca="false">IFERROR(IF($E149&lt;&gt;"Discrete",0,IF(5&lt;MATCH($D149,$B$4:$F$4,0),0,IF($F149&lt;&gt;"Y",IF(5=MATCH($D149,$B$4:$F$4,0),1,0),IF(5=MATCH($D149,$B$4:$F$4,0),$G149+(1-$G149)/(5-MATCH($D149,$B$4:$F$4,0)+1),(1-$G149)/(5-MATCH($D149,$B$4:$F$4,0)+1))))),0)</f>
        <v>0</v>
      </c>
    </row>
    <row r="150" customFormat="false" ht="14.25" hidden="false" customHeight="true" outlineLevel="0" collapsed="false">
      <c r="A150" s="139" t="n">
        <f aca="false">WP_상세!A147</f>
        <v>143</v>
      </c>
      <c r="B150" s="139" t="str">
        <f aca="false">WP_상세!B147</f>
        <v>MLE.3</v>
      </c>
      <c r="C150" s="139" t="str">
        <f aca="false">WP_상세!F147</f>
        <v>Consistency Evidence / ML모델-요구사항/아키텍처 추적성 매트릭스</v>
      </c>
      <c r="D150" s="139" t="str">
        <f aca="false">WP_상세!G147</f>
        <v>P1</v>
      </c>
      <c r="E150" s="139" t="str">
        <f aca="false">WP_상세!H147</f>
        <v>Discrete</v>
      </c>
      <c r="F150" s="139" t="str">
        <f aca="false">WP_상세!I147</f>
        <v>N</v>
      </c>
      <c r="G150" s="140" t="n">
        <f aca="false">WP_상세!J147</f>
        <v>1</v>
      </c>
      <c r="H150" s="141" t="n">
        <f aca="false">IFERROR(IF($E150&lt;&gt;"Discrete",0,IF(1&lt;MATCH($D150,$B$4:$F$4,0),0,IF($F150&lt;&gt;"Y",IF(1=MATCH($D150,$B$4:$F$4,0),1,0),IF(1=MATCH($D150,$B$4:$F$4,0),$G150+(1-$G150)/(5-MATCH($D150,$B$4:$F$4,0)+1),(1-$G150)/(5-MATCH($D150,$B$4:$F$4,0)+1))))),0)</f>
        <v>0</v>
      </c>
      <c r="I150" s="141" t="n">
        <f aca="false">IFERROR(IF($E150&lt;&gt;"Discrete",0,IF(2&lt;MATCH($D150,$B$4:$F$4,0),0,IF($F150&lt;&gt;"Y",IF(2=MATCH($D150,$B$4:$F$4,0),1,0),IF(2=MATCH($D150,$B$4:$F$4,0),$G150+(1-$G150)/(5-MATCH($D150,$B$4:$F$4,0)+1),(1-$G150)/(5-MATCH($D150,$B$4:$F$4,0)+1))))),0)</f>
        <v>0</v>
      </c>
      <c r="J150" s="141" t="n">
        <f aca="false">IFERROR(IF($E150&lt;&gt;"Discrete",0,IF(3&lt;MATCH($D150,$B$4:$F$4,0),0,IF($F150&lt;&gt;"Y",IF(3=MATCH($D150,$B$4:$F$4,0),1,0),IF(3=MATCH($D150,$B$4:$F$4,0),$G150+(1-$G150)/(5-MATCH($D150,$B$4:$F$4,0)+1),(1-$G150)/(5-MATCH($D150,$B$4:$F$4,0)+1))))),0)</f>
        <v>1</v>
      </c>
      <c r="K150" s="141" t="n">
        <f aca="false">IFERROR(IF($E150&lt;&gt;"Discrete",0,IF(4&lt;MATCH($D150,$B$4:$F$4,0),0,IF($F150&lt;&gt;"Y",IF(4=MATCH($D150,$B$4:$F$4,0),1,0),IF(4=MATCH($D150,$B$4:$F$4,0),$G150+(1-$G150)/(5-MATCH($D150,$B$4:$F$4,0)+1),(1-$G150)/(5-MATCH($D150,$B$4:$F$4,0)+1))))),0)</f>
        <v>0</v>
      </c>
      <c r="L150" s="141" t="n">
        <f aca="false">IFERROR(IF($E150&lt;&gt;"Discrete",0,IF(5&lt;MATCH($D150,$B$4:$F$4,0),0,IF($F150&lt;&gt;"Y",IF(5=MATCH($D150,$B$4:$F$4,0),1,0),IF(5=MATCH($D150,$B$4:$F$4,0),$G150+(1-$G150)/(5-MATCH($D150,$B$4:$F$4,0)+1),(1-$G150)/(5-MATCH($D150,$B$4:$F$4,0)+1))))),0)</f>
        <v>0</v>
      </c>
    </row>
    <row r="151" customFormat="false" ht="14.25" hidden="false" customHeight="true" outlineLevel="0" collapsed="false">
      <c r="A151" s="139" t="n">
        <f aca="false">WP_상세!A148</f>
        <v>144</v>
      </c>
      <c r="B151" s="139" t="str">
        <f aca="false">WP_상세!B148</f>
        <v>MLE.3</v>
      </c>
      <c r="C151" s="139" t="str">
        <f aca="false">WP_상세!F148</f>
        <v>Communication Evidence / 합의된 훈련완료 ML모델 요약공유기록</v>
      </c>
      <c r="D151" s="139" t="str">
        <f aca="false">WP_상세!G148</f>
        <v>P1</v>
      </c>
      <c r="E151" s="139" t="str">
        <f aca="false">WP_상세!H148</f>
        <v>Discrete</v>
      </c>
      <c r="F151" s="139" t="str">
        <f aca="false">WP_상세!I148</f>
        <v>N</v>
      </c>
      <c r="G151" s="140" t="n">
        <f aca="false">WP_상세!J148</f>
        <v>1</v>
      </c>
      <c r="H151" s="141" t="n">
        <f aca="false">IFERROR(IF($E151&lt;&gt;"Discrete",0,IF(1&lt;MATCH($D151,$B$4:$F$4,0),0,IF($F151&lt;&gt;"Y",IF(1=MATCH($D151,$B$4:$F$4,0),1,0),IF(1=MATCH($D151,$B$4:$F$4,0),$G151+(1-$G151)/(5-MATCH($D151,$B$4:$F$4,0)+1),(1-$G151)/(5-MATCH($D151,$B$4:$F$4,0)+1))))),0)</f>
        <v>0</v>
      </c>
      <c r="I151" s="141" t="n">
        <f aca="false">IFERROR(IF($E151&lt;&gt;"Discrete",0,IF(2&lt;MATCH($D151,$B$4:$F$4,0),0,IF($F151&lt;&gt;"Y",IF(2=MATCH($D151,$B$4:$F$4,0),1,0),IF(2=MATCH($D151,$B$4:$F$4,0),$G151+(1-$G151)/(5-MATCH($D151,$B$4:$F$4,0)+1),(1-$G151)/(5-MATCH($D151,$B$4:$F$4,0)+1))))),0)</f>
        <v>0</v>
      </c>
      <c r="J151" s="141" t="n">
        <f aca="false">IFERROR(IF($E151&lt;&gt;"Discrete",0,IF(3&lt;MATCH($D151,$B$4:$F$4,0),0,IF($F151&lt;&gt;"Y",IF(3=MATCH($D151,$B$4:$F$4,0),1,0),IF(3=MATCH($D151,$B$4:$F$4,0),$G151+(1-$G151)/(5-MATCH($D151,$B$4:$F$4,0)+1),(1-$G151)/(5-MATCH($D151,$B$4:$F$4,0)+1))))),0)</f>
        <v>1</v>
      </c>
      <c r="K151" s="141" t="n">
        <f aca="false">IFERROR(IF($E151&lt;&gt;"Discrete",0,IF(4&lt;MATCH($D151,$B$4:$F$4,0),0,IF($F151&lt;&gt;"Y",IF(4=MATCH($D151,$B$4:$F$4,0),1,0),IF(4=MATCH($D151,$B$4:$F$4,0),$G151+(1-$G151)/(5-MATCH($D151,$B$4:$F$4,0)+1),(1-$G151)/(5-MATCH($D151,$B$4:$F$4,0)+1))))),0)</f>
        <v>0</v>
      </c>
      <c r="L151" s="141" t="n">
        <f aca="false">IFERROR(IF($E151&lt;&gt;"Discrete",0,IF(5&lt;MATCH($D151,$B$4:$F$4,0),0,IF($F151&lt;&gt;"Y",IF(5=MATCH($D151,$B$4:$F$4,0),1,0),IF(5=MATCH($D151,$B$4:$F$4,0),$G151+(1-$G151)/(5-MATCH($D151,$B$4:$F$4,0)+1),(1-$G151)/(5-MATCH($D151,$B$4:$F$4,0)+1))))),0)</f>
        <v>0</v>
      </c>
    </row>
    <row r="152" customFormat="false" ht="14.25" hidden="false" customHeight="true" outlineLevel="0" collapsed="false">
      <c r="A152" s="139" t="n">
        <f aca="false">WP_상세!A149</f>
        <v>145</v>
      </c>
      <c r="B152" s="139" t="str">
        <f aca="false">WP_상세!B149</f>
        <v>MLE.4</v>
      </c>
      <c r="C152" s="139" t="str">
        <f aca="false">WP_상세!F149</f>
        <v>ML Test Approach / ML 테스트 접근방식서</v>
      </c>
      <c r="D152" s="139" t="str">
        <f aca="false">WP_상세!G149</f>
        <v>P1</v>
      </c>
      <c r="E152" s="139" t="str">
        <f aca="false">WP_상세!H149</f>
        <v>Discrete</v>
      </c>
      <c r="F152" s="139" t="str">
        <f aca="false">WP_상세!I149</f>
        <v>N</v>
      </c>
      <c r="G152" s="140" t="n">
        <f aca="false">WP_상세!J149</f>
        <v>1</v>
      </c>
      <c r="H152" s="141" t="n">
        <f aca="false">IFERROR(IF($E152&lt;&gt;"Discrete",0,IF(1&lt;MATCH($D152,$B$4:$F$4,0),0,IF($F152&lt;&gt;"Y",IF(1=MATCH($D152,$B$4:$F$4,0),1,0),IF(1=MATCH($D152,$B$4:$F$4,0),$G152+(1-$G152)/(5-MATCH($D152,$B$4:$F$4,0)+1),(1-$G152)/(5-MATCH($D152,$B$4:$F$4,0)+1))))),0)</f>
        <v>0</v>
      </c>
      <c r="I152" s="141" t="n">
        <f aca="false">IFERROR(IF($E152&lt;&gt;"Discrete",0,IF(2&lt;MATCH($D152,$B$4:$F$4,0),0,IF($F152&lt;&gt;"Y",IF(2=MATCH($D152,$B$4:$F$4,0),1,0),IF(2=MATCH($D152,$B$4:$F$4,0),$G152+(1-$G152)/(5-MATCH($D152,$B$4:$F$4,0)+1),(1-$G152)/(5-MATCH($D152,$B$4:$F$4,0)+1))))),0)</f>
        <v>0</v>
      </c>
      <c r="J152" s="141" t="n">
        <f aca="false">IFERROR(IF($E152&lt;&gt;"Discrete",0,IF(3&lt;MATCH($D152,$B$4:$F$4,0),0,IF($F152&lt;&gt;"Y",IF(3=MATCH($D152,$B$4:$F$4,0),1,0),IF(3=MATCH($D152,$B$4:$F$4,0),$G152+(1-$G152)/(5-MATCH($D152,$B$4:$F$4,0)+1),(1-$G152)/(5-MATCH($D152,$B$4:$F$4,0)+1))))),0)</f>
        <v>1</v>
      </c>
      <c r="K152" s="141" t="n">
        <f aca="false">IFERROR(IF($E152&lt;&gt;"Discrete",0,IF(4&lt;MATCH($D152,$B$4:$F$4,0),0,IF($F152&lt;&gt;"Y",IF(4=MATCH($D152,$B$4:$F$4,0),1,0),IF(4=MATCH($D152,$B$4:$F$4,0),$G152+(1-$G152)/(5-MATCH($D152,$B$4:$F$4,0)+1),(1-$G152)/(5-MATCH($D152,$B$4:$F$4,0)+1))))),0)</f>
        <v>0</v>
      </c>
      <c r="L152" s="141" t="n">
        <f aca="false">IFERROR(IF($E152&lt;&gt;"Discrete",0,IF(5&lt;MATCH($D152,$B$4:$F$4,0),0,IF($F152&lt;&gt;"Y",IF(5=MATCH($D152,$B$4:$F$4,0),1,0),IF(5=MATCH($D152,$B$4:$F$4,0),$G152+(1-$G152)/(5-MATCH($D152,$B$4:$F$4,0)+1),(1-$G152)/(5-MATCH($D152,$B$4:$F$4,0)+1))))),0)</f>
        <v>0</v>
      </c>
    </row>
    <row r="153" customFormat="false" ht="14.25" hidden="false" customHeight="true" outlineLevel="0" collapsed="false">
      <c r="A153" s="139" t="n">
        <f aca="false">WP_상세!A150</f>
        <v>146</v>
      </c>
      <c r="B153" s="139" t="str">
        <f aca="false">WP_상세!B150</f>
        <v>MLE.4</v>
      </c>
      <c r="C153" s="139" t="str">
        <f aca="false">WP_상세!F150</f>
        <v>ML Test Data Set / ML 테스트 데이터셋</v>
      </c>
      <c r="D153" s="139" t="str">
        <f aca="false">WP_상세!G150</f>
        <v>P1</v>
      </c>
      <c r="E153" s="139" t="str">
        <f aca="false">WP_상세!H150</f>
        <v>Discrete</v>
      </c>
      <c r="F153" s="139" t="str">
        <f aca="false">WP_상세!I150</f>
        <v>N</v>
      </c>
      <c r="G153" s="140" t="n">
        <f aca="false">WP_상세!J150</f>
        <v>1</v>
      </c>
      <c r="H153" s="141" t="n">
        <f aca="false">IFERROR(IF($E153&lt;&gt;"Discrete",0,IF(1&lt;MATCH($D153,$B$4:$F$4,0),0,IF($F153&lt;&gt;"Y",IF(1=MATCH($D153,$B$4:$F$4,0),1,0),IF(1=MATCH($D153,$B$4:$F$4,0),$G153+(1-$G153)/(5-MATCH($D153,$B$4:$F$4,0)+1),(1-$G153)/(5-MATCH($D153,$B$4:$F$4,0)+1))))),0)</f>
        <v>0</v>
      </c>
      <c r="I153" s="141" t="n">
        <f aca="false">IFERROR(IF($E153&lt;&gt;"Discrete",0,IF(2&lt;MATCH($D153,$B$4:$F$4,0),0,IF($F153&lt;&gt;"Y",IF(2=MATCH($D153,$B$4:$F$4,0),1,0),IF(2=MATCH($D153,$B$4:$F$4,0),$G153+(1-$G153)/(5-MATCH($D153,$B$4:$F$4,0)+1),(1-$G153)/(5-MATCH($D153,$B$4:$F$4,0)+1))))),0)</f>
        <v>0</v>
      </c>
      <c r="J153" s="141" t="n">
        <f aca="false">IFERROR(IF($E153&lt;&gt;"Discrete",0,IF(3&lt;MATCH($D153,$B$4:$F$4,0),0,IF($F153&lt;&gt;"Y",IF(3=MATCH($D153,$B$4:$F$4,0),1,0),IF(3=MATCH($D153,$B$4:$F$4,0),$G153+(1-$G153)/(5-MATCH($D153,$B$4:$F$4,0)+1),(1-$G153)/(5-MATCH($D153,$B$4:$F$4,0)+1))))),0)</f>
        <v>1</v>
      </c>
      <c r="K153" s="141" t="n">
        <f aca="false">IFERROR(IF($E153&lt;&gt;"Discrete",0,IF(4&lt;MATCH($D153,$B$4:$F$4,0),0,IF($F153&lt;&gt;"Y",IF(4=MATCH($D153,$B$4:$F$4,0),1,0),IF(4=MATCH($D153,$B$4:$F$4,0),$G153+(1-$G153)/(5-MATCH($D153,$B$4:$F$4,0)+1),(1-$G153)/(5-MATCH($D153,$B$4:$F$4,0)+1))))),0)</f>
        <v>0</v>
      </c>
      <c r="L153" s="141" t="n">
        <f aca="false">IFERROR(IF($E153&lt;&gt;"Discrete",0,IF(5&lt;MATCH($D153,$B$4:$F$4,0),0,IF($F153&lt;&gt;"Y",IF(5=MATCH($D153,$B$4:$F$4,0),1,0),IF(5=MATCH($D153,$B$4:$F$4,0),$G153+(1-$G153)/(5-MATCH($D153,$B$4:$F$4,0)+1),(1-$G153)/(5-MATCH($D153,$B$4:$F$4,0)+1))))),0)</f>
        <v>0</v>
      </c>
    </row>
    <row r="154" customFormat="false" ht="14.25" hidden="false" customHeight="true" outlineLevel="0" collapsed="false">
      <c r="A154" s="139" t="n">
        <f aca="false">WP_상세!A151</f>
        <v>147</v>
      </c>
      <c r="B154" s="139" t="str">
        <f aca="false">WP_상세!B151</f>
        <v>MLE.4</v>
      </c>
      <c r="C154" s="139" t="str">
        <f aca="false">WP_상세!F151</f>
        <v>Verification Results / 훈련된 ML모델 테스트 결과서</v>
      </c>
      <c r="D154" s="139" t="str">
        <f aca="false">WP_상세!G151</f>
        <v>P1</v>
      </c>
      <c r="E154" s="139" t="str">
        <f aca="false">WP_상세!H151</f>
        <v>Discrete</v>
      </c>
      <c r="F154" s="139" t="str">
        <f aca="false">WP_상세!I151</f>
        <v>N</v>
      </c>
      <c r="G154" s="140" t="n">
        <f aca="false">WP_상세!J151</f>
        <v>1</v>
      </c>
      <c r="H154" s="141" t="n">
        <f aca="false">IFERROR(IF($E154&lt;&gt;"Discrete",0,IF(1&lt;MATCH($D154,$B$4:$F$4,0),0,IF($F154&lt;&gt;"Y",IF(1=MATCH($D154,$B$4:$F$4,0),1,0),IF(1=MATCH($D154,$B$4:$F$4,0),$G154+(1-$G154)/(5-MATCH($D154,$B$4:$F$4,0)+1),(1-$G154)/(5-MATCH($D154,$B$4:$F$4,0)+1))))),0)</f>
        <v>0</v>
      </c>
      <c r="I154" s="141" t="n">
        <f aca="false">IFERROR(IF($E154&lt;&gt;"Discrete",0,IF(2&lt;MATCH($D154,$B$4:$F$4,0),0,IF($F154&lt;&gt;"Y",IF(2=MATCH($D154,$B$4:$F$4,0),1,0),IF(2=MATCH($D154,$B$4:$F$4,0),$G154+(1-$G154)/(5-MATCH($D154,$B$4:$F$4,0)+1),(1-$G154)/(5-MATCH($D154,$B$4:$F$4,0)+1))))),0)</f>
        <v>0</v>
      </c>
      <c r="J154" s="141" t="n">
        <f aca="false">IFERROR(IF($E154&lt;&gt;"Discrete",0,IF(3&lt;MATCH($D154,$B$4:$F$4,0),0,IF($F154&lt;&gt;"Y",IF(3=MATCH($D154,$B$4:$F$4,0),1,0),IF(3=MATCH($D154,$B$4:$F$4,0),$G154+(1-$G154)/(5-MATCH($D154,$B$4:$F$4,0)+1),(1-$G154)/(5-MATCH($D154,$B$4:$F$4,0)+1))))),0)</f>
        <v>1</v>
      </c>
      <c r="K154" s="141" t="n">
        <f aca="false">IFERROR(IF($E154&lt;&gt;"Discrete",0,IF(4&lt;MATCH($D154,$B$4:$F$4,0),0,IF($F154&lt;&gt;"Y",IF(4=MATCH($D154,$B$4:$F$4,0),1,0),IF(4=MATCH($D154,$B$4:$F$4,0),$G154+(1-$G154)/(5-MATCH($D154,$B$4:$F$4,0)+1),(1-$G154)/(5-MATCH($D154,$B$4:$F$4,0)+1))))),0)</f>
        <v>0</v>
      </c>
      <c r="L154" s="141" t="n">
        <f aca="false">IFERROR(IF($E154&lt;&gt;"Discrete",0,IF(5&lt;MATCH($D154,$B$4:$F$4,0),0,IF($F154&lt;&gt;"Y",IF(5=MATCH($D154,$B$4:$F$4,0),1,0),IF(5=MATCH($D154,$B$4:$F$4,0),$G154+(1-$G154)/(5-MATCH($D154,$B$4:$F$4,0)+1),(1-$G154)/(5-MATCH($D154,$B$4:$F$4,0)+1))))),0)</f>
        <v>0</v>
      </c>
    </row>
    <row r="155" customFormat="false" ht="14.25" hidden="false" customHeight="true" outlineLevel="0" collapsed="false">
      <c r="A155" s="139" t="n">
        <f aca="false">WP_상세!A152</f>
        <v>148</v>
      </c>
      <c r="B155" s="139" t="str">
        <f aca="false">WP_상세!B152</f>
        <v>MLE.4</v>
      </c>
      <c r="C155" s="139" t="str">
        <f aca="false">WP_상세!F152</f>
        <v>ML Model / 배포용 ML모델</v>
      </c>
      <c r="D155" s="139" t="str">
        <f aca="false">WP_상세!G152</f>
        <v>P2</v>
      </c>
      <c r="E155" s="139" t="str">
        <f aca="false">WP_상세!H152</f>
        <v>Discrete</v>
      </c>
      <c r="F155" s="139" t="str">
        <f aca="false">WP_상세!I152</f>
        <v>N</v>
      </c>
      <c r="G155" s="140" t="n">
        <f aca="false">WP_상세!J152</f>
        <v>1</v>
      </c>
      <c r="H155" s="141" t="n">
        <f aca="false">IFERROR(IF($E155&lt;&gt;"Discrete",0,IF(1&lt;MATCH($D155,$B$4:$F$4,0),0,IF($F155&lt;&gt;"Y",IF(1=MATCH($D155,$B$4:$F$4,0),1,0),IF(1=MATCH($D155,$B$4:$F$4,0),$G155+(1-$G155)/(5-MATCH($D155,$B$4:$F$4,0)+1),(1-$G155)/(5-MATCH($D155,$B$4:$F$4,0)+1))))),0)</f>
        <v>0</v>
      </c>
      <c r="I155" s="141" t="n">
        <f aca="false">IFERROR(IF($E155&lt;&gt;"Discrete",0,IF(2&lt;MATCH($D155,$B$4:$F$4,0),0,IF($F155&lt;&gt;"Y",IF(2=MATCH($D155,$B$4:$F$4,0),1,0),IF(2=MATCH($D155,$B$4:$F$4,0),$G155+(1-$G155)/(5-MATCH($D155,$B$4:$F$4,0)+1),(1-$G155)/(5-MATCH($D155,$B$4:$F$4,0)+1))))),0)</f>
        <v>0</v>
      </c>
      <c r="J155" s="141" t="n">
        <f aca="false">IFERROR(IF($E155&lt;&gt;"Discrete",0,IF(3&lt;MATCH($D155,$B$4:$F$4,0),0,IF($F155&lt;&gt;"Y",IF(3=MATCH($D155,$B$4:$F$4,0),1,0),IF(3=MATCH($D155,$B$4:$F$4,0),$G155+(1-$G155)/(5-MATCH($D155,$B$4:$F$4,0)+1),(1-$G155)/(5-MATCH($D155,$B$4:$F$4,0)+1))))),0)</f>
        <v>0</v>
      </c>
      <c r="K155" s="141" t="n">
        <f aca="false">IFERROR(IF($E155&lt;&gt;"Discrete",0,IF(4&lt;MATCH($D155,$B$4:$F$4,0),0,IF($F155&lt;&gt;"Y",IF(4=MATCH($D155,$B$4:$F$4,0),1,0),IF(4=MATCH($D155,$B$4:$F$4,0),$G155+(1-$G155)/(5-MATCH($D155,$B$4:$F$4,0)+1),(1-$G155)/(5-MATCH($D155,$B$4:$F$4,0)+1))))),0)</f>
        <v>1</v>
      </c>
      <c r="L155" s="141" t="n">
        <f aca="false">IFERROR(IF($E155&lt;&gt;"Discrete",0,IF(5&lt;MATCH($D155,$B$4:$F$4,0),0,IF($F155&lt;&gt;"Y",IF(5=MATCH($D155,$B$4:$F$4,0),1,0),IF(5=MATCH($D155,$B$4:$F$4,0),$G155+(1-$G155)/(5-MATCH($D155,$B$4:$F$4,0)+1),(1-$G155)/(5-MATCH($D155,$B$4:$F$4,0)+1))))),0)</f>
        <v>0</v>
      </c>
    </row>
    <row r="156" customFormat="false" ht="14.25" hidden="false" customHeight="true" outlineLevel="0" collapsed="false">
      <c r="A156" s="139" t="n">
        <f aca="false">WP_상세!A153</f>
        <v>149</v>
      </c>
      <c r="B156" s="139" t="str">
        <f aca="false">WP_상세!B153</f>
        <v>MLE.4</v>
      </c>
      <c r="C156" s="139" t="str">
        <f aca="false">WP_상세!F153</f>
        <v>Verification Results / 배포된 ML모델 테스트 결과서</v>
      </c>
      <c r="D156" s="139" t="str">
        <f aca="false">WP_상세!G153</f>
        <v>P2</v>
      </c>
      <c r="E156" s="139" t="str">
        <f aca="false">WP_상세!H153</f>
        <v>Discrete</v>
      </c>
      <c r="F156" s="139" t="str">
        <f aca="false">WP_상세!I153</f>
        <v>N</v>
      </c>
      <c r="G156" s="140" t="n">
        <f aca="false">WP_상세!J153</f>
        <v>1</v>
      </c>
      <c r="H156" s="141" t="n">
        <f aca="false">IFERROR(IF($E156&lt;&gt;"Discrete",0,IF(1&lt;MATCH($D156,$B$4:$F$4,0),0,IF($F156&lt;&gt;"Y",IF(1=MATCH($D156,$B$4:$F$4,0),1,0),IF(1=MATCH($D156,$B$4:$F$4,0),$G156+(1-$G156)/(5-MATCH($D156,$B$4:$F$4,0)+1),(1-$G156)/(5-MATCH($D156,$B$4:$F$4,0)+1))))),0)</f>
        <v>0</v>
      </c>
      <c r="I156" s="141" t="n">
        <f aca="false">IFERROR(IF($E156&lt;&gt;"Discrete",0,IF(2&lt;MATCH($D156,$B$4:$F$4,0),0,IF($F156&lt;&gt;"Y",IF(2=MATCH($D156,$B$4:$F$4,0),1,0),IF(2=MATCH($D156,$B$4:$F$4,0),$G156+(1-$G156)/(5-MATCH($D156,$B$4:$F$4,0)+1),(1-$G156)/(5-MATCH($D156,$B$4:$F$4,0)+1))))),0)</f>
        <v>0</v>
      </c>
      <c r="J156" s="141" t="n">
        <f aca="false">IFERROR(IF($E156&lt;&gt;"Discrete",0,IF(3&lt;MATCH($D156,$B$4:$F$4,0),0,IF($F156&lt;&gt;"Y",IF(3=MATCH($D156,$B$4:$F$4,0),1,0),IF(3=MATCH($D156,$B$4:$F$4,0),$G156+(1-$G156)/(5-MATCH($D156,$B$4:$F$4,0)+1),(1-$G156)/(5-MATCH($D156,$B$4:$F$4,0)+1))))),0)</f>
        <v>0</v>
      </c>
      <c r="K156" s="141" t="n">
        <f aca="false">IFERROR(IF($E156&lt;&gt;"Discrete",0,IF(4&lt;MATCH($D156,$B$4:$F$4,0),0,IF($F156&lt;&gt;"Y",IF(4=MATCH($D156,$B$4:$F$4,0),1,0),IF(4=MATCH($D156,$B$4:$F$4,0),$G156+(1-$G156)/(5-MATCH($D156,$B$4:$F$4,0)+1),(1-$G156)/(5-MATCH($D156,$B$4:$F$4,0)+1))))),0)</f>
        <v>1</v>
      </c>
      <c r="L156" s="141" t="n">
        <f aca="false">IFERROR(IF($E156&lt;&gt;"Discrete",0,IF(5&lt;MATCH($D156,$B$4:$F$4,0),0,IF($F156&lt;&gt;"Y",IF(5=MATCH($D156,$B$4:$F$4,0),1,0),IF(5=MATCH($D156,$B$4:$F$4,0),$G156+(1-$G156)/(5-MATCH($D156,$B$4:$F$4,0)+1),(1-$G156)/(5-MATCH($D156,$B$4:$F$4,0)+1))))),0)</f>
        <v>0</v>
      </c>
    </row>
    <row r="157" customFormat="false" ht="14.25" hidden="false" customHeight="true" outlineLevel="0" collapsed="false">
      <c r="A157" s="139" t="n">
        <f aca="false">WP_상세!A154</f>
        <v>150</v>
      </c>
      <c r="B157" s="139" t="str">
        <f aca="false">WP_상세!B154</f>
        <v>MLE.4</v>
      </c>
      <c r="C157" s="139" t="str">
        <f aca="false">WP_상세!F154</f>
        <v>Consistency Evidence / ML테스트-요구사항/결과 추적성 매트릭스</v>
      </c>
      <c r="D157" s="139" t="str">
        <f aca="false">WP_상세!G154</f>
        <v>P2</v>
      </c>
      <c r="E157" s="139" t="str">
        <f aca="false">WP_상세!H154</f>
        <v>Discrete</v>
      </c>
      <c r="F157" s="139" t="str">
        <f aca="false">WP_상세!I154</f>
        <v>N</v>
      </c>
      <c r="G157" s="140" t="n">
        <f aca="false">WP_상세!J154</f>
        <v>1</v>
      </c>
      <c r="H157" s="141" t="n">
        <f aca="false">IFERROR(IF($E157&lt;&gt;"Discrete",0,IF(1&lt;MATCH($D157,$B$4:$F$4,0),0,IF($F157&lt;&gt;"Y",IF(1=MATCH($D157,$B$4:$F$4,0),1,0),IF(1=MATCH($D157,$B$4:$F$4,0),$G157+(1-$G157)/(5-MATCH($D157,$B$4:$F$4,0)+1),(1-$G157)/(5-MATCH($D157,$B$4:$F$4,0)+1))))),0)</f>
        <v>0</v>
      </c>
      <c r="I157" s="141" t="n">
        <f aca="false">IFERROR(IF($E157&lt;&gt;"Discrete",0,IF(2&lt;MATCH($D157,$B$4:$F$4,0),0,IF($F157&lt;&gt;"Y",IF(2=MATCH($D157,$B$4:$F$4,0),1,0),IF(2=MATCH($D157,$B$4:$F$4,0),$G157+(1-$G157)/(5-MATCH($D157,$B$4:$F$4,0)+1),(1-$G157)/(5-MATCH($D157,$B$4:$F$4,0)+1))))),0)</f>
        <v>0</v>
      </c>
      <c r="J157" s="141" t="n">
        <f aca="false">IFERROR(IF($E157&lt;&gt;"Discrete",0,IF(3&lt;MATCH($D157,$B$4:$F$4,0),0,IF($F157&lt;&gt;"Y",IF(3=MATCH($D157,$B$4:$F$4,0),1,0),IF(3=MATCH($D157,$B$4:$F$4,0),$G157+(1-$G157)/(5-MATCH($D157,$B$4:$F$4,0)+1),(1-$G157)/(5-MATCH($D157,$B$4:$F$4,0)+1))))),0)</f>
        <v>0</v>
      </c>
      <c r="K157" s="141" t="n">
        <f aca="false">IFERROR(IF($E157&lt;&gt;"Discrete",0,IF(4&lt;MATCH($D157,$B$4:$F$4,0),0,IF($F157&lt;&gt;"Y",IF(4=MATCH($D157,$B$4:$F$4,0),1,0),IF(4=MATCH($D157,$B$4:$F$4,0),$G157+(1-$G157)/(5-MATCH($D157,$B$4:$F$4,0)+1),(1-$G157)/(5-MATCH($D157,$B$4:$F$4,0)+1))))),0)</f>
        <v>1</v>
      </c>
      <c r="L157" s="141" t="n">
        <f aca="false">IFERROR(IF($E157&lt;&gt;"Discrete",0,IF(5&lt;MATCH($D157,$B$4:$F$4,0),0,IF($F157&lt;&gt;"Y",IF(5=MATCH($D157,$B$4:$F$4,0),1,0),IF(5=MATCH($D157,$B$4:$F$4,0),$G157+(1-$G157)/(5-MATCH($D157,$B$4:$F$4,0)+1),(1-$G157)/(5-MATCH($D157,$B$4:$F$4,0)+1))))),0)</f>
        <v>0</v>
      </c>
    </row>
    <row r="158" customFormat="false" ht="14.25" hidden="false" customHeight="true" outlineLevel="0" collapsed="false">
      <c r="A158" s="139" t="n">
        <f aca="false">WP_상세!A155</f>
        <v>151</v>
      </c>
      <c r="B158" s="139" t="str">
        <f aca="false">WP_상세!B155</f>
        <v>MLE.4</v>
      </c>
      <c r="C158" s="139" t="str">
        <f aca="false">WP_상세!F155</f>
        <v>Communication Evidence / ML모델 테스트결과 요약보고서</v>
      </c>
      <c r="D158" s="139" t="str">
        <f aca="false">WP_상세!G155</f>
        <v>P2</v>
      </c>
      <c r="E158" s="139" t="str">
        <f aca="false">WP_상세!H155</f>
        <v>Discrete</v>
      </c>
      <c r="F158" s="139" t="str">
        <f aca="false">WP_상세!I155</f>
        <v>N</v>
      </c>
      <c r="G158" s="140" t="n">
        <f aca="false">WP_상세!J155</f>
        <v>1</v>
      </c>
      <c r="H158" s="141" t="n">
        <f aca="false">IFERROR(IF($E158&lt;&gt;"Discrete",0,IF(1&lt;MATCH($D158,$B$4:$F$4,0),0,IF($F158&lt;&gt;"Y",IF(1=MATCH($D158,$B$4:$F$4,0),1,0),IF(1=MATCH($D158,$B$4:$F$4,0),$G158+(1-$G158)/(5-MATCH($D158,$B$4:$F$4,0)+1),(1-$G158)/(5-MATCH($D158,$B$4:$F$4,0)+1))))),0)</f>
        <v>0</v>
      </c>
      <c r="I158" s="141" t="n">
        <f aca="false">IFERROR(IF($E158&lt;&gt;"Discrete",0,IF(2&lt;MATCH($D158,$B$4:$F$4,0),0,IF($F158&lt;&gt;"Y",IF(2=MATCH($D158,$B$4:$F$4,0),1,0),IF(2=MATCH($D158,$B$4:$F$4,0),$G158+(1-$G158)/(5-MATCH($D158,$B$4:$F$4,0)+1),(1-$G158)/(5-MATCH($D158,$B$4:$F$4,0)+1))))),0)</f>
        <v>0</v>
      </c>
      <c r="J158" s="141" t="n">
        <f aca="false">IFERROR(IF($E158&lt;&gt;"Discrete",0,IF(3&lt;MATCH($D158,$B$4:$F$4,0),0,IF($F158&lt;&gt;"Y",IF(3=MATCH($D158,$B$4:$F$4,0),1,0),IF(3=MATCH($D158,$B$4:$F$4,0),$G158+(1-$G158)/(5-MATCH($D158,$B$4:$F$4,0)+1),(1-$G158)/(5-MATCH($D158,$B$4:$F$4,0)+1))))),0)</f>
        <v>0</v>
      </c>
      <c r="K158" s="141" t="n">
        <f aca="false">IFERROR(IF($E158&lt;&gt;"Discrete",0,IF(4&lt;MATCH($D158,$B$4:$F$4,0),0,IF($F158&lt;&gt;"Y",IF(4=MATCH($D158,$B$4:$F$4,0),1,0),IF(4=MATCH($D158,$B$4:$F$4,0),$G158+(1-$G158)/(5-MATCH($D158,$B$4:$F$4,0)+1),(1-$G158)/(5-MATCH($D158,$B$4:$F$4,0)+1))))),0)</f>
        <v>1</v>
      </c>
      <c r="L158" s="141" t="n">
        <f aca="false">IFERROR(IF($E158&lt;&gt;"Discrete",0,IF(5&lt;MATCH($D158,$B$4:$F$4,0),0,IF($F158&lt;&gt;"Y",IF(5=MATCH($D158,$B$4:$F$4,0),1,0),IF(5=MATCH($D158,$B$4:$F$4,0),$G158+(1-$G158)/(5-MATCH($D158,$B$4:$F$4,0)+1),(1-$G158)/(5-MATCH($D158,$B$4:$F$4,0)+1))))),0)</f>
        <v>0</v>
      </c>
    </row>
    <row r="159" customFormat="false" ht="14.25" hidden="false" customHeight="true" outlineLevel="0" collapsed="false">
      <c r="A159" s="139" t="n">
        <f aca="false">WP_상세!A156</f>
        <v>152</v>
      </c>
      <c r="B159" s="139" t="str">
        <f aca="false">WP_상세!B156</f>
        <v>HWE.1</v>
      </c>
      <c r="C159" s="139" t="str">
        <f aca="false">WP_상세!F156</f>
        <v>Requirement / 하드웨어 요구사항 명세서</v>
      </c>
      <c r="D159" s="139" t="str">
        <f aca="false">WP_상세!G156</f>
        <v>M-Car</v>
      </c>
      <c r="E159" s="139" t="str">
        <f aca="false">WP_상세!H156</f>
        <v>Discrete</v>
      </c>
      <c r="F159" s="139" t="str">
        <f aca="false">WP_상세!I156</f>
        <v>Y</v>
      </c>
      <c r="G159" s="140" t="n">
        <f aca="false">WP_상세!J156</f>
        <v>0.4</v>
      </c>
      <c r="H159" s="141" t="n">
        <f aca="false">IFERROR(IF($E159&lt;&gt;"Discrete",0,IF(1&lt;MATCH($D159,$B$4:$F$4,0),0,IF($F159&lt;&gt;"Y",IF(1=MATCH($D159,$B$4:$F$4,0),1,0),IF(1=MATCH($D159,$B$4:$F$4,0),$G159+(1-$G159)/(5-MATCH($D159,$B$4:$F$4,0)+1),(1-$G159)/(5-MATCH($D159,$B$4:$F$4,0)+1))))),0)</f>
        <v>0.52</v>
      </c>
      <c r="I159" s="141" t="n">
        <f aca="false">IFERROR(IF($E159&lt;&gt;"Discrete",0,IF(2&lt;MATCH($D159,$B$4:$F$4,0),0,IF($F159&lt;&gt;"Y",IF(2=MATCH($D159,$B$4:$F$4,0),1,0),IF(2=MATCH($D159,$B$4:$F$4,0),$G159+(1-$G159)/(5-MATCH($D159,$B$4:$F$4,0)+1),(1-$G159)/(5-MATCH($D159,$B$4:$F$4,0)+1))))),0)</f>
        <v>0.12</v>
      </c>
      <c r="J159" s="141" t="n">
        <f aca="false">IFERROR(IF($E159&lt;&gt;"Discrete",0,IF(3&lt;MATCH($D159,$B$4:$F$4,0),0,IF($F159&lt;&gt;"Y",IF(3=MATCH($D159,$B$4:$F$4,0),1,0),IF(3=MATCH($D159,$B$4:$F$4,0),$G159+(1-$G159)/(5-MATCH($D159,$B$4:$F$4,0)+1),(1-$G159)/(5-MATCH($D159,$B$4:$F$4,0)+1))))),0)</f>
        <v>0.12</v>
      </c>
      <c r="K159" s="141" t="n">
        <f aca="false">IFERROR(IF($E159&lt;&gt;"Discrete",0,IF(4&lt;MATCH($D159,$B$4:$F$4,0),0,IF($F159&lt;&gt;"Y",IF(4=MATCH($D159,$B$4:$F$4,0),1,0),IF(4=MATCH($D159,$B$4:$F$4,0),$G159+(1-$G159)/(5-MATCH($D159,$B$4:$F$4,0)+1),(1-$G159)/(5-MATCH($D159,$B$4:$F$4,0)+1))))),0)</f>
        <v>0.12</v>
      </c>
      <c r="L159" s="141" t="n">
        <f aca="false">IFERROR(IF($E159&lt;&gt;"Discrete",0,IF(5&lt;MATCH($D159,$B$4:$F$4,0),0,IF($F159&lt;&gt;"Y",IF(5=MATCH($D159,$B$4:$F$4,0),1,0),IF(5=MATCH($D159,$B$4:$F$4,0),$G159+(1-$G159)/(5-MATCH($D159,$B$4:$F$4,0)+1),(1-$G159)/(5-MATCH($D159,$B$4:$F$4,0)+1))))),0)</f>
        <v>0.12</v>
      </c>
    </row>
    <row r="160" customFormat="false" ht="14.25" hidden="false" customHeight="true" outlineLevel="0" collapsed="false">
      <c r="A160" s="139" t="n">
        <f aca="false">WP_상세!A157</f>
        <v>153</v>
      </c>
      <c r="B160" s="139" t="str">
        <f aca="false">WP_상세!B157</f>
        <v>HWE.1</v>
      </c>
      <c r="C160" s="139" t="str">
        <f aca="false">WP_상세!F157</f>
        <v>Requirement Attribute / 하드웨어 요구사항 구조화 문서</v>
      </c>
      <c r="D160" s="139" t="str">
        <f aca="false">WP_상세!G157</f>
        <v>M-Car</v>
      </c>
      <c r="E160" s="139" t="str">
        <f aca="false">WP_상세!H157</f>
        <v>Discrete</v>
      </c>
      <c r="F160" s="139" t="str">
        <f aca="false">WP_상세!I157</f>
        <v>Y</v>
      </c>
      <c r="G160" s="140" t="n">
        <f aca="false">WP_상세!J157</f>
        <v>0.4</v>
      </c>
      <c r="H160" s="141" t="n">
        <f aca="false">IFERROR(IF($E160&lt;&gt;"Discrete",0,IF(1&lt;MATCH($D160,$B$4:$F$4,0),0,IF($F160&lt;&gt;"Y",IF(1=MATCH($D160,$B$4:$F$4,0),1,0),IF(1=MATCH($D160,$B$4:$F$4,0),$G160+(1-$G160)/(5-MATCH($D160,$B$4:$F$4,0)+1),(1-$G160)/(5-MATCH($D160,$B$4:$F$4,0)+1))))),0)</f>
        <v>0.52</v>
      </c>
      <c r="I160" s="141" t="n">
        <f aca="false">IFERROR(IF($E160&lt;&gt;"Discrete",0,IF(2&lt;MATCH($D160,$B$4:$F$4,0),0,IF($F160&lt;&gt;"Y",IF(2=MATCH($D160,$B$4:$F$4,0),1,0),IF(2=MATCH($D160,$B$4:$F$4,0),$G160+(1-$G160)/(5-MATCH($D160,$B$4:$F$4,0)+1),(1-$G160)/(5-MATCH($D160,$B$4:$F$4,0)+1))))),0)</f>
        <v>0.12</v>
      </c>
      <c r="J160" s="141" t="n">
        <f aca="false">IFERROR(IF($E160&lt;&gt;"Discrete",0,IF(3&lt;MATCH($D160,$B$4:$F$4,0),0,IF($F160&lt;&gt;"Y",IF(3=MATCH($D160,$B$4:$F$4,0),1,0),IF(3=MATCH($D160,$B$4:$F$4,0),$G160+(1-$G160)/(5-MATCH($D160,$B$4:$F$4,0)+1),(1-$G160)/(5-MATCH($D160,$B$4:$F$4,0)+1))))),0)</f>
        <v>0.12</v>
      </c>
      <c r="K160" s="141" t="n">
        <f aca="false">IFERROR(IF($E160&lt;&gt;"Discrete",0,IF(4&lt;MATCH($D160,$B$4:$F$4,0),0,IF($F160&lt;&gt;"Y",IF(4=MATCH($D160,$B$4:$F$4,0),1,0),IF(4=MATCH($D160,$B$4:$F$4,0),$G160+(1-$G160)/(5-MATCH($D160,$B$4:$F$4,0)+1),(1-$G160)/(5-MATCH($D160,$B$4:$F$4,0)+1))))),0)</f>
        <v>0.12</v>
      </c>
      <c r="L160" s="141" t="n">
        <f aca="false">IFERROR(IF($E160&lt;&gt;"Discrete",0,IF(5&lt;MATCH($D160,$B$4:$F$4,0),0,IF($F160&lt;&gt;"Y",IF(5=MATCH($D160,$B$4:$F$4,0),1,0),IF(5=MATCH($D160,$B$4:$F$4,0),$G160+(1-$G160)/(5-MATCH($D160,$B$4:$F$4,0)+1),(1-$G160)/(5-MATCH($D160,$B$4:$F$4,0)+1))))),0)</f>
        <v>0.12</v>
      </c>
    </row>
    <row r="161" customFormat="false" ht="14.25" hidden="false" customHeight="true" outlineLevel="0" collapsed="false">
      <c r="A161" s="139" t="n">
        <f aca="false">WP_상세!A158</f>
        <v>154</v>
      </c>
      <c r="B161" s="139" t="str">
        <f aca="false">WP_상세!B158</f>
        <v>HWE.1</v>
      </c>
      <c r="C161" s="139" t="str">
        <f aca="false">WP_상세!F158</f>
        <v>Analysis Results / 하드웨어 요구사항 분석서</v>
      </c>
      <c r="D161" s="139" t="str">
        <f aca="false">WP_상세!G158</f>
        <v>M-Car</v>
      </c>
      <c r="E161" s="139" t="str">
        <f aca="false">WP_상세!H158</f>
        <v>Discrete</v>
      </c>
      <c r="F161" s="139" t="str">
        <f aca="false">WP_상세!I158</f>
        <v>N</v>
      </c>
      <c r="G161" s="140" t="n">
        <f aca="false">WP_상세!J158</f>
        <v>1</v>
      </c>
      <c r="H161" s="141" t="n">
        <f aca="false">IFERROR(IF($E161&lt;&gt;"Discrete",0,IF(1&lt;MATCH($D161,$B$4:$F$4,0),0,IF($F161&lt;&gt;"Y",IF(1=MATCH($D161,$B$4:$F$4,0),1,0),IF(1=MATCH($D161,$B$4:$F$4,0),$G161+(1-$G161)/(5-MATCH($D161,$B$4:$F$4,0)+1),(1-$G161)/(5-MATCH($D161,$B$4:$F$4,0)+1))))),0)</f>
        <v>1</v>
      </c>
      <c r="I161" s="141" t="n">
        <f aca="false">IFERROR(IF($E161&lt;&gt;"Discrete",0,IF(2&lt;MATCH($D161,$B$4:$F$4,0),0,IF($F161&lt;&gt;"Y",IF(2=MATCH($D161,$B$4:$F$4,0),1,0),IF(2=MATCH($D161,$B$4:$F$4,0),$G161+(1-$G161)/(5-MATCH($D161,$B$4:$F$4,0)+1),(1-$G161)/(5-MATCH($D161,$B$4:$F$4,0)+1))))),0)</f>
        <v>0</v>
      </c>
      <c r="J161" s="141" t="n">
        <f aca="false">IFERROR(IF($E161&lt;&gt;"Discrete",0,IF(3&lt;MATCH($D161,$B$4:$F$4,0),0,IF($F161&lt;&gt;"Y",IF(3=MATCH($D161,$B$4:$F$4,0),1,0),IF(3=MATCH($D161,$B$4:$F$4,0),$G161+(1-$G161)/(5-MATCH($D161,$B$4:$F$4,0)+1),(1-$G161)/(5-MATCH($D161,$B$4:$F$4,0)+1))))),0)</f>
        <v>0</v>
      </c>
      <c r="K161" s="141" t="n">
        <f aca="false">IFERROR(IF($E161&lt;&gt;"Discrete",0,IF(4&lt;MATCH($D161,$B$4:$F$4,0),0,IF($F161&lt;&gt;"Y",IF(4=MATCH($D161,$B$4:$F$4,0),1,0),IF(4=MATCH($D161,$B$4:$F$4,0),$G161+(1-$G161)/(5-MATCH($D161,$B$4:$F$4,0)+1),(1-$G161)/(5-MATCH($D161,$B$4:$F$4,0)+1))))),0)</f>
        <v>0</v>
      </c>
      <c r="L161" s="141" t="n">
        <f aca="false">IFERROR(IF($E161&lt;&gt;"Discrete",0,IF(5&lt;MATCH($D161,$B$4:$F$4,0),0,IF($F161&lt;&gt;"Y",IF(5=MATCH($D161,$B$4:$F$4,0),1,0),IF(5=MATCH($D161,$B$4:$F$4,0),$G161+(1-$G161)/(5-MATCH($D161,$B$4:$F$4,0)+1),(1-$G161)/(5-MATCH($D161,$B$4:$F$4,0)+1))))),0)</f>
        <v>0</v>
      </c>
    </row>
    <row r="162" customFormat="false" ht="14.25" hidden="false" customHeight="true" outlineLevel="0" collapsed="false">
      <c r="A162" s="139" t="n">
        <f aca="false">WP_상세!A159</f>
        <v>155</v>
      </c>
      <c r="B162" s="139" t="str">
        <f aca="false">WP_상세!B159</f>
        <v>HWE.1</v>
      </c>
      <c r="C162" s="139" t="str">
        <f aca="false">WP_상세!F159</f>
        <v>Analysis Results / 운영환경 영향분석서</v>
      </c>
      <c r="D162" s="139" t="str">
        <f aca="false">WP_상세!G159</f>
        <v>M-Car</v>
      </c>
      <c r="E162" s="139" t="str">
        <f aca="false">WP_상세!H159</f>
        <v>Discrete</v>
      </c>
      <c r="F162" s="139" t="str">
        <f aca="false">WP_상세!I159</f>
        <v>N</v>
      </c>
      <c r="G162" s="140" t="n">
        <f aca="false">WP_상세!J159</f>
        <v>1</v>
      </c>
      <c r="H162" s="141" t="n">
        <f aca="false">IFERROR(IF($E162&lt;&gt;"Discrete",0,IF(1&lt;MATCH($D162,$B$4:$F$4,0),0,IF($F162&lt;&gt;"Y",IF(1=MATCH($D162,$B$4:$F$4,0),1,0),IF(1=MATCH($D162,$B$4:$F$4,0),$G162+(1-$G162)/(5-MATCH($D162,$B$4:$F$4,0)+1),(1-$G162)/(5-MATCH($D162,$B$4:$F$4,0)+1))))),0)</f>
        <v>1</v>
      </c>
      <c r="I162" s="141" t="n">
        <f aca="false">IFERROR(IF($E162&lt;&gt;"Discrete",0,IF(2&lt;MATCH($D162,$B$4:$F$4,0),0,IF($F162&lt;&gt;"Y",IF(2=MATCH($D162,$B$4:$F$4,0),1,0),IF(2=MATCH($D162,$B$4:$F$4,0),$G162+(1-$G162)/(5-MATCH($D162,$B$4:$F$4,0)+1),(1-$G162)/(5-MATCH($D162,$B$4:$F$4,0)+1))))),0)</f>
        <v>0</v>
      </c>
      <c r="J162" s="141" t="n">
        <f aca="false">IFERROR(IF($E162&lt;&gt;"Discrete",0,IF(3&lt;MATCH($D162,$B$4:$F$4,0),0,IF($F162&lt;&gt;"Y",IF(3=MATCH($D162,$B$4:$F$4,0),1,0),IF(3=MATCH($D162,$B$4:$F$4,0),$G162+(1-$G162)/(5-MATCH($D162,$B$4:$F$4,0)+1),(1-$G162)/(5-MATCH($D162,$B$4:$F$4,0)+1))))),0)</f>
        <v>0</v>
      </c>
      <c r="K162" s="141" t="n">
        <f aca="false">IFERROR(IF($E162&lt;&gt;"Discrete",0,IF(4&lt;MATCH($D162,$B$4:$F$4,0),0,IF($F162&lt;&gt;"Y",IF(4=MATCH($D162,$B$4:$F$4,0),1,0),IF(4=MATCH($D162,$B$4:$F$4,0),$G162+(1-$G162)/(5-MATCH($D162,$B$4:$F$4,0)+1),(1-$G162)/(5-MATCH($D162,$B$4:$F$4,0)+1))))),0)</f>
        <v>0</v>
      </c>
      <c r="L162" s="141" t="n">
        <f aca="false">IFERROR(IF($E162&lt;&gt;"Discrete",0,IF(5&lt;MATCH($D162,$B$4:$F$4,0),0,IF($F162&lt;&gt;"Y",IF(5=MATCH($D162,$B$4:$F$4,0),1,0),IF(5=MATCH($D162,$B$4:$F$4,0),$G162+(1-$G162)/(5-MATCH($D162,$B$4:$F$4,0)+1),(1-$G162)/(5-MATCH($D162,$B$4:$F$4,0)+1))))),0)</f>
        <v>0</v>
      </c>
    </row>
    <row r="163" customFormat="false" ht="14.25" hidden="false" customHeight="true" outlineLevel="0" collapsed="false">
      <c r="A163" s="139" t="n">
        <f aca="false">WP_상세!A160</f>
        <v>156</v>
      </c>
      <c r="B163" s="139" t="str">
        <f aca="false">WP_상세!B160</f>
        <v>HWE.1</v>
      </c>
      <c r="C163" s="139" t="str">
        <f aca="false">WP_상세!F160</f>
        <v>Consistency Evidence / HW요구사항-시스템요구사항 추적성 매트릭스</v>
      </c>
      <c r="D163" s="139" t="str">
        <f aca="false">WP_상세!G160</f>
        <v>M-Car</v>
      </c>
      <c r="E163" s="139" t="str">
        <f aca="false">WP_상세!H160</f>
        <v>Discrete</v>
      </c>
      <c r="F163" s="139" t="str">
        <f aca="false">WP_상세!I160</f>
        <v>N</v>
      </c>
      <c r="G163" s="140" t="n">
        <f aca="false">WP_상세!J160</f>
        <v>1</v>
      </c>
      <c r="H163" s="141" t="n">
        <f aca="false">IFERROR(IF($E163&lt;&gt;"Discrete",0,IF(1&lt;MATCH($D163,$B$4:$F$4,0),0,IF($F163&lt;&gt;"Y",IF(1=MATCH($D163,$B$4:$F$4,0),1,0),IF(1=MATCH($D163,$B$4:$F$4,0),$G163+(1-$G163)/(5-MATCH($D163,$B$4:$F$4,0)+1),(1-$G163)/(5-MATCH($D163,$B$4:$F$4,0)+1))))),0)</f>
        <v>1</v>
      </c>
      <c r="I163" s="141" t="n">
        <f aca="false">IFERROR(IF($E163&lt;&gt;"Discrete",0,IF(2&lt;MATCH($D163,$B$4:$F$4,0),0,IF($F163&lt;&gt;"Y",IF(2=MATCH($D163,$B$4:$F$4,0),1,0),IF(2=MATCH($D163,$B$4:$F$4,0),$G163+(1-$G163)/(5-MATCH($D163,$B$4:$F$4,0)+1),(1-$G163)/(5-MATCH($D163,$B$4:$F$4,0)+1))))),0)</f>
        <v>0</v>
      </c>
      <c r="J163" s="141" t="n">
        <f aca="false">IFERROR(IF($E163&lt;&gt;"Discrete",0,IF(3&lt;MATCH($D163,$B$4:$F$4,0),0,IF($F163&lt;&gt;"Y",IF(3=MATCH($D163,$B$4:$F$4,0),1,0),IF(3=MATCH($D163,$B$4:$F$4,0),$G163+(1-$G163)/(5-MATCH($D163,$B$4:$F$4,0)+1),(1-$G163)/(5-MATCH($D163,$B$4:$F$4,0)+1))))),0)</f>
        <v>0</v>
      </c>
      <c r="K163" s="141" t="n">
        <f aca="false">IFERROR(IF($E163&lt;&gt;"Discrete",0,IF(4&lt;MATCH($D163,$B$4:$F$4,0),0,IF($F163&lt;&gt;"Y",IF(4=MATCH($D163,$B$4:$F$4,0),1,0),IF(4=MATCH($D163,$B$4:$F$4,0),$G163+(1-$G163)/(5-MATCH($D163,$B$4:$F$4,0)+1),(1-$G163)/(5-MATCH($D163,$B$4:$F$4,0)+1))))),0)</f>
        <v>0</v>
      </c>
      <c r="L163" s="141" t="n">
        <f aca="false">IFERROR(IF($E163&lt;&gt;"Discrete",0,IF(5&lt;MATCH($D163,$B$4:$F$4,0),0,IF($F163&lt;&gt;"Y",IF(5=MATCH($D163,$B$4:$F$4,0),1,0),IF(5=MATCH($D163,$B$4:$F$4,0),$G163+(1-$G163)/(5-MATCH($D163,$B$4:$F$4,0)+1),(1-$G163)/(5-MATCH($D163,$B$4:$F$4,0)+1))))),0)</f>
        <v>0</v>
      </c>
    </row>
    <row r="164" customFormat="false" ht="14.25" hidden="false" customHeight="true" outlineLevel="0" collapsed="false">
      <c r="A164" s="139" t="n">
        <f aca="false">WP_상세!A161</f>
        <v>157</v>
      </c>
      <c r="B164" s="139" t="str">
        <f aca="false">WP_상세!B161</f>
        <v>HWE.1</v>
      </c>
      <c r="C164" s="139" t="str">
        <f aca="false">WP_상세!F161</f>
        <v>Communication Evidence / 합의된 하드웨어 요구사항 공유기록</v>
      </c>
      <c r="D164" s="139" t="str">
        <f aca="false">WP_상세!G161</f>
        <v>M-Car</v>
      </c>
      <c r="E164" s="139" t="str">
        <f aca="false">WP_상세!H161</f>
        <v>Discrete</v>
      </c>
      <c r="F164" s="139" t="str">
        <f aca="false">WP_상세!I161</f>
        <v>N</v>
      </c>
      <c r="G164" s="140" t="n">
        <f aca="false">WP_상세!J161</f>
        <v>1</v>
      </c>
      <c r="H164" s="141" t="n">
        <f aca="false">IFERROR(IF($E164&lt;&gt;"Discrete",0,IF(1&lt;MATCH($D164,$B$4:$F$4,0),0,IF($F164&lt;&gt;"Y",IF(1=MATCH($D164,$B$4:$F$4,0),1,0),IF(1=MATCH($D164,$B$4:$F$4,0),$G164+(1-$G164)/(5-MATCH($D164,$B$4:$F$4,0)+1),(1-$G164)/(5-MATCH($D164,$B$4:$F$4,0)+1))))),0)</f>
        <v>1</v>
      </c>
      <c r="I164" s="141" t="n">
        <f aca="false">IFERROR(IF($E164&lt;&gt;"Discrete",0,IF(2&lt;MATCH($D164,$B$4:$F$4,0),0,IF($F164&lt;&gt;"Y",IF(2=MATCH($D164,$B$4:$F$4,0),1,0),IF(2=MATCH($D164,$B$4:$F$4,0),$G164+(1-$G164)/(5-MATCH($D164,$B$4:$F$4,0)+1),(1-$G164)/(5-MATCH($D164,$B$4:$F$4,0)+1))))),0)</f>
        <v>0</v>
      </c>
      <c r="J164" s="141" t="n">
        <f aca="false">IFERROR(IF($E164&lt;&gt;"Discrete",0,IF(3&lt;MATCH($D164,$B$4:$F$4,0),0,IF($F164&lt;&gt;"Y",IF(3=MATCH($D164,$B$4:$F$4,0),1,0),IF(3=MATCH($D164,$B$4:$F$4,0),$G164+(1-$G164)/(5-MATCH($D164,$B$4:$F$4,0)+1),(1-$G164)/(5-MATCH($D164,$B$4:$F$4,0)+1))))),0)</f>
        <v>0</v>
      </c>
      <c r="K164" s="141" t="n">
        <f aca="false">IFERROR(IF($E164&lt;&gt;"Discrete",0,IF(4&lt;MATCH($D164,$B$4:$F$4,0),0,IF($F164&lt;&gt;"Y",IF(4=MATCH($D164,$B$4:$F$4,0),1,0),IF(4=MATCH($D164,$B$4:$F$4,0),$G164+(1-$G164)/(5-MATCH($D164,$B$4:$F$4,0)+1),(1-$G164)/(5-MATCH($D164,$B$4:$F$4,0)+1))))),0)</f>
        <v>0</v>
      </c>
      <c r="L164" s="141" t="n">
        <f aca="false">IFERROR(IF($E164&lt;&gt;"Discrete",0,IF(5&lt;MATCH($D164,$B$4:$F$4,0),0,IF($F164&lt;&gt;"Y",IF(5=MATCH($D164,$B$4:$F$4,0),1,0),IF(5=MATCH($D164,$B$4:$F$4,0),$G164+(1-$G164)/(5-MATCH($D164,$B$4:$F$4,0)+1),(1-$G164)/(5-MATCH($D164,$B$4:$F$4,0)+1))))),0)</f>
        <v>0</v>
      </c>
    </row>
    <row r="165" customFormat="false" ht="14.25" hidden="false" customHeight="true" outlineLevel="0" collapsed="false">
      <c r="A165" s="139" t="n">
        <f aca="false">WP_상세!A162</f>
        <v>158</v>
      </c>
      <c r="B165" s="139" t="str">
        <f aca="false">WP_상세!B162</f>
        <v>HWE.2</v>
      </c>
      <c r="C165" s="139" t="str">
        <f aca="false">WP_상세!F162</f>
        <v>Hardware Architecture / 하드웨어 아키텍처 설계서</v>
      </c>
      <c r="D165" s="139" t="str">
        <f aca="false">WP_상세!G162</f>
        <v>M-Car</v>
      </c>
      <c r="E165" s="139" t="str">
        <f aca="false">WP_상세!H162</f>
        <v>Discrete</v>
      </c>
      <c r="F165" s="139" t="str">
        <f aca="false">WP_상세!I162</f>
        <v>Y</v>
      </c>
      <c r="G165" s="140" t="n">
        <f aca="false">WP_상세!J162</f>
        <v>0.4</v>
      </c>
      <c r="H165" s="141" t="n">
        <f aca="false">IFERROR(IF($E165&lt;&gt;"Discrete",0,IF(1&lt;MATCH($D165,$B$4:$F$4,0),0,IF($F165&lt;&gt;"Y",IF(1=MATCH($D165,$B$4:$F$4,0),1,0),IF(1=MATCH($D165,$B$4:$F$4,0),$G165+(1-$G165)/(5-MATCH($D165,$B$4:$F$4,0)+1),(1-$G165)/(5-MATCH($D165,$B$4:$F$4,0)+1))))),0)</f>
        <v>0.52</v>
      </c>
      <c r="I165" s="141" t="n">
        <f aca="false">IFERROR(IF($E165&lt;&gt;"Discrete",0,IF(2&lt;MATCH($D165,$B$4:$F$4,0),0,IF($F165&lt;&gt;"Y",IF(2=MATCH($D165,$B$4:$F$4,0),1,0),IF(2=MATCH($D165,$B$4:$F$4,0),$G165+(1-$G165)/(5-MATCH($D165,$B$4:$F$4,0)+1),(1-$G165)/(5-MATCH($D165,$B$4:$F$4,0)+1))))),0)</f>
        <v>0.12</v>
      </c>
      <c r="J165" s="141" t="n">
        <f aca="false">IFERROR(IF($E165&lt;&gt;"Discrete",0,IF(3&lt;MATCH($D165,$B$4:$F$4,0),0,IF($F165&lt;&gt;"Y",IF(3=MATCH($D165,$B$4:$F$4,0),1,0),IF(3=MATCH($D165,$B$4:$F$4,0),$G165+(1-$G165)/(5-MATCH($D165,$B$4:$F$4,0)+1),(1-$G165)/(5-MATCH($D165,$B$4:$F$4,0)+1))))),0)</f>
        <v>0.12</v>
      </c>
      <c r="K165" s="141" t="n">
        <f aca="false">IFERROR(IF($E165&lt;&gt;"Discrete",0,IF(4&lt;MATCH($D165,$B$4:$F$4,0),0,IF($F165&lt;&gt;"Y",IF(4=MATCH($D165,$B$4:$F$4,0),1,0),IF(4=MATCH($D165,$B$4:$F$4,0),$G165+(1-$G165)/(5-MATCH($D165,$B$4:$F$4,0)+1),(1-$G165)/(5-MATCH($D165,$B$4:$F$4,0)+1))))),0)</f>
        <v>0.12</v>
      </c>
      <c r="L165" s="141" t="n">
        <f aca="false">IFERROR(IF($E165&lt;&gt;"Discrete",0,IF(5&lt;MATCH($D165,$B$4:$F$4,0),0,IF($F165&lt;&gt;"Y",IF(5=MATCH($D165,$B$4:$F$4,0),1,0),IF(5=MATCH($D165,$B$4:$F$4,0),$G165+(1-$G165)/(5-MATCH($D165,$B$4:$F$4,0)+1),(1-$G165)/(5-MATCH($D165,$B$4:$F$4,0)+1))))),0)</f>
        <v>0.12</v>
      </c>
    </row>
    <row r="166" customFormat="false" ht="14.25" hidden="false" customHeight="true" outlineLevel="0" collapsed="false">
      <c r="A166" s="139" t="n">
        <f aca="false">WP_상세!A163</f>
        <v>159</v>
      </c>
      <c r="B166" s="139" t="str">
        <f aca="false">WP_상세!B163</f>
        <v>HWE.2</v>
      </c>
      <c r="C166" s="139" t="str">
        <f aca="false">WP_상세!F163</f>
        <v>Hardware Detailed Design / 하드웨어 상세설계서</v>
      </c>
      <c r="D166" s="139" t="str">
        <f aca="false">WP_상세!G163</f>
        <v>M-Car</v>
      </c>
      <c r="E166" s="139" t="str">
        <f aca="false">WP_상세!H163</f>
        <v>Discrete</v>
      </c>
      <c r="F166" s="139" t="str">
        <f aca="false">WP_상세!I163</f>
        <v>Y</v>
      </c>
      <c r="G166" s="140" t="n">
        <f aca="false">WP_상세!J163</f>
        <v>0.4</v>
      </c>
      <c r="H166" s="141" t="n">
        <f aca="false">IFERROR(IF($E166&lt;&gt;"Discrete",0,IF(1&lt;MATCH($D166,$B$4:$F$4,0),0,IF($F166&lt;&gt;"Y",IF(1=MATCH($D166,$B$4:$F$4,0),1,0),IF(1=MATCH($D166,$B$4:$F$4,0),$G166+(1-$G166)/(5-MATCH($D166,$B$4:$F$4,0)+1),(1-$G166)/(5-MATCH($D166,$B$4:$F$4,0)+1))))),0)</f>
        <v>0.52</v>
      </c>
      <c r="I166" s="141" t="n">
        <f aca="false">IFERROR(IF($E166&lt;&gt;"Discrete",0,IF(2&lt;MATCH($D166,$B$4:$F$4,0),0,IF($F166&lt;&gt;"Y",IF(2=MATCH($D166,$B$4:$F$4,0),1,0),IF(2=MATCH($D166,$B$4:$F$4,0),$G166+(1-$G166)/(5-MATCH($D166,$B$4:$F$4,0)+1),(1-$G166)/(5-MATCH($D166,$B$4:$F$4,0)+1))))),0)</f>
        <v>0.12</v>
      </c>
      <c r="J166" s="141" t="n">
        <f aca="false">IFERROR(IF($E166&lt;&gt;"Discrete",0,IF(3&lt;MATCH($D166,$B$4:$F$4,0),0,IF($F166&lt;&gt;"Y",IF(3=MATCH($D166,$B$4:$F$4,0),1,0),IF(3=MATCH($D166,$B$4:$F$4,0),$G166+(1-$G166)/(5-MATCH($D166,$B$4:$F$4,0)+1),(1-$G166)/(5-MATCH($D166,$B$4:$F$4,0)+1))))),0)</f>
        <v>0.12</v>
      </c>
      <c r="K166" s="141" t="n">
        <f aca="false">IFERROR(IF($E166&lt;&gt;"Discrete",0,IF(4&lt;MATCH($D166,$B$4:$F$4,0),0,IF($F166&lt;&gt;"Y",IF(4=MATCH($D166,$B$4:$F$4,0),1,0),IF(4=MATCH($D166,$B$4:$F$4,0),$G166+(1-$G166)/(5-MATCH($D166,$B$4:$F$4,0)+1),(1-$G166)/(5-MATCH($D166,$B$4:$F$4,0)+1))))),0)</f>
        <v>0.12</v>
      </c>
      <c r="L166" s="141" t="n">
        <f aca="false">IFERROR(IF($E166&lt;&gt;"Discrete",0,IF(5&lt;MATCH($D166,$B$4:$F$4,0),0,IF($F166&lt;&gt;"Y",IF(5=MATCH($D166,$B$4:$F$4,0),1,0),IF(5=MATCH($D166,$B$4:$F$4,0),$G166+(1-$G166)/(5-MATCH($D166,$B$4:$F$4,0)+1),(1-$G166)/(5-MATCH($D166,$B$4:$F$4,0)+1))))),0)</f>
        <v>0.12</v>
      </c>
    </row>
    <row r="167" customFormat="false" ht="14.25" hidden="false" customHeight="true" outlineLevel="0" collapsed="false">
      <c r="A167" s="139" t="n">
        <f aca="false">WP_상세!A164</f>
        <v>160</v>
      </c>
      <c r="B167" s="139" t="str">
        <f aca="false">WP_상세!B164</f>
        <v>HWE.2</v>
      </c>
      <c r="C167" s="139" t="str">
        <f aca="false">WP_상세!F164</f>
        <v>Hardware Architecture / 하드웨어 동적측면 설계서</v>
      </c>
      <c r="D167" s="139" t="str">
        <f aca="false">WP_상세!G164</f>
        <v>M-Car</v>
      </c>
      <c r="E167" s="139" t="str">
        <f aca="false">WP_상세!H164</f>
        <v>Discrete</v>
      </c>
      <c r="F167" s="139" t="str">
        <f aca="false">WP_상세!I164</f>
        <v>Y</v>
      </c>
      <c r="G167" s="140" t="n">
        <f aca="false">WP_상세!J164</f>
        <v>0.4</v>
      </c>
      <c r="H167" s="141" t="n">
        <f aca="false">IFERROR(IF($E167&lt;&gt;"Discrete",0,IF(1&lt;MATCH($D167,$B$4:$F$4,0),0,IF($F167&lt;&gt;"Y",IF(1=MATCH($D167,$B$4:$F$4,0),1,0),IF(1=MATCH($D167,$B$4:$F$4,0),$G167+(1-$G167)/(5-MATCH($D167,$B$4:$F$4,0)+1),(1-$G167)/(5-MATCH($D167,$B$4:$F$4,0)+1))))),0)</f>
        <v>0.52</v>
      </c>
      <c r="I167" s="141" t="n">
        <f aca="false">IFERROR(IF($E167&lt;&gt;"Discrete",0,IF(2&lt;MATCH($D167,$B$4:$F$4,0),0,IF($F167&lt;&gt;"Y",IF(2=MATCH($D167,$B$4:$F$4,0),1,0),IF(2=MATCH($D167,$B$4:$F$4,0),$G167+(1-$G167)/(5-MATCH($D167,$B$4:$F$4,0)+1),(1-$G167)/(5-MATCH($D167,$B$4:$F$4,0)+1))))),0)</f>
        <v>0.12</v>
      </c>
      <c r="J167" s="141" t="n">
        <f aca="false">IFERROR(IF($E167&lt;&gt;"Discrete",0,IF(3&lt;MATCH($D167,$B$4:$F$4,0),0,IF($F167&lt;&gt;"Y",IF(3=MATCH($D167,$B$4:$F$4,0),1,0),IF(3=MATCH($D167,$B$4:$F$4,0),$G167+(1-$G167)/(5-MATCH($D167,$B$4:$F$4,0)+1),(1-$G167)/(5-MATCH($D167,$B$4:$F$4,0)+1))))),0)</f>
        <v>0.12</v>
      </c>
      <c r="K167" s="141" t="n">
        <f aca="false">IFERROR(IF($E167&lt;&gt;"Discrete",0,IF(4&lt;MATCH($D167,$B$4:$F$4,0),0,IF($F167&lt;&gt;"Y",IF(4=MATCH($D167,$B$4:$F$4,0),1,0),IF(4=MATCH($D167,$B$4:$F$4,0),$G167+(1-$G167)/(5-MATCH($D167,$B$4:$F$4,0)+1),(1-$G167)/(5-MATCH($D167,$B$4:$F$4,0)+1))))),0)</f>
        <v>0.12</v>
      </c>
      <c r="L167" s="141" t="n">
        <f aca="false">IFERROR(IF($E167&lt;&gt;"Discrete",0,IF(5&lt;MATCH($D167,$B$4:$F$4,0),0,IF($F167&lt;&gt;"Y",IF(5=MATCH($D167,$B$4:$F$4,0),1,0),IF(5=MATCH($D167,$B$4:$F$4,0),$G167+(1-$G167)/(5-MATCH($D167,$B$4:$F$4,0)+1),(1-$G167)/(5-MATCH($D167,$B$4:$F$4,0)+1))))),0)</f>
        <v>0.12</v>
      </c>
    </row>
    <row r="168" customFormat="false" ht="14.25" hidden="false" customHeight="true" outlineLevel="0" collapsed="false">
      <c r="A168" s="139" t="n">
        <f aca="false">WP_상세!A165</f>
        <v>161</v>
      </c>
      <c r="B168" s="139" t="str">
        <f aca="false">WP_상세!B165</f>
        <v>HWE.2</v>
      </c>
      <c r="C168" s="139" t="str">
        <f aca="false">WP_상세!F165</f>
        <v>Analysis Results / 하드웨어 아키텍처/상세설계 분석서</v>
      </c>
      <c r="D168" s="139" t="str">
        <f aca="false">WP_상세!G165</f>
        <v>M-Car</v>
      </c>
      <c r="E168" s="139" t="str">
        <f aca="false">WP_상세!H165</f>
        <v>Discrete</v>
      </c>
      <c r="F168" s="139" t="str">
        <f aca="false">WP_상세!I165</f>
        <v>N</v>
      </c>
      <c r="G168" s="140" t="n">
        <f aca="false">WP_상세!J165</f>
        <v>1</v>
      </c>
      <c r="H168" s="141" t="n">
        <f aca="false">IFERROR(IF($E168&lt;&gt;"Discrete",0,IF(1&lt;MATCH($D168,$B$4:$F$4,0),0,IF($F168&lt;&gt;"Y",IF(1=MATCH($D168,$B$4:$F$4,0),1,0),IF(1=MATCH($D168,$B$4:$F$4,0),$G168+(1-$G168)/(5-MATCH($D168,$B$4:$F$4,0)+1),(1-$G168)/(5-MATCH($D168,$B$4:$F$4,0)+1))))),0)</f>
        <v>1</v>
      </c>
      <c r="I168" s="141" t="n">
        <f aca="false">IFERROR(IF($E168&lt;&gt;"Discrete",0,IF(2&lt;MATCH($D168,$B$4:$F$4,0),0,IF($F168&lt;&gt;"Y",IF(2=MATCH($D168,$B$4:$F$4,0),1,0),IF(2=MATCH($D168,$B$4:$F$4,0),$G168+(1-$G168)/(5-MATCH($D168,$B$4:$F$4,0)+1),(1-$G168)/(5-MATCH($D168,$B$4:$F$4,0)+1))))),0)</f>
        <v>0</v>
      </c>
      <c r="J168" s="141" t="n">
        <f aca="false">IFERROR(IF($E168&lt;&gt;"Discrete",0,IF(3&lt;MATCH($D168,$B$4:$F$4,0),0,IF($F168&lt;&gt;"Y",IF(3=MATCH($D168,$B$4:$F$4,0),1,0),IF(3=MATCH($D168,$B$4:$F$4,0),$G168+(1-$G168)/(5-MATCH($D168,$B$4:$F$4,0)+1),(1-$G168)/(5-MATCH($D168,$B$4:$F$4,0)+1))))),0)</f>
        <v>0</v>
      </c>
      <c r="K168" s="141" t="n">
        <f aca="false">IFERROR(IF($E168&lt;&gt;"Discrete",0,IF(4&lt;MATCH($D168,$B$4:$F$4,0),0,IF($F168&lt;&gt;"Y",IF(4=MATCH($D168,$B$4:$F$4,0),1,0),IF(4=MATCH($D168,$B$4:$F$4,0),$G168+(1-$G168)/(5-MATCH($D168,$B$4:$F$4,0)+1),(1-$G168)/(5-MATCH($D168,$B$4:$F$4,0)+1))))),0)</f>
        <v>0</v>
      </c>
      <c r="L168" s="141" t="n">
        <f aca="false">IFERROR(IF($E168&lt;&gt;"Discrete",0,IF(5&lt;MATCH($D168,$B$4:$F$4,0),0,IF($F168&lt;&gt;"Y",IF(5=MATCH($D168,$B$4:$F$4,0),1,0),IF(5=MATCH($D168,$B$4:$F$4,0),$G168+(1-$G168)/(5-MATCH($D168,$B$4:$F$4,0)+1),(1-$G168)/(5-MATCH($D168,$B$4:$F$4,0)+1))))),0)</f>
        <v>0</v>
      </c>
    </row>
    <row r="169" customFormat="false" ht="14.25" hidden="false" customHeight="true" outlineLevel="0" collapsed="false">
      <c r="A169" s="139" t="n">
        <f aca="false">WP_상세!A166</f>
        <v>162</v>
      </c>
      <c r="B169" s="139" t="str">
        <f aca="false">WP_상세!B166</f>
        <v>HWE.2</v>
      </c>
      <c r="C169" s="139" t="str">
        <f aca="false">WP_상세!F166</f>
        <v>Consistency Evidence / HW설계-HW요구사항 추적성 매트릭스</v>
      </c>
      <c r="D169" s="139" t="str">
        <f aca="false">WP_상세!G166</f>
        <v>M-Car</v>
      </c>
      <c r="E169" s="139" t="str">
        <f aca="false">WP_상세!H166</f>
        <v>Discrete</v>
      </c>
      <c r="F169" s="139" t="str">
        <f aca="false">WP_상세!I166</f>
        <v>N</v>
      </c>
      <c r="G169" s="140" t="n">
        <f aca="false">WP_상세!J166</f>
        <v>1</v>
      </c>
      <c r="H169" s="141" t="n">
        <f aca="false">IFERROR(IF($E169&lt;&gt;"Discrete",0,IF(1&lt;MATCH($D169,$B$4:$F$4,0),0,IF($F169&lt;&gt;"Y",IF(1=MATCH($D169,$B$4:$F$4,0),1,0),IF(1=MATCH($D169,$B$4:$F$4,0),$G169+(1-$G169)/(5-MATCH($D169,$B$4:$F$4,0)+1),(1-$G169)/(5-MATCH($D169,$B$4:$F$4,0)+1))))),0)</f>
        <v>1</v>
      </c>
      <c r="I169" s="141" t="n">
        <f aca="false">IFERROR(IF($E169&lt;&gt;"Discrete",0,IF(2&lt;MATCH($D169,$B$4:$F$4,0),0,IF($F169&lt;&gt;"Y",IF(2=MATCH($D169,$B$4:$F$4,0),1,0),IF(2=MATCH($D169,$B$4:$F$4,0),$G169+(1-$G169)/(5-MATCH($D169,$B$4:$F$4,0)+1),(1-$G169)/(5-MATCH($D169,$B$4:$F$4,0)+1))))),0)</f>
        <v>0</v>
      </c>
      <c r="J169" s="141" t="n">
        <f aca="false">IFERROR(IF($E169&lt;&gt;"Discrete",0,IF(3&lt;MATCH($D169,$B$4:$F$4,0),0,IF($F169&lt;&gt;"Y",IF(3=MATCH($D169,$B$4:$F$4,0),1,0),IF(3=MATCH($D169,$B$4:$F$4,0),$G169+(1-$G169)/(5-MATCH($D169,$B$4:$F$4,0)+1),(1-$G169)/(5-MATCH($D169,$B$4:$F$4,0)+1))))),0)</f>
        <v>0</v>
      </c>
      <c r="K169" s="141" t="n">
        <f aca="false">IFERROR(IF($E169&lt;&gt;"Discrete",0,IF(4&lt;MATCH($D169,$B$4:$F$4,0),0,IF($F169&lt;&gt;"Y",IF(4=MATCH($D169,$B$4:$F$4,0),1,0),IF(4=MATCH($D169,$B$4:$F$4,0),$G169+(1-$G169)/(5-MATCH($D169,$B$4:$F$4,0)+1),(1-$G169)/(5-MATCH($D169,$B$4:$F$4,0)+1))))),0)</f>
        <v>0</v>
      </c>
      <c r="L169" s="141" t="n">
        <f aca="false">IFERROR(IF($E169&lt;&gt;"Discrete",0,IF(5&lt;MATCH($D169,$B$4:$F$4,0),0,IF($F169&lt;&gt;"Y",IF(5=MATCH($D169,$B$4:$F$4,0),1,0),IF(5=MATCH($D169,$B$4:$F$4,0),$G169+(1-$G169)/(5-MATCH($D169,$B$4:$F$4,0)+1),(1-$G169)/(5-MATCH($D169,$B$4:$F$4,0)+1))))),0)</f>
        <v>0</v>
      </c>
    </row>
    <row r="170" customFormat="false" ht="14.25" hidden="false" customHeight="true" outlineLevel="0" collapsed="false">
      <c r="A170" s="139" t="n">
        <f aca="false">WP_상세!A167</f>
        <v>163</v>
      </c>
      <c r="B170" s="139" t="str">
        <f aca="false">WP_상세!B167</f>
        <v>HWE.2</v>
      </c>
      <c r="C170" s="139" t="str">
        <f aca="false">WP_상세!F167</f>
        <v>Communication Evidence / 합의된 HW아키텍처/상세설계 공유기록</v>
      </c>
      <c r="D170" s="139" t="str">
        <f aca="false">WP_상세!G167</f>
        <v>M-Car</v>
      </c>
      <c r="E170" s="139" t="str">
        <f aca="false">WP_상세!H167</f>
        <v>Discrete</v>
      </c>
      <c r="F170" s="139" t="str">
        <f aca="false">WP_상세!I167</f>
        <v>N</v>
      </c>
      <c r="G170" s="140" t="n">
        <f aca="false">WP_상세!J167</f>
        <v>1</v>
      </c>
      <c r="H170" s="141" t="n">
        <f aca="false">IFERROR(IF($E170&lt;&gt;"Discrete",0,IF(1&lt;MATCH($D170,$B$4:$F$4,0),0,IF($F170&lt;&gt;"Y",IF(1=MATCH($D170,$B$4:$F$4,0),1,0),IF(1=MATCH($D170,$B$4:$F$4,0),$G170+(1-$G170)/(5-MATCH($D170,$B$4:$F$4,0)+1),(1-$G170)/(5-MATCH($D170,$B$4:$F$4,0)+1))))),0)</f>
        <v>1</v>
      </c>
      <c r="I170" s="141" t="n">
        <f aca="false">IFERROR(IF($E170&lt;&gt;"Discrete",0,IF(2&lt;MATCH($D170,$B$4:$F$4,0),0,IF($F170&lt;&gt;"Y",IF(2=MATCH($D170,$B$4:$F$4,0),1,0),IF(2=MATCH($D170,$B$4:$F$4,0),$G170+(1-$G170)/(5-MATCH($D170,$B$4:$F$4,0)+1),(1-$G170)/(5-MATCH($D170,$B$4:$F$4,0)+1))))),0)</f>
        <v>0</v>
      </c>
      <c r="J170" s="141" t="n">
        <f aca="false">IFERROR(IF($E170&lt;&gt;"Discrete",0,IF(3&lt;MATCH($D170,$B$4:$F$4,0),0,IF($F170&lt;&gt;"Y",IF(3=MATCH($D170,$B$4:$F$4,0),1,0),IF(3=MATCH($D170,$B$4:$F$4,0),$G170+(1-$G170)/(5-MATCH($D170,$B$4:$F$4,0)+1),(1-$G170)/(5-MATCH($D170,$B$4:$F$4,0)+1))))),0)</f>
        <v>0</v>
      </c>
      <c r="K170" s="141" t="n">
        <f aca="false">IFERROR(IF($E170&lt;&gt;"Discrete",0,IF(4&lt;MATCH($D170,$B$4:$F$4,0),0,IF($F170&lt;&gt;"Y",IF(4=MATCH($D170,$B$4:$F$4,0),1,0),IF(4=MATCH($D170,$B$4:$F$4,0),$G170+(1-$G170)/(5-MATCH($D170,$B$4:$F$4,0)+1),(1-$G170)/(5-MATCH($D170,$B$4:$F$4,0)+1))))),0)</f>
        <v>0</v>
      </c>
      <c r="L170" s="141" t="n">
        <f aca="false">IFERROR(IF($E170&lt;&gt;"Discrete",0,IF(5&lt;MATCH($D170,$B$4:$F$4,0),0,IF($F170&lt;&gt;"Y",IF(5=MATCH($D170,$B$4:$F$4,0),1,0),IF(5=MATCH($D170,$B$4:$F$4,0),$G170+(1-$G170)/(5-MATCH($D170,$B$4:$F$4,0)+1),(1-$G170)/(5-MATCH($D170,$B$4:$F$4,0)+1))))),0)</f>
        <v>0</v>
      </c>
    </row>
    <row r="171" customFormat="false" ht="14.25" hidden="false" customHeight="true" outlineLevel="0" collapsed="false">
      <c r="A171" s="139" t="n">
        <f aca="false">WP_상세!A168</f>
        <v>164</v>
      </c>
      <c r="B171" s="139" t="str">
        <f aca="false">WP_상세!B168</f>
        <v>HWE.3</v>
      </c>
      <c r="C171" s="139" t="str">
        <f aca="false">WP_상세!F168</f>
        <v>Verification Measure / HW설계 검증방안서</v>
      </c>
      <c r="D171" s="139" t="str">
        <f aca="false">WP_상세!G168</f>
        <v>Proto</v>
      </c>
      <c r="E171" s="139" t="str">
        <f aca="false">WP_상세!H168</f>
        <v>Discrete</v>
      </c>
      <c r="F171" s="139" t="str">
        <f aca="false">WP_상세!I168</f>
        <v>N</v>
      </c>
      <c r="G171" s="140" t="n">
        <f aca="false">WP_상세!J168</f>
        <v>1</v>
      </c>
      <c r="H171" s="141" t="n">
        <f aca="false">IFERROR(IF($E171&lt;&gt;"Discrete",0,IF(1&lt;MATCH($D171,$B$4:$F$4,0),0,IF($F171&lt;&gt;"Y",IF(1=MATCH($D171,$B$4:$F$4,0),1,0),IF(1=MATCH($D171,$B$4:$F$4,0),$G171+(1-$G171)/(5-MATCH($D171,$B$4:$F$4,0)+1),(1-$G171)/(5-MATCH($D171,$B$4:$F$4,0)+1))))),0)</f>
        <v>0</v>
      </c>
      <c r="I171" s="141" t="n">
        <f aca="false">IFERROR(IF($E171&lt;&gt;"Discrete",0,IF(2&lt;MATCH($D171,$B$4:$F$4,0),0,IF($F171&lt;&gt;"Y",IF(2=MATCH($D171,$B$4:$F$4,0),1,0),IF(2=MATCH($D171,$B$4:$F$4,0),$G171+(1-$G171)/(5-MATCH($D171,$B$4:$F$4,0)+1),(1-$G171)/(5-MATCH($D171,$B$4:$F$4,0)+1))))),0)</f>
        <v>1</v>
      </c>
      <c r="J171" s="141" t="n">
        <f aca="false">IFERROR(IF($E171&lt;&gt;"Discrete",0,IF(3&lt;MATCH($D171,$B$4:$F$4,0),0,IF($F171&lt;&gt;"Y",IF(3=MATCH($D171,$B$4:$F$4,0),1,0),IF(3=MATCH($D171,$B$4:$F$4,0),$G171+(1-$G171)/(5-MATCH($D171,$B$4:$F$4,0)+1),(1-$G171)/(5-MATCH($D171,$B$4:$F$4,0)+1))))),0)</f>
        <v>0</v>
      </c>
      <c r="K171" s="141" t="n">
        <f aca="false">IFERROR(IF($E171&lt;&gt;"Discrete",0,IF(4&lt;MATCH($D171,$B$4:$F$4,0),0,IF($F171&lt;&gt;"Y",IF(4=MATCH($D171,$B$4:$F$4,0),1,0),IF(4=MATCH($D171,$B$4:$F$4,0),$G171+(1-$G171)/(5-MATCH($D171,$B$4:$F$4,0)+1),(1-$G171)/(5-MATCH($D171,$B$4:$F$4,0)+1))))),0)</f>
        <v>0</v>
      </c>
      <c r="L171" s="141" t="n">
        <f aca="false">IFERROR(IF($E171&lt;&gt;"Discrete",0,IF(5&lt;MATCH($D171,$B$4:$F$4,0),0,IF($F171&lt;&gt;"Y",IF(5=MATCH($D171,$B$4:$F$4,0),1,0),IF(5=MATCH($D171,$B$4:$F$4,0),$G171+(1-$G171)/(5-MATCH($D171,$B$4:$F$4,0)+1),(1-$G171)/(5-MATCH($D171,$B$4:$F$4,0)+1))))),0)</f>
        <v>0</v>
      </c>
    </row>
    <row r="172" customFormat="false" ht="14.25" hidden="false" customHeight="true" outlineLevel="0" collapsed="false">
      <c r="A172" s="139" t="n">
        <f aca="false">WP_상세!A169</f>
        <v>165</v>
      </c>
      <c r="B172" s="139" t="str">
        <f aca="false">WP_상세!B169</f>
        <v>HWE.3</v>
      </c>
      <c r="C172" s="139" t="str">
        <f aca="false">WP_상세!F169</f>
        <v>Verification Measure / 적합샘플 사용 확인기록</v>
      </c>
      <c r="D172" s="139" t="str">
        <f aca="false">WP_상세!G169</f>
        <v>Proto</v>
      </c>
      <c r="E172" s="139" t="str">
        <f aca="false">WP_상세!H169</f>
        <v>Discrete</v>
      </c>
      <c r="F172" s="139" t="str">
        <f aca="false">WP_상세!I169</f>
        <v>N</v>
      </c>
      <c r="G172" s="140" t="n">
        <f aca="false">WP_상세!J169</f>
        <v>1</v>
      </c>
      <c r="H172" s="141" t="n">
        <f aca="false">IFERROR(IF($E172&lt;&gt;"Discrete",0,IF(1&lt;MATCH($D172,$B$4:$F$4,0),0,IF($F172&lt;&gt;"Y",IF(1=MATCH($D172,$B$4:$F$4,0),1,0),IF(1=MATCH($D172,$B$4:$F$4,0),$G172+(1-$G172)/(5-MATCH($D172,$B$4:$F$4,0)+1),(1-$G172)/(5-MATCH($D172,$B$4:$F$4,0)+1))))),0)</f>
        <v>0</v>
      </c>
      <c r="I172" s="141" t="n">
        <f aca="false">IFERROR(IF($E172&lt;&gt;"Discrete",0,IF(2&lt;MATCH($D172,$B$4:$F$4,0),0,IF($F172&lt;&gt;"Y",IF(2=MATCH($D172,$B$4:$F$4,0),1,0),IF(2=MATCH($D172,$B$4:$F$4,0),$G172+(1-$G172)/(5-MATCH($D172,$B$4:$F$4,0)+1),(1-$G172)/(5-MATCH($D172,$B$4:$F$4,0)+1))))),0)</f>
        <v>1</v>
      </c>
      <c r="J172" s="141" t="n">
        <f aca="false">IFERROR(IF($E172&lt;&gt;"Discrete",0,IF(3&lt;MATCH($D172,$B$4:$F$4,0),0,IF($F172&lt;&gt;"Y",IF(3=MATCH($D172,$B$4:$F$4,0),1,0),IF(3=MATCH($D172,$B$4:$F$4,0),$G172+(1-$G172)/(5-MATCH($D172,$B$4:$F$4,0)+1),(1-$G172)/(5-MATCH($D172,$B$4:$F$4,0)+1))))),0)</f>
        <v>0</v>
      </c>
      <c r="K172" s="141" t="n">
        <f aca="false">IFERROR(IF($E172&lt;&gt;"Discrete",0,IF(4&lt;MATCH($D172,$B$4:$F$4,0),0,IF($F172&lt;&gt;"Y",IF(4=MATCH($D172,$B$4:$F$4,0),1,0),IF(4=MATCH($D172,$B$4:$F$4,0),$G172+(1-$G172)/(5-MATCH($D172,$B$4:$F$4,0)+1),(1-$G172)/(5-MATCH($D172,$B$4:$F$4,0)+1))))),0)</f>
        <v>0</v>
      </c>
      <c r="L172" s="141" t="n">
        <f aca="false">IFERROR(IF($E172&lt;&gt;"Discrete",0,IF(5&lt;MATCH($D172,$B$4:$F$4,0),0,IF($F172&lt;&gt;"Y",IF(5=MATCH($D172,$B$4:$F$4,0),1,0),IF(5=MATCH($D172,$B$4:$F$4,0),$G172+(1-$G172)/(5-MATCH($D172,$B$4:$F$4,0)+1),(1-$G172)/(5-MATCH($D172,$B$4:$F$4,0)+1))))),0)</f>
        <v>0</v>
      </c>
    </row>
    <row r="173" customFormat="false" ht="14.25" hidden="false" customHeight="true" outlineLevel="0" collapsed="false">
      <c r="A173" s="139" t="n">
        <f aca="false">WP_상세!A170</f>
        <v>166</v>
      </c>
      <c r="B173" s="139" t="str">
        <f aca="false">WP_상세!B170</f>
        <v>HWE.3</v>
      </c>
      <c r="C173" s="139" t="str">
        <f aca="false">WP_상세!F170</f>
        <v>Verification Measure Selection Set / HW설계 검증방안 선정목록</v>
      </c>
      <c r="D173" s="139" t="str">
        <f aca="false">WP_상세!G170</f>
        <v>Proto</v>
      </c>
      <c r="E173" s="139" t="str">
        <f aca="false">WP_상세!H170</f>
        <v>Discrete</v>
      </c>
      <c r="F173" s="139" t="str">
        <f aca="false">WP_상세!I170</f>
        <v>N</v>
      </c>
      <c r="G173" s="140" t="n">
        <f aca="false">WP_상세!J170</f>
        <v>1</v>
      </c>
      <c r="H173" s="141" t="n">
        <f aca="false">IFERROR(IF($E173&lt;&gt;"Discrete",0,IF(1&lt;MATCH($D173,$B$4:$F$4,0),0,IF($F173&lt;&gt;"Y",IF(1=MATCH($D173,$B$4:$F$4,0),1,0),IF(1=MATCH($D173,$B$4:$F$4,0),$G173+(1-$G173)/(5-MATCH($D173,$B$4:$F$4,0)+1),(1-$G173)/(5-MATCH($D173,$B$4:$F$4,0)+1))))),0)</f>
        <v>0</v>
      </c>
      <c r="I173" s="141" t="n">
        <f aca="false">IFERROR(IF($E173&lt;&gt;"Discrete",0,IF(2&lt;MATCH($D173,$B$4:$F$4,0),0,IF($F173&lt;&gt;"Y",IF(2=MATCH($D173,$B$4:$F$4,0),1,0),IF(2=MATCH($D173,$B$4:$F$4,0),$G173+(1-$G173)/(5-MATCH($D173,$B$4:$F$4,0)+1),(1-$G173)/(5-MATCH($D173,$B$4:$F$4,0)+1))))),0)</f>
        <v>1</v>
      </c>
      <c r="J173" s="141" t="n">
        <f aca="false">IFERROR(IF($E173&lt;&gt;"Discrete",0,IF(3&lt;MATCH($D173,$B$4:$F$4,0),0,IF($F173&lt;&gt;"Y",IF(3=MATCH($D173,$B$4:$F$4,0),1,0),IF(3=MATCH($D173,$B$4:$F$4,0),$G173+(1-$G173)/(5-MATCH($D173,$B$4:$F$4,0)+1),(1-$G173)/(5-MATCH($D173,$B$4:$F$4,0)+1))))),0)</f>
        <v>0</v>
      </c>
      <c r="K173" s="141" t="n">
        <f aca="false">IFERROR(IF($E173&lt;&gt;"Discrete",0,IF(4&lt;MATCH($D173,$B$4:$F$4,0),0,IF($F173&lt;&gt;"Y",IF(4=MATCH($D173,$B$4:$F$4,0),1,0),IF(4=MATCH($D173,$B$4:$F$4,0),$G173+(1-$G173)/(5-MATCH($D173,$B$4:$F$4,0)+1),(1-$G173)/(5-MATCH($D173,$B$4:$F$4,0)+1))))),0)</f>
        <v>0</v>
      </c>
      <c r="L173" s="141" t="n">
        <f aca="false">IFERROR(IF($E173&lt;&gt;"Discrete",0,IF(5&lt;MATCH($D173,$B$4:$F$4,0),0,IF($F173&lt;&gt;"Y",IF(5=MATCH($D173,$B$4:$F$4,0),1,0),IF(5=MATCH($D173,$B$4:$F$4,0),$G173+(1-$G173)/(5-MATCH($D173,$B$4:$F$4,0)+1),(1-$G173)/(5-MATCH($D173,$B$4:$F$4,0)+1))))),0)</f>
        <v>0</v>
      </c>
    </row>
    <row r="174" customFormat="false" ht="14.25" hidden="false" customHeight="true" outlineLevel="0" collapsed="false">
      <c r="A174" s="139" t="n">
        <f aca="false">WP_상세!A171</f>
        <v>167</v>
      </c>
      <c r="B174" s="139" t="str">
        <f aca="false">WP_상세!B171</f>
        <v>HWE.3</v>
      </c>
      <c r="C174" s="139" t="str">
        <f aca="false">WP_상세!F171</f>
        <v>Verification Results / 하드웨어 설계검증 결과서</v>
      </c>
      <c r="D174" s="139" t="str">
        <f aca="false">WP_상세!G171</f>
        <v>P1</v>
      </c>
      <c r="E174" s="139" t="str">
        <f aca="false">WP_상세!H171</f>
        <v>Discrete</v>
      </c>
      <c r="F174" s="139" t="str">
        <f aca="false">WP_상세!I171</f>
        <v>N</v>
      </c>
      <c r="G174" s="140" t="n">
        <f aca="false">WP_상세!J171</f>
        <v>1</v>
      </c>
      <c r="H174" s="141" t="n">
        <f aca="false">IFERROR(IF($E174&lt;&gt;"Discrete",0,IF(1&lt;MATCH($D174,$B$4:$F$4,0),0,IF($F174&lt;&gt;"Y",IF(1=MATCH($D174,$B$4:$F$4,0),1,0),IF(1=MATCH($D174,$B$4:$F$4,0),$G174+(1-$G174)/(5-MATCH($D174,$B$4:$F$4,0)+1),(1-$G174)/(5-MATCH($D174,$B$4:$F$4,0)+1))))),0)</f>
        <v>0</v>
      </c>
      <c r="I174" s="141" t="n">
        <f aca="false">IFERROR(IF($E174&lt;&gt;"Discrete",0,IF(2&lt;MATCH($D174,$B$4:$F$4,0),0,IF($F174&lt;&gt;"Y",IF(2=MATCH($D174,$B$4:$F$4,0),1,0),IF(2=MATCH($D174,$B$4:$F$4,0),$G174+(1-$G174)/(5-MATCH($D174,$B$4:$F$4,0)+1),(1-$G174)/(5-MATCH($D174,$B$4:$F$4,0)+1))))),0)</f>
        <v>0</v>
      </c>
      <c r="J174" s="141" t="n">
        <f aca="false">IFERROR(IF($E174&lt;&gt;"Discrete",0,IF(3&lt;MATCH($D174,$B$4:$F$4,0),0,IF($F174&lt;&gt;"Y",IF(3=MATCH($D174,$B$4:$F$4,0),1,0),IF(3=MATCH($D174,$B$4:$F$4,0),$G174+(1-$G174)/(5-MATCH($D174,$B$4:$F$4,0)+1),(1-$G174)/(5-MATCH($D174,$B$4:$F$4,0)+1))))),0)</f>
        <v>1</v>
      </c>
      <c r="K174" s="141" t="n">
        <f aca="false">IFERROR(IF($E174&lt;&gt;"Discrete",0,IF(4&lt;MATCH($D174,$B$4:$F$4,0),0,IF($F174&lt;&gt;"Y",IF(4=MATCH($D174,$B$4:$F$4,0),1,0),IF(4=MATCH($D174,$B$4:$F$4,0),$G174+(1-$G174)/(5-MATCH($D174,$B$4:$F$4,0)+1),(1-$G174)/(5-MATCH($D174,$B$4:$F$4,0)+1))))),0)</f>
        <v>0</v>
      </c>
      <c r="L174" s="141" t="n">
        <f aca="false">IFERROR(IF($E174&lt;&gt;"Discrete",0,IF(5&lt;MATCH($D174,$B$4:$F$4,0),0,IF($F174&lt;&gt;"Y",IF(5=MATCH($D174,$B$4:$F$4,0),1,0),IF(5=MATCH($D174,$B$4:$F$4,0),$G174+(1-$G174)/(5-MATCH($D174,$B$4:$F$4,0)+1),(1-$G174)/(5-MATCH($D174,$B$4:$F$4,0)+1))))),0)</f>
        <v>0</v>
      </c>
    </row>
    <row r="175" customFormat="false" ht="14.25" hidden="false" customHeight="true" outlineLevel="0" collapsed="false">
      <c r="A175" s="139" t="n">
        <f aca="false">WP_상세!A172</f>
        <v>168</v>
      </c>
      <c r="B175" s="139" t="str">
        <f aca="false">WP_상세!B172</f>
        <v>HWE.3</v>
      </c>
      <c r="C175" s="139" t="str">
        <f aca="false">WP_상세!F172</f>
        <v>Consistency Evidence / 검증방안-HW설계/검증결과 추적성 매트릭스</v>
      </c>
      <c r="D175" s="139" t="str">
        <f aca="false">WP_상세!G172</f>
        <v>P1</v>
      </c>
      <c r="E175" s="139" t="str">
        <f aca="false">WP_상세!H172</f>
        <v>Discrete</v>
      </c>
      <c r="F175" s="139" t="str">
        <f aca="false">WP_상세!I172</f>
        <v>N</v>
      </c>
      <c r="G175" s="140" t="n">
        <f aca="false">WP_상세!J172</f>
        <v>1</v>
      </c>
      <c r="H175" s="141" t="n">
        <f aca="false">IFERROR(IF($E175&lt;&gt;"Discrete",0,IF(1&lt;MATCH($D175,$B$4:$F$4,0),0,IF($F175&lt;&gt;"Y",IF(1=MATCH($D175,$B$4:$F$4,0),1,0),IF(1=MATCH($D175,$B$4:$F$4,0),$G175+(1-$G175)/(5-MATCH($D175,$B$4:$F$4,0)+1),(1-$G175)/(5-MATCH($D175,$B$4:$F$4,0)+1))))),0)</f>
        <v>0</v>
      </c>
      <c r="I175" s="141" t="n">
        <f aca="false">IFERROR(IF($E175&lt;&gt;"Discrete",0,IF(2&lt;MATCH($D175,$B$4:$F$4,0),0,IF($F175&lt;&gt;"Y",IF(2=MATCH($D175,$B$4:$F$4,0),1,0),IF(2=MATCH($D175,$B$4:$F$4,0),$G175+(1-$G175)/(5-MATCH($D175,$B$4:$F$4,0)+1),(1-$G175)/(5-MATCH($D175,$B$4:$F$4,0)+1))))),0)</f>
        <v>0</v>
      </c>
      <c r="J175" s="141" t="n">
        <f aca="false">IFERROR(IF($E175&lt;&gt;"Discrete",0,IF(3&lt;MATCH($D175,$B$4:$F$4,0),0,IF($F175&lt;&gt;"Y",IF(3=MATCH($D175,$B$4:$F$4,0),1,0),IF(3=MATCH($D175,$B$4:$F$4,0),$G175+(1-$G175)/(5-MATCH($D175,$B$4:$F$4,0)+1),(1-$G175)/(5-MATCH($D175,$B$4:$F$4,0)+1))))),0)</f>
        <v>1</v>
      </c>
      <c r="K175" s="141" t="n">
        <f aca="false">IFERROR(IF($E175&lt;&gt;"Discrete",0,IF(4&lt;MATCH($D175,$B$4:$F$4,0),0,IF($F175&lt;&gt;"Y",IF(4=MATCH($D175,$B$4:$F$4,0),1,0),IF(4=MATCH($D175,$B$4:$F$4,0),$G175+(1-$G175)/(5-MATCH($D175,$B$4:$F$4,0)+1),(1-$G175)/(5-MATCH($D175,$B$4:$F$4,0)+1))))),0)</f>
        <v>0</v>
      </c>
      <c r="L175" s="141" t="n">
        <f aca="false">IFERROR(IF($E175&lt;&gt;"Discrete",0,IF(5&lt;MATCH($D175,$B$4:$F$4,0),0,IF($F175&lt;&gt;"Y",IF(5=MATCH($D175,$B$4:$F$4,0),1,0),IF(5=MATCH($D175,$B$4:$F$4,0),$G175+(1-$G175)/(5-MATCH($D175,$B$4:$F$4,0)+1),(1-$G175)/(5-MATCH($D175,$B$4:$F$4,0)+1))))),0)</f>
        <v>0</v>
      </c>
    </row>
    <row r="176" customFormat="false" ht="14.25" hidden="false" customHeight="true" outlineLevel="0" collapsed="false">
      <c r="A176" s="139" t="n">
        <f aca="false">WP_상세!A173</f>
        <v>169</v>
      </c>
      <c r="B176" s="139" t="str">
        <f aca="false">WP_상세!B173</f>
        <v>HWE.3</v>
      </c>
      <c r="C176" s="139" t="str">
        <f aca="false">WP_상세!F173</f>
        <v>Communication Evidence / HW설계검증 결과 요약보고서</v>
      </c>
      <c r="D176" s="139" t="str">
        <f aca="false">WP_상세!G173</f>
        <v>P1</v>
      </c>
      <c r="E176" s="139" t="str">
        <f aca="false">WP_상세!H173</f>
        <v>Discrete</v>
      </c>
      <c r="F176" s="139" t="str">
        <f aca="false">WP_상세!I173</f>
        <v>N</v>
      </c>
      <c r="G176" s="140" t="n">
        <f aca="false">WP_상세!J173</f>
        <v>1</v>
      </c>
      <c r="H176" s="141" t="n">
        <f aca="false">IFERROR(IF($E176&lt;&gt;"Discrete",0,IF(1&lt;MATCH($D176,$B$4:$F$4,0),0,IF($F176&lt;&gt;"Y",IF(1=MATCH($D176,$B$4:$F$4,0),1,0),IF(1=MATCH($D176,$B$4:$F$4,0),$G176+(1-$G176)/(5-MATCH($D176,$B$4:$F$4,0)+1),(1-$G176)/(5-MATCH($D176,$B$4:$F$4,0)+1))))),0)</f>
        <v>0</v>
      </c>
      <c r="I176" s="141" t="n">
        <f aca="false">IFERROR(IF($E176&lt;&gt;"Discrete",0,IF(2&lt;MATCH($D176,$B$4:$F$4,0),0,IF($F176&lt;&gt;"Y",IF(2=MATCH($D176,$B$4:$F$4,0),1,0),IF(2=MATCH($D176,$B$4:$F$4,0),$G176+(1-$G176)/(5-MATCH($D176,$B$4:$F$4,0)+1),(1-$G176)/(5-MATCH($D176,$B$4:$F$4,0)+1))))),0)</f>
        <v>0</v>
      </c>
      <c r="J176" s="141" t="n">
        <f aca="false">IFERROR(IF($E176&lt;&gt;"Discrete",0,IF(3&lt;MATCH($D176,$B$4:$F$4,0),0,IF($F176&lt;&gt;"Y",IF(3=MATCH($D176,$B$4:$F$4,0),1,0),IF(3=MATCH($D176,$B$4:$F$4,0),$G176+(1-$G176)/(5-MATCH($D176,$B$4:$F$4,0)+1),(1-$G176)/(5-MATCH($D176,$B$4:$F$4,0)+1))))),0)</f>
        <v>1</v>
      </c>
      <c r="K176" s="141" t="n">
        <f aca="false">IFERROR(IF($E176&lt;&gt;"Discrete",0,IF(4&lt;MATCH($D176,$B$4:$F$4,0),0,IF($F176&lt;&gt;"Y",IF(4=MATCH($D176,$B$4:$F$4,0),1,0),IF(4=MATCH($D176,$B$4:$F$4,0),$G176+(1-$G176)/(5-MATCH($D176,$B$4:$F$4,0)+1),(1-$G176)/(5-MATCH($D176,$B$4:$F$4,0)+1))))),0)</f>
        <v>0</v>
      </c>
      <c r="L176" s="141" t="n">
        <f aca="false">IFERROR(IF($E176&lt;&gt;"Discrete",0,IF(5&lt;MATCH($D176,$B$4:$F$4,0),0,IF($F176&lt;&gt;"Y",IF(5=MATCH($D176,$B$4:$F$4,0),1,0),IF(5=MATCH($D176,$B$4:$F$4,0),$G176+(1-$G176)/(5-MATCH($D176,$B$4:$F$4,0)+1),(1-$G176)/(5-MATCH($D176,$B$4:$F$4,0)+1))))),0)</f>
        <v>0</v>
      </c>
    </row>
    <row r="177" customFormat="false" ht="14.25" hidden="false" customHeight="true" outlineLevel="0" collapsed="false">
      <c r="A177" s="139" t="n">
        <f aca="false">WP_상세!A174</f>
        <v>170</v>
      </c>
      <c r="B177" s="139" t="str">
        <f aca="false">WP_상세!B174</f>
        <v>HWE.4</v>
      </c>
      <c r="C177" s="139" t="str">
        <f aca="false">WP_상세!F174</f>
        <v>Verification Measure / HW요구사항 검증방안서</v>
      </c>
      <c r="D177" s="139" t="str">
        <f aca="false">WP_상세!G174</f>
        <v>P1</v>
      </c>
      <c r="E177" s="139" t="str">
        <f aca="false">WP_상세!H174</f>
        <v>Discrete</v>
      </c>
      <c r="F177" s="139" t="str">
        <f aca="false">WP_상세!I174</f>
        <v>N</v>
      </c>
      <c r="G177" s="140" t="n">
        <f aca="false">WP_상세!J174</f>
        <v>1</v>
      </c>
      <c r="H177" s="141" t="n">
        <f aca="false">IFERROR(IF($E177&lt;&gt;"Discrete",0,IF(1&lt;MATCH($D177,$B$4:$F$4,0),0,IF($F177&lt;&gt;"Y",IF(1=MATCH($D177,$B$4:$F$4,0),1,0),IF(1=MATCH($D177,$B$4:$F$4,0),$G177+(1-$G177)/(5-MATCH($D177,$B$4:$F$4,0)+1),(1-$G177)/(5-MATCH($D177,$B$4:$F$4,0)+1))))),0)</f>
        <v>0</v>
      </c>
      <c r="I177" s="141" t="n">
        <f aca="false">IFERROR(IF($E177&lt;&gt;"Discrete",0,IF(2&lt;MATCH($D177,$B$4:$F$4,0),0,IF($F177&lt;&gt;"Y",IF(2=MATCH($D177,$B$4:$F$4,0),1,0),IF(2=MATCH($D177,$B$4:$F$4,0),$G177+(1-$G177)/(5-MATCH($D177,$B$4:$F$4,0)+1),(1-$G177)/(5-MATCH($D177,$B$4:$F$4,0)+1))))),0)</f>
        <v>0</v>
      </c>
      <c r="J177" s="141" t="n">
        <f aca="false">IFERROR(IF($E177&lt;&gt;"Discrete",0,IF(3&lt;MATCH($D177,$B$4:$F$4,0),0,IF($F177&lt;&gt;"Y",IF(3=MATCH($D177,$B$4:$F$4,0),1,0),IF(3=MATCH($D177,$B$4:$F$4,0),$G177+(1-$G177)/(5-MATCH($D177,$B$4:$F$4,0)+1),(1-$G177)/(5-MATCH($D177,$B$4:$F$4,0)+1))))),0)</f>
        <v>1</v>
      </c>
      <c r="K177" s="141" t="n">
        <f aca="false">IFERROR(IF($E177&lt;&gt;"Discrete",0,IF(4&lt;MATCH($D177,$B$4:$F$4,0),0,IF($F177&lt;&gt;"Y",IF(4=MATCH($D177,$B$4:$F$4,0),1,0),IF(4=MATCH($D177,$B$4:$F$4,0),$G177+(1-$G177)/(5-MATCH($D177,$B$4:$F$4,0)+1),(1-$G177)/(5-MATCH($D177,$B$4:$F$4,0)+1))))),0)</f>
        <v>0</v>
      </c>
      <c r="L177" s="141" t="n">
        <f aca="false">IFERROR(IF($E177&lt;&gt;"Discrete",0,IF(5&lt;MATCH($D177,$B$4:$F$4,0),0,IF($F177&lt;&gt;"Y",IF(5=MATCH($D177,$B$4:$F$4,0),1,0),IF(5=MATCH($D177,$B$4:$F$4,0),$G177+(1-$G177)/(5-MATCH($D177,$B$4:$F$4,0)+1),(1-$G177)/(5-MATCH($D177,$B$4:$F$4,0)+1))))),0)</f>
        <v>0</v>
      </c>
    </row>
    <row r="178" customFormat="false" ht="14.25" hidden="false" customHeight="true" outlineLevel="0" collapsed="false">
      <c r="A178" s="139" t="n">
        <f aca="false">WP_상세!A175</f>
        <v>171</v>
      </c>
      <c r="B178" s="139" t="str">
        <f aca="false">WP_상세!B175</f>
        <v>HWE.4</v>
      </c>
      <c r="C178" s="139" t="str">
        <f aca="false">WP_상세!F175</f>
        <v>Verification Measure / 적합샘플 사용 확인기록</v>
      </c>
      <c r="D178" s="139" t="str">
        <f aca="false">WP_상세!G175</f>
        <v>P1</v>
      </c>
      <c r="E178" s="139" t="str">
        <f aca="false">WP_상세!H175</f>
        <v>Discrete</v>
      </c>
      <c r="F178" s="139" t="str">
        <f aca="false">WP_상세!I175</f>
        <v>N</v>
      </c>
      <c r="G178" s="140" t="n">
        <f aca="false">WP_상세!J175</f>
        <v>1</v>
      </c>
      <c r="H178" s="141" t="n">
        <f aca="false">IFERROR(IF($E178&lt;&gt;"Discrete",0,IF(1&lt;MATCH($D178,$B$4:$F$4,0),0,IF($F178&lt;&gt;"Y",IF(1=MATCH($D178,$B$4:$F$4,0),1,0),IF(1=MATCH($D178,$B$4:$F$4,0),$G178+(1-$G178)/(5-MATCH($D178,$B$4:$F$4,0)+1),(1-$G178)/(5-MATCH($D178,$B$4:$F$4,0)+1))))),0)</f>
        <v>0</v>
      </c>
      <c r="I178" s="141" t="n">
        <f aca="false">IFERROR(IF($E178&lt;&gt;"Discrete",0,IF(2&lt;MATCH($D178,$B$4:$F$4,0),0,IF($F178&lt;&gt;"Y",IF(2=MATCH($D178,$B$4:$F$4,0),1,0),IF(2=MATCH($D178,$B$4:$F$4,0),$G178+(1-$G178)/(5-MATCH($D178,$B$4:$F$4,0)+1),(1-$G178)/(5-MATCH($D178,$B$4:$F$4,0)+1))))),0)</f>
        <v>0</v>
      </c>
      <c r="J178" s="141" t="n">
        <f aca="false">IFERROR(IF($E178&lt;&gt;"Discrete",0,IF(3&lt;MATCH($D178,$B$4:$F$4,0),0,IF($F178&lt;&gt;"Y",IF(3=MATCH($D178,$B$4:$F$4,0),1,0),IF(3=MATCH($D178,$B$4:$F$4,0),$G178+(1-$G178)/(5-MATCH($D178,$B$4:$F$4,0)+1),(1-$G178)/(5-MATCH($D178,$B$4:$F$4,0)+1))))),0)</f>
        <v>1</v>
      </c>
      <c r="K178" s="141" t="n">
        <f aca="false">IFERROR(IF($E178&lt;&gt;"Discrete",0,IF(4&lt;MATCH($D178,$B$4:$F$4,0),0,IF($F178&lt;&gt;"Y",IF(4=MATCH($D178,$B$4:$F$4,0),1,0),IF(4=MATCH($D178,$B$4:$F$4,0),$G178+(1-$G178)/(5-MATCH($D178,$B$4:$F$4,0)+1),(1-$G178)/(5-MATCH($D178,$B$4:$F$4,0)+1))))),0)</f>
        <v>0</v>
      </c>
      <c r="L178" s="141" t="n">
        <f aca="false">IFERROR(IF($E178&lt;&gt;"Discrete",0,IF(5&lt;MATCH($D178,$B$4:$F$4,0),0,IF($F178&lt;&gt;"Y",IF(5=MATCH($D178,$B$4:$F$4,0),1,0),IF(5=MATCH($D178,$B$4:$F$4,0),$G178+(1-$G178)/(5-MATCH($D178,$B$4:$F$4,0)+1),(1-$G178)/(5-MATCH($D178,$B$4:$F$4,0)+1))))),0)</f>
        <v>0</v>
      </c>
    </row>
    <row r="179" customFormat="false" ht="14.25" hidden="false" customHeight="true" outlineLevel="0" collapsed="false">
      <c r="A179" s="139" t="n">
        <f aca="false">WP_상세!A176</f>
        <v>172</v>
      </c>
      <c r="B179" s="139" t="str">
        <f aca="false">WP_상세!B176</f>
        <v>HWE.4</v>
      </c>
      <c r="C179" s="139" t="str">
        <f aca="false">WP_상세!F176</f>
        <v>Verification Measure Selection Set / HW요구사항 검증방안 선정목록</v>
      </c>
      <c r="D179" s="139" t="str">
        <f aca="false">WP_상세!G176</f>
        <v>P1</v>
      </c>
      <c r="E179" s="139" t="str">
        <f aca="false">WP_상세!H176</f>
        <v>Discrete</v>
      </c>
      <c r="F179" s="139" t="str">
        <f aca="false">WP_상세!I176</f>
        <v>N</v>
      </c>
      <c r="G179" s="140" t="n">
        <f aca="false">WP_상세!J176</f>
        <v>1</v>
      </c>
      <c r="H179" s="141" t="n">
        <f aca="false">IFERROR(IF($E179&lt;&gt;"Discrete",0,IF(1&lt;MATCH($D179,$B$4:$F$4,0),0,IF($F179&lt;&gt;"Y",IF(1=MATCH($D179,$B$4:$F$4,0),1,0),IF(1=MATCH($D179,$B$4:$F$4,0),$G179+(1-$G179)/(5-MATCH($D179,$B$4:$F$4,0)+1),(1-$G179)/(5-MATCH($D179,$B$4:$F$4,0)+1))))),0)</f>
        <v>0</v>
      </c>
      <c r="I179" s="141" t="n">
        <f aca="false">IFERROR(IF($E179&lt;&gt;"Discrete",0,IF(2&lt;MATCH($D179,$B$4:$F$4,0),0,IF($F179&lt;&gt;"Y",IF(2=MATCH($D179,$B$4:$F$4,0),1,0),IF(2=MATCH($D179,$B$4:$F$4,0),$G179+(1-$G179)/(5-MATCH($D179,$B$4:$F$4,0)+1),(1-$G179)/(5-MATCH($D179,$B$4:$F$4,0)+1))))),0)</f>
        <v>0</v>
      </c>
      <c r="J179" s="141" t="n">
        <f aca="false">IFERROR(IF($E179&lt;&gt;"Discrete",0,IF(3&lt;MATCH($D179,$B$4:$F$4,0),0,IF($F179&lt;&gt;"Y",IF(3=MATCH($D179,$B$4:$F$4,0),1,0),IF(3=MATCH($D179,$B$4:$F$4,0),$G179+(1-$G179)/(5-MATCH($D179,$B$4:$F$4,0)+1),(1-$G179)/(5-MATCH($D179,$B$4:$F$4,0)+1))))),0)</f>
        <v>1</v>
      </c>
      <c r="K179" s="141" t="n">
        <f aca="false">IFERROR(IF($E179&lt;&gt;"Discrete",0,IF(4&lt;MATCH($D179,$B$4:$F$4,0),0,IF($F179&lt;&gt;"Y",IF(4=MATCH($D179,$B$4:$F$4,0),1,0),IF(4=MATCH($D179,$B$4:$F$4,0),$G179+(1-$G179)/(5-MATCH($D179,$B$4:$F$4,0)+1),(1-$G179)/(5-MATCH($D179,$B$4:$F$4,0)+1))))),0)</f>
        <v>0</v>
      </c>
      <c r="L179" s="141" t="n">
        <f aca="false">IFERROR(IF($E179&lt;&gt;"Discrete",0,IF(5&lt;MATCH($D179,$B$4:$F$4,0),0,IF($F179&lt;&gt;"Y",IF(5=MATCH($D179,$B$4:$F$4,0),1,0),IF(5=MATCH($D179,$B$4:$F$4,0),$G179+(1-$G179)/(5-MATCH($D179,$B$4:$F$4,0)+1),(1-$G179)/(5-MATCH($D179,$B$4:$F$4,0)+1))))),0)</f>
        <v>0</v>
      </c>
    </row>
    <row r="180" customFormat="false" ht="14.25" hidden="false" customHeight="true" outlineLevel="0" collapsed="false">
      <c r="A180" s="139" t="n">
        <f aca="false">WP_상세!A177</f>
        <v>173</v>
      </c>
      <c r="B180" s="139" t="str">
        <f aca="false">WP_상세!B177</f>
        <v>HWE.4</v>
      </c>
      <c r="C180" s="139" t="str">
        <f aca="false">WP_상세!F177</f>
        <v>Verification Results / 적합 하드웨어 샘플 검증결과서</v>
      </c>
      <c r="D180" s="139" t="str">
        <f aca="false">WP_상세!G177</f>
        <v>P2</v>
      </c>
      <c r="E180" s="139" t="str">
        <f aca="false">WP_상세!H177</f>
        <v>Discrete</v>
      </c>
      <c r="F180" s="139" t="str">
        <f aca="false">WP_상세!I177</f>
        <v>N</v>
      </c>
      <c r="G180" s="140" t="n">
        <f aca="false">WP_상세!J177</f>
        <v>1</v>
      </c>
      <c r="H180" s="141" t="n">
        <f aca="false">IFERROR(IF($E180&lt;&gt;"Discrete",0,IF(1&lt;MATCH($D180,$B$4:$F$4,0),0,IF($F180&lt;&gt;"Y",IF(1=MATCH($D180,$B$4:$F$4,0),1,0),IF(1=MATCH($D180,$B$4:$F$4,0),$G180+(1-$G180)/(5-MATCH($D180,$B$4:$F$4,0)+1),(1-$G180)/(5-MATCH($D180,$B$4:$F$4,0)+1))))),0)</f>
        <v>0</v>
      </c>
      <c r="I180" s="141" t="n">
        <f aca="false">IFERROR(IF($E180&lt;&gt;"Discrete",0,IF(2&lt;MATCH($D180,$B$4:$F$4,0),0,IF($F180&lt;&gt;"Y",IF(2=MATCH($D180,$B$4:$F$4,0),1,0),IF(2=MATCH($D180,$B$4:$F$4,0),$G180+(1-$G180)/(5-MATCH($D180,$B$4:$F$4,0)+1),(1-$G180)/(5-MATCH($D180,$B$4:$F$4,0)+1))))),0)</f>
        <v>0</v>
      </c>
      <c r="J180" s="141" t="n">
        <f aca="false">IFERROR(IF($E180&lt;&gt;"Discrete",0,IF(3&lt;MATCH($D180,$B$4:$F$4,0),0,IF($F180&lt;&gt;"Y",IF(3=MATCH($D180,$B$4:$F$4,0),1,0),IF(3=MATCH($D180,$B$4:$F$4,0),$G180+(1-$G180)/(5-MATCH($D180,$B$4:$F$4,0)+1),(1-$G180)/(5-MATCH($D180,$B$4:$F$4,0)+1))))),0)</f>
        <v>0</v>
      </c>
      <c r="K180" s="141" t="n">
        <f aca="false">IFERROR(IF($E180&lt;&gt;"Discrete",0,IF(4&lt;MATCH($D180,$B$4:$F$4,0),0,IF($F180&lt;&gt;"Y",IF(4=MATCH($D180,$B$4:$F$4,0),1,0),IF(4=MATCH($D180,$B$4:$F$4,0),$G180+(1-$G180)/(5-MATCH($D180,$B$4:$F$4,0)+1),(1-$G180)/(5-MATCH($D180,$B$4:$F$4,0)+1))))),0)</f>
        <v>1</v>
      </c>
      <c r="L180" s="141" t="n">
        <f aca="false">IFERROR(IF($E180&lt;&gt;"Discrete",0,IF(5&lt;MATCH($D180,$B$4:$F$4,0),0,IF($F180&lt;&gt;"Y",IF(5=MATCH($D180,$B$4:$F$4,0),1,0),IF(5=MATCH($D180,$B$4:$F$4,0),$G180+(1-$G180)/(5-MATCH($D180,$B$4:$F$4,0)+1),(1-$G180)/(5-MATCH($D180,$B$4:$F$4,0)+1))))),0)</f>
        <v>0</v>
      </c>
    </row>
    <row r="181" customFormat="false" ht="14.25" hidden="false" customHeight="true" outlineLevel="0" collapsed="false">
      <c r="A181" s="139" t="n">
        <f aca="false">WP_상세!A178</f>
        <v>174</v>
      </c>
      <c r="B181" s="139" t="str">
        <f aca="false">WP_상세!B178</f>
        <v>HWE.4</v>
      </c>
      <c r="C181" s="139" t="str">
        <f aca="false">WP_상세!F178</f>
        <v>Consistency Evidence / 검증방안-HW요구사항/검증결과 추적성 매트릭스</v>
      </c>
      <c r="D181" s="139" t="str">
        <f aca="false">WP_상세!G178</f>
        <v>P2</v>
      </c>
      <c r="E181" s="139" t="str">
        <f aca="false">WP_상세!H178</f>
        <v>Discrete</v>
      </c>
      <c r="F181" s="139" t="str">
        <f aca="false">WP_상세!I178</f>
        <v>N</v>
      </c>
      <c r="G181" s="140" t="n">
        <f aca="false">WP_상세!J178</f>
        <v>1</v>
      </c>
      <c r="H181" s="141" t="n">
        <f aca="false">IFERROR(IF($E181&lt;&gt;"Discrete",0,IF(1&lt;MATCH($D181,$B$4:$F$4,0),0,IF($F181&lt;&gt;"Y",IF(1=MATCH($D181,$B$4:$F$4,0),1,0),IF(1=MATCH($D181,$B$4:$F$4,0),$G181+(1-$G181)/(5-MATCH($D181,$B$4:$F$4,0)+1),(1-$G181)/(5-MATCH($D181,$B$4:$F$4,0)+1))))),0)</f>
        <v>0</v>
      </c>
      <c r="I181" s="141" t="n">
        <f aca="false">IFERROR(IF($E181&lt;&gt;"Discrete",0,IF(2&lt;MATCH($D181,$B$4:$F$4,0),0,IF($F181&lt;&gt;"Y",IF(2=MATCH($D181,$B$4:$F$4,0),1,0),IF(2=MATCH($D181,$B$4:$F$4,0),$G181+(1-$G181)/(5-MATCH($D181,$B$4:$F$4,0)+1),(1-$G181)/(5-MATCH($D181,$B$4:$F$4,0)+1))))),0)</f>
        <v>0</v>
      </c>
      <c r="J181" s="141" t="n">
        <f aca="false">IFERROR(IF($E181&lt;&gt;"Discrete",0,IF(3&lt;MATCH($D181,$B$4:$F$4,0),0,IF($F181&lt;&gt;"Y",IF(3=MATCH($D181,$B$4:$F$4,0),1,0),IF(3=MATCH($D181,$B$4:$F$4,0),$G181+(1-$G181)/(5-MATCH($D181,$B$4:$F$4,0)+1),(1-$G181)/(5-MATCH($D181,$B$4:$F$4,0)+1))))),0)</f>
        <v>0</v>
      </c>
      <c r="K181" s="141" t="n">
        <f aca="false">IFERROR(IF($E181&lt;&gt;"Discrete",0,IF(4&lt;MATCH($D181,$B$4:$F$4,0),0,IF($F181&lt;&gt;"Y",IF(4=MATCH($D181,$B$4:$F$4,0),1,0),IF(4=MATCH($D181,$B$4:$F$4,0),$G181+(1-$G181)/(5-MATCH($D181,$B$4:$F$4,0)+1),(1-$G181)/(5-MATCH($D181,$B$4:$F$4,0)+1))))),0)</f>
        <v>1</v>
      </c>
      <c r="L181" s="141" t="n">
        <f aca="false">IFERROR(IF($E181&lt;&gt;"Discrete",0,IF(5&lt;MATCH($D181,$B$4:$F$4,0),0,IF($F181&lt;&gt;"Y",IF(5=MATCH($D181,$B$4:$F$4,0),1,0),IF(5=MATCH($D181,$B$4:$F$4,0),$G181+(1-$G181)/(5-MATCH($D181,$B$4:$F$4,0)+1),(1-$G181)/(5-MATCH($D181,$B$4:$F$4,0)+1))))),0)</f>
        <v>0</v>
      </c>
    </row>
    <row r="182" customFormat="false" ht="14.25" hidden="false" customHeight="true" outlineLevel="0" collapsed="false">
      <c r="A182" s="139" t="n">
        <f aca="false">WP_상세!A179</f>
        <v>175</v>
      </c>
      <c r="B182" s="139" t="str">
        <f aca="false">WP_상세!B179</f>
        <v>HWE.4</v>
      </c>
      <c r="C182" s="139" t="str">
        <f aca="false">WP_상세!F179</f>
        <v>Communication Evidence / HW요구사항검증 결과 요약보고서</v>
      </c>
      <c r="D182" s="139" t="str">
        <f aca="false">WP_상세!G179</f>
        <v>P2</v>
      </c>
      <c r="E182" s="139" t="str">
        <f aca="false">WP_상세!H179</f>
        <v>Discrete</v>
      </c>
      <c r="F182" s="139" t="str">
        <f aca="false">WP_상세!I179</f>
        <v>N</v>
      </c>
      <c r="G182" s="140" t="n">
        <f aca="false">WP_상세!J179</f>
        <v>1</v>
      </c>
      <c r="H182" s="141" t="n">
        <f aca="false">IFERROR(IF($E182&lt;&gt;"Discrete",0,IF(1&lt;MATCH($D182,$B$4:$F$4,0),0,IF($F182&lt;&gt;"Y",IF(1=MATCH($D182,$B$4:$F$4,0),1,0),IF(1=MATCH($D182,$B$4:$F$4,0),$G182+(1-$G182)/(5-MATCH($D182,$B$4:$F$4,0)+1),(1-$G182)/(5-MATCH($D182,$B$4:$F$4,0)+1))))),0)</f>
        <v>0</v>
      </c>
      <c r="I182" s="141" t="n">
        <f aca="false">IFERROR(IF($E182&lt;&gt;"Discrete",0,IF(2&lt;MATCH($D182,$B$4:$F$4,0),0,IF($F182&lt;&gt;"Y",IF(2=MATCH($D182,$B$4:$F$4,0),1,0),IF(2=MATCH($D182,$B$4:$F$4,0),$G182+(1-$G182)/(5-MATCH($D182,$B$4:$F$4,0)+1),(1-$G182)/(5-MATCH($D182,$B$4:$F$4,0)+1))))),0)</f>
        <v>0</v>
      </c>
      <c r="J182" s="141" t="n">
        <f aca="false">IFERROR(IF($E182&lt;&gt;"Discrete",0,IF(3&lt;MATCH($D182,$B$4:$F$4,0),0,IF($F182&lt;&gt;"Y",IF(3=MATCH($D182,$B$4:$F$4,0),1,0),IF(3=MATCH($D182,$B$4:$F$4,0),$G182+(1-$G182)/(5-MATCH($D182,$B$4:$F$4,0)+1),(1-$G182)/(5-MATCH($D182,$B$4:$F$4,0)+1))))),0)</f>
        <v>0</v>
      </c>
      <c r="K182" s="141" t="n">
        <f aca="false">IFERROR(IF($E182&lt;&gt;"Discrete",0,IF(4&lt;MATCH($D182,$B$4:$F$4,0),0,IF($F182&lt;&gt;"Y",IF(4=MATCH($D182,$B$4:$F$4,0),1,0),IF(4=MATCH($D182,$B$4:$F$4,0),$G182+(1-$G182)/(5-MATCH($D182,$B$4:$F$4,0)+1),(1-$G182)/(5-MATCH($D182,$B$4:$F$4,0)+1))))),0)</f>
        <v>1</v>
      </c>
      <c r="L182" s="141" t="n">
        <f aca="false">IFERROR(IF($E182&lt;&gt;"Discrete",0,IF(5&lt;MATCH($D182,$B$4:$F$4,0),0,IF($F182&lt;&gt;"Y",IF(5=MATCH($D182,$B$4:$F$4,0),1,0),IF(5=MATCH($D182,$B$4:$F$4,0),$G182+(1-$G182)/(5-MATCH($D182,$B$4:$F$4,0)+1),(1-$G182)/(5-MATCH($D182,$B$4:$F$4,0)+1))))),0)</f>
        <v>0</v>
      </c>
    </row>
    <row r="183" customFormat="false" ht="14.25" hidden="false" customHeight="true" outlineLevel="0" collapsed="false">
      <c r="A183" s="9"/>
      <c r="B183" s="9"/>
      <c r="C183" s="9"/>
      <c r="D183" s="9"/>
      <c r="E183" s="9"/>
      <c r="F183" s="9"/>
      <c r="G183" s="9"/>
      <c r="H183" s="9"/>
      <c r="I183" s="9"/>
      <c r="J183" s="9"/>
      <c r="K183" s="9"/>
      <c r="L183" s="9"/>
    </row>
    <row r="184" customFormat="false" ht="14.25" hidden="false" customHeight="true" outlineLevel="0" collapsed="false">
      <c r="A184" s="9"/>
      <c r="B184" s="9"/>
      <c r="C184" s="92" t="s">
        <v>661</v>
      </c>
      <c r="D184" s="9"/>
      <c r="E184" s="9"/>
      <c r="F184" s="9"/>
      <c r="G184" s="9"/>
      <c r="H184" s="142" t="n">
        <f aca="false">SUM(H8:H182)</f>
        <v>48.12</v>
      </c>
      <c r="I184" s="142" t="n">
        <f aca="false">SUM(I8:I182)</f>
        <v>36.02</v>
      </c>
      <c r="J184" s="142" t="n">
        <f aca="false">SUM(J8:J182)</f>
        <v>33.62</v>
      </c>
      <c r="K184" s="142" t="n">
        <f aca="false">SUM(K8:K182)</f>
        <v>22.62</v>
      </c>
      <c r="L184" s="142" t="n">
        <f aca="false">SUM(L8:L182)</f>
        <v>4.62</v>
      </c>
    </row>
    <row r="185" customFormat="false" ht="16.5" hidden="false" customHeight="true" outlineLevel="0" collapsed="false">
      <c r="A185" s="9"/>
      <c r="B185" s="9"/>
      <c r="C185" s="92" t="s">
        <v>662</v>
      </c>
      <c r="D185" s="9"/>
      <c r="E185" s="9"/>
      <c r="F185" s="9"/>
      <c r="G185" s="9"/>
      <c r="H185" s="143" t="n">
        <f aca="false">SUM($H$184:H184)/SUM($H$184:$L$184)</f>
        <v>0.331862068965517</v>
      </c>
      <c r="I185" s="143" t="n">
        <f aca="false">SUM($H$184:I184)/SUM($H$184:$L$184)</f>
        <v>0.580275862068966</v>
      </c>
      <c r="J185" s="143" t="n">
        <f aca="false">SUM($H$184:J184)/SUM($H$184:$L$184)</f>
        <v>0.812137931034483</v>
      </c>
      <c r="K185" s="143" t="n">
        <f aca="false">SUM($H$184:K184)/SUM($H$184:$L$184)</f>
        <v>0.968137931034483</v>
      </c>
      <c r="L185" s="143" t="n">
        <f aca="false">SUM($H$184:L184)/SUM($H$184:$L$184)</f>
        <v>1</v>
      </c>
    </row>
    <row r="186" customFormat="false" ht="14.25" hidden="false" customHeight="true" outlineLevel="0" collapsed="false">
      <c r="A186" s="9"/>
      <c r="B186" s="9"/>
      <c r="C186" s="144" t="s">
        <v>663</v>
      </c>
      <c r="D186" s="9"/>
      <c r="E186" s="9"/>
      <c r="F186" s="9"/>
      <c r="G186" s="9"/>
      <c r="H186" s="145" t="n">
        <v>0.45985401459854</v>
      </c>
      <c r="I186" s="145" t="n">
        <v>0.64963503649635</v>
      </c>
      <c r="J186" s="145" t="n">
        <v>0.868613138686131</v>
      </c>
      <c r="K186" s="145" t="n">
        <v>1</v>
      </c>
      <c r="L186" s="145" t="n">
        <v>1</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AE3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5" ySplit="4" topLeftCell="F5" activePane="bottomRight" state="frozen"/>
      <selection pane="topLeft" activeCell="A1" activeCellId="0" sqref="A1"/>
      <selection pane="topRight" activeCell="F1" activeCellId="0" sqref="F1"/>
      <selection pane="bottomLeft" activeCell="A5" activeCellId="0" sqref="A5"/>
      <selection pane="bottomRight" activeCell="A1" activeCellId="0" sqref="A1"/>
    </sheetView>
  </sheetViews>
  <sheetFormatPr defaultColWidth="8.6328125" defaultRowHeight="14.25" zeroHeight="false" outlineLevelRow="0" outlineLevelCol="0"/>
  <cols>
    <col collapsed="false" customWidth="true" hidden="false" outlineLevel="0" max="1" min="1" style="29" width="5"/>
    <col collapsed="false" customWidth="true" hidden="false" outlineLevel="0" max="2" min="2" style="29" width="10"/>
    <col collapsed="false" customWidth="true" hidden="false" outlineLevel="0" max="3" min="3" style="29" width="20"/>
    <col collapsed="false" customWidth="true" hidden="false" outlineLevel="0" max="4" min="4" style="29" width="12"/>
    <col collapsed="false" customWidth="true" hidden="false" outlineLevel="0" max="5" min="5" style="29" width="10"/>
    <col collapsed="false" customWidth="true" hidden="false" outlineLevel="0" max="29" min="6" style="29" width="6"/>
    <col collapsed="false" customWidth="true" hidden="false" outlineLevel="0" max="31" min="30" style="29" width="10"/>
  </cols>
  <sheetData>
    <row r="4" customFormat="false" ht="25.5" hidden="false" customHeight="true" outlineLevel="0" collapsed="false">
      <c r="A4" s="64" t="s">
        <v>197</v>
      </c>
      <c r="B4" s="64" t="s">
        <v>664</v>
      </c>
      <c r="C4" s="64" t="s">
        <v>186</v>
      </c>
      <c r="D4" s="56" t="s">
        <v>191</v>
      </c>
      <c r="E4" s="56" t="s">
        <v>665</v>
      </c>
      <c r="F4" s="64" t="s">
        <v>666</v>
      </c>
      <c r="G4" s="64" t="s">
        <v>667</v>
      </c>
      <c r="H4" s="64" t="s">
        <v>668</v>
      </c>
      <c r="I4" s="64" t="s">
        <v>669</v>
      </c>
      <c r="J4" s="64" t="s">
        <v>670</v>
      </c>
      <c r="K4" s="64" t="s">
        <v>671</v>
      </c>
      <c r="L4" s="64" t="s">
        <v>672</v>
      </c>
      <c r="M4" s="64" t="s">
        <v>673</v>
      </c>
      <c r="N4" s="64" t="s">
        <v>674</v>
      </c>
      <c r="O4" s="64" t="s">
        <v>675</v>
      </c>
      <c r="P4" s="64" t="s">
        <v>676</v>
      </c>
      <c r="Q4" s="64" t="s">
        <v>677</v>
      </c>
      <c r="R4" s="64" t="s">
        <v>678</v>
      </c>
      <c r="S4" s="64" t="s">
        <v>679</v>
      </c>
      <c r="T4" s="64" t="s">
        <v>680</v>
      </c>
      <c r="U4" s="64" t="s">
        <v>681</v>
      </c>
      <c r="V4" s="64" t="s">
        <v>682</v>
      </c>
      <c r="W4" s="64" t="s">
        <v>683</v>
      </c>
      <c r="X4" s="64" t="s">
        <v>684</v>
      </c>
      <c r="Y4" s="64" t="s">
        <v>685</v>
      </c>
      <c r="Z4" s="64" t="s">
        <v>686</v>
      </c>
      <c r="AA4" s="64" t="s">
        <v>687</v>
      </c>
      <c r="AB4" s="64" t="s">
        <v>688</v>
      </c>
      <c r="AC4" s="64" t="s">
        <v>689</v>
      </c>
      <c r="AD4" s="56" t="s">
        <v>690</v>
      </c>
      <c r="AE4" s="56" t="s">
        <v>691</v>
      </c>
    </row>
    <row r="5" customFormat="false" ht="14.25" hidden="false" customHeight="true" outlineLevel="0" collapsed="false">
      <c r="A5" s="139" t="n">
        <v>1</v>
      </c>
      <c r="B5" s="139" t="s">
        <v>206</v>
      </c>
      <c r="C5" s="139" t="str">
        <f aca="false">CA_개요!C5</f>
        <v>협약/공급자 모니터링</v>
      </c>
      <c r="D5" s="139" t="str">
        <f aca="false">CA_개요!E5</f>
        <v>조달</v>
      </c>
      <c r="E5" s="141" t="n">
        <f aca="false">가정!$C$32*CA_개요!H5</f>
        <v>8</v>
      </c>
      <c r="F5" s="141" t="n">
        <f aca="false">$E5/가정!$C$31</f>
        <v>0.666666666666667</v>
      </c>
      <c r="G5" s="141" t="n">
        <f aca="false">$E5/가정!$C$31</f>
        <v>0.666666666666667</v>
      </c>
      <c r="H5" s="141" t="n">
        <f aca="false">$E5/가정!$C$31</f>
        <v>0.666666666666667</v>
      </c>
      <c r="I5" s="141" t="n">
        <f aca="false">$E5/가정!$C$31</f>
        <v>0.666666666666667</v>
      </c>
      <c r="J5" s="141" t="n">
        <f aca="false">$E5/가정!$C$31</f>
        <v>0.666666666666667</v>
      </c>
      <c r="K5" s="141" t="n">
        <f aca="false">$E5/가정!$C$31</f>
        <v>0.666666666666667</v>
      </c>
      <c r="L5" s="141" t="n">
        <f aca="false">$E5/가정!$C$31</f>
        <v>0.666666666666667</v>
      </c>
      <c r="M5" s="141" t="n">
        <f aca="false">$E5/가정!$C$31</f>
        <v>0.666666666666667</v>
      </c>
      <c r="N5" s="141" t="n">
        <f aca="false">$E5/가정!$C$31</f>
        <v>0.666666666666667</v>
      </c>
      <c r="O5" s="141" t="n">
        <f aca="false">$E5/가정!$C$31</f>
        <v>0.666666666666667</v>
      </c>
      <c r="P5" s="141" t="n">
        <f aca="false">$E5/가정!$C$31</f>
        <v>0.666666666666667</v>
      </c>
      <c r="Q5" s="141" t="n">
        <f aca="false">$E5/가정!$C$31</f>
        <v>0.666666666666667</v>
      </c>
      <c r="R5" s="146" t="n">
        <f aca="false">F5*1</f>
        <v>0.666666666666667</v>
      </c>
      <c r="S5" s="146" t="n">
        <f aca="false">G5*1</f>
        <v>0.666666666666667</v>
      </c>
      <c r="T5" s="146" t="n">
        <f aca="false">H5*1</f>
        <v>0.666666666666667</v>
      </c>
      <c r="U5" s="146" t="n">
        <f aca="false">I5*1</f>
        <v>0.666666666666667</v>
      </c>
      <c r="V5" s="146" t="n">
        <f aca="false">J5*1</f>
        <v>0.666666666666667</v>
      </c>
      <c r="W5" s="146" t="n">
        <f aca="false">K5*1</f>
        <v>0.666666666666667</v>
      </c>
      <c r="X5" s="146" t="n">
        <f aca="false">L5*1</f>
        <v>0.666666666666667</v>
      </c>
      <c r="Y5" s="146"/>
      <c r="Z5" s="146"/>
      <c r="AA5" s="146"/>
      <c r="AB5" s="146"/>
      <c r="AC5" s="146"/>
      <c r="AD5" s="141" t="n">
        <f aca="false">SUM(R5:AC5)</f>
        <v>4.66666666666667</v>
      </c>
      <c r="AE5" s="140" t="n">
        <f aca="false">IFERROR(AD5/$E5,0)</f>
        <v>0.583333333333333</v>
      </c>
    </row>
    <row r="6" customFormat="false" ht="14.25" hidden="false" customHeight="true" outlineLevel="0" collapsed="false">
      <c r="A6" s="139" t="n">
        <v>2</v>
      </c>
      <c r="B6" s="139" t="s">
        <v>212</v>
      </c>
      <c r="C6" s="139" t="str">
        <f aca="false">CA_개요!C6</f>
        <v>제품 릴리스 관리</v>
      </c>
      <c r="D6" s="139" t="str">
        <f aca="false">CA_개요!E6</f>
        <v>릴리스</v>
      </c>
      <c r="E6" s="141" t="n">
        <f aca="false">가정!$C$32*CA_개요!H6</f>
        <v>4</v>
      </c>
      <c r="F6" s="141" t="n">
        <f aca="false">$E6/가정!$C$31</f>
        <v>0.333333333333333</v>
      </c>
      <c r="G6" s="141" t="n">
        <f aca="false">$E6/가정!$C$31</f>
        <v>0.333333333333333</v>
      </c>
      <c r="H6" s="141" t="n">
        <f aca="false">$E6/가정!$C$31</f>
        <v>0.333333333333333</v>
      </c>
      <c r="I6" s="141" t="n">
        <f aca="false">$E6/가정!$C$31</f>
        <v>0.333333333333333</v>
      </c>
      <c r="J6" s="141" t="n">
        <f aca="false">$E6/가정!$C$31</f>
        <v>0.333333333333333</v>
      </c>
      <c r="K6" s="141" t="n">
        <f aca="false">$E6/가정!$C$31</f>
        <v>0.333333333333333</v>
      </c>
      <c r="L6" s="141" t="n">
        <f aca="false">$E6/가정!$C$31</f>
        <v>0.333333333333333</v>
      </c>
      <c r="M6" s="141" t="n">
        <f aca="false">$E6/가정!$C$31</f>
        <v>0.333333333333333</v>
      </c>
      <c r="N6" s="141" t="n">
        <f aca="false">$E6/가정!$C$31</f>
        <v>0.333333333333333</v>
      </c>
      <c r="O6" s="141" t="n">
        <f aca="false">$E6/가정!$C$31</f>
        <v>0.333333333333333</v>
      </c>
      <c r="P6" s="141" t="n">
        <f aca="false">$E6/가정!$C$31</f>
        <v>0.333333333333333</v>
      </c>
      <c r="Q6" s="141" t="n">
        <f aca="false">$E6/가정!$C$31</f>
        <v>0.333333333333333</v>
      </c>
      <c r="R6" s="146" t="n">
        <f aca="false">F6*1</f>
        <v>0.333333333333333</v>
      </c>
      <c r="S6" s="146" t="n">
        <f aca="false">G6*1</f>
        <v>0.333333333333333</v>
      </c>
      <c r="T6" s="146" t="n">
        <f aca="false">H6*1</f>
        <v>0.333333333333333</v>
      </c>
      <c r="U6" s="146" t="n">
        <f aca="false">I6*1</f>
        <v>0.333333333333333</v>
      </c>
      <c r="V6" s="146" t="n">
        <f aca="false">J6*1</f>
        <v>0.333333333333333</v>
      </c>
      <c r="W6" s="146" t="n">
        <f aca="false">K6*1</f>
        <v>0.333333333333333</v>
      </c>
      <c r="X6" s="146" t="n">
        <f aca="false">L6*1</f>
        <v>0.333333333333333</v>
      </c>
      <c r="Y6" s="146"/>
      <c r="Z6" s="146"/>
      <c r="AA6" s="146"/>
      <c r="AB6" s="146"/>
      <c r="AC6" s="146"/>
      <c r="AD6" s="141" t="n">
        <f aca="false">SUM(R6:AC6)</f>
        <v>2.33333333333333</v>
      </c>
      <c r="AE6" s="140" t="n">
        <f aca="false">IFERROR(AD6/$E6,0)</f>
        <v>0.583333333333333</v>
      </c>
    </row>
    <row r="7" customFormat="false" ht="14.25" hidden="false" customHeight="true" outlineLevel="0" collapsed="false">
      <c r="A7" s="139" t="n">
        <v>3</v>
      </c>
      <c r="B7" s="139" t="s">
        <v>218</v>
      </c>
      <c r="C7" s="139" t="str">
        <f aca="false">CA_개요!C7</f>
        <v>프로젝트 관리</v>
      </c>
      <c r="D7" s="139" t="str">
        <f aca="false">CA_개요!E7</f>
        <v>관리/LOE</v>
      </c>
      <c r="E7" s="141" t="n">
        <f aca="false">가정!$C$32*CA_개요!H7</f>
        <v>4.73684210526316</v>
      </c>
      <c r="F7" s="141" t="n">
        <f aca="false">$E7/가정!$C$31</f>
        <v>0.394736842105263</v>
      </c>
      <c r="G7" s="141" t="n">
        <f aca="false">$E7/가정!$C$31</f>
        <v>0.394736842105263</v>
      </c>
      <c r="H7" s="141" t="n">
        <f aca="false">$E7/가정!$C$31</f>
        <v>0.394736842105263</v>
      </c>
      <c r="I7" s="141" t="n">
        <f aca="false">$E7/가정!$C$31</f>
        <v>0.394736842105263</v>
      </c>
      <c r="J7" s="141" t="n">
        <f aca="false">$E7/가정!$C$31</f>
        <v>0.394736842105263</v>
      </c>
      <c r="K7" s="141" t="n">
        <f aca="false">$E7/가정!$C$31</f>
        <v>0.394736842105263</v>
      </c>
      <c r="L7" s="141" t="n">
        <f aca="false">$E7/가정!$C$31</f>
        <v>0.394736842105263</v>
      </c>
      <c r="M7" s="141" t="n">
        <f aca="false">$E7/가정!$C$31</f>
        <v>0.394736842105263</v>
      </c>
      <c r="N7" s="141" t="n">
        <f aca="false">$E7/가정!$C$31</f>
        <v>0.394736842105263</v>
      </c>
      <c r="O7" s="141" t="n">
        <f aca="false">$E7/가정!$C$31</f>
        <v>0.394736842105263</v>
      </c>
      <c r="P7" s="141" t="n">
        <f aca="false">$E7/가정!$C$31</f>
        <v>0.394736842105263</v>
      </c>
      <c r="Q7" s="141" t="n">
        <f aca="false">$E7/가정!$C$31</f>
        <v>0.394736842105263</v>
      </c>
      <c r="R7" s="146" t="n">
        <f aca="false">F7*1.05</f>
        <v>0.414473684210526</v>
      </c>
      <c r="S7" s="146" t="n">
        <f aca="false">G7*1.05</f>
        <v>0.414473684210526</v>
      </c>
      <c r="T7" s="146" t="n">
        <f aca="false">H7*1.05</f>
        <v>0.414473684210526</v>
      </c>
      <c r="U7" s="146" t="n">
        <f aca="false">I7*1.05</f>
        <v>0.414473684210526</v>
      </c>
      <c r="V7" s="146" t="n">
        <f aca="false">J7*1.05</f>
        <v>0.414473684210526</v>
      </c>
      <c r="W7" s="146" t="n">
        <f aca="false">K7*1.05</f>
        <v>0.414473684210526</v>
      </c>
      <c r="X7" s="146" t="n">
        <f aca="false">L7*1.05</f>
        <v>0.414473684210526</v>
      </c>
      <c r="Y7" s="146"/>
      <c r="Z7" s="146"/>
      <c r="AA7" s="146"/>
      <c r="AB7" s="146"/>
      <c r="AC7" s="146"/>
      <c r="AD7" s="141" t="n">
        <f aca="false">SUM(R7:AC7)</f>
        <v>2.90131578947368</v>
      </c>
      <c r="AE7" s="140" t="n">
        <f aca="false">IFERROR(AD7/$E7,0)</f>
        <v>0.6125</v>
      </c>
    </row>
    <row r="8" customFormat="false" ht="14.25" hidden="false" customHeight="true" outlineLevel="0" collapsed="false">
      <c r="A8" s="139" t="n">
        <v>4</v>
      </c>
      <c r="B8" s="139" t="s">
        <v>223</v>
      </c>
      <c r="C8" s="139" t="str">
        <f aca="false">CA_개요!C8</f>
        <v>품질보증(QA)</v>
      </c>
      <c r="D8" s="139" t="str">
        <f aca="false">CA_개요!E8</f>
        <v>관리/LOE</v>
      </c>
      <c r="E8" s="141" t="n">
        <f aca="false">가정!$C$32*CA_개요!H8</f>
        <v>3.31578947368421</v>
      </c>
      <c r="F8" s="141" t="n">
        <f aca="false">$E8/가정!$C$31</f>
        <v>0.276315789473684</v>
      </c>
      <c r="G8" s="141" t="n">
        <f aca="false">$E8/가정!$C$31</f>
        <v>0.276315789473684</v>
      </c>
      <c r="H8" s="141" t="n">
        <f aca="false">$E8/가정!$C$31</f>
        <v>0.276315789473684</v>
      </c>
      <c r="I8" s="141" t="n">
        <f aca="false">$E8/가정!$C$31</f>
        <v>0.276315789473684</v>
      </c>
      <c r="J8" s="141" t="n">
        <f aca="false">$E8/가정!$C$31</f>
        <v>0.276315789473684</v>
      </c>
      <c r="K8" s="141" t="n">
        <f aca="false">$E8/가정!$C$31</f>
        <v>0.276315789473684</v>
      </c>
      <c r="L8" s="141" t="n">
        <f aca="false">$E8/가정!$C$31</f>
        <v>0.276315789473684</v>
      </c>
      <c r="M8" s="141" t="n">
        <f aca="false">$E8/가정!$C$31</f>
        <v>0.276315789473684</v>
      </c>
      <c r="N8" s="141" t="n">
        <f aca="false">$E8/가정!$C$31</f>
        <v>0.276315789473684</v>
      </c>
      <c r="O8" s="141" t="n">
        <f aca="false">$E8/가정!$C$31</f>
        <v>0.276315789473684</v>
      </c>
      <c r="P8" s="141" t="n">
        <f aca="false">$E8/가정!$C$31</f>
        <v>0.276315789473684</v>
      </c>
      <c r="Q8" s="141" t="n">
        <f aca="false">$E8/가정!$C$31</f>
        <v>0.276315789473684</v>
      </c>
      <c r="R8" s="146" t="n">
        <f aca="false">F8*1</f>
        <v>0.276315789473684</v>
      </c>
      <c r="S8" s="146" t="n">
        <f aca="false">G8*1</f>
        <v>0.276315789473684</v>
      </c>
      <c r="T8" s="146" t="n">
        <f aca="false">H8*1</f>
        <v>0.276315789473684</v>
      </c>
      <c r="U8" s="146" t="n">
        <f aca="false">I8*1</f>
        <v>0.276315789473684</v>
      </c>
      <c r="V8" s="146" t="n">
        <f aca="false">J8*1</f>
        <v>0.276315789473684</v>
      </c>
      <c r="W8" s="146" t="n">
        <f aca="false">K8*1</f>
        <v>0.276315789473684</v>
      </c>
      <c r="X8" s="146" t="n">
        <f aca="false">L8*1</f>
        <v>0.276315789473684</v>
      </c>
      <c r="Y8" s="146"/>
      <c r="Z8" s="146"/>
      <c r="AA8" s="146"/>
      <c r="AB8" s="146"/>
      <c r="AC8" s="146"/>
      <c r="AD8" s="141" t="n">
        <f aca="false">SUM(R8:AC8)</f>
        <v>1.93421052631579</v>
      </c>
      <c r="AE8" s="140" t="n">
        <f aca="false">IFERROR(AD8/$E8,0)</f>
        <v>0.583333333333333</v>
      </c>
    </row>
    <row r="9" customFormat="false" ht="14.25" hidden="false" customHeight="true" outlineLevel="0" collapsed="false">
      <c r="A9" s="139" t="n">
        <v>5</v>
      </c>
      <c r="B9" s="139" t="s">
        <v>226</v>
      </c>
      <c r="C9" s="139" t="str">
        <f aca="false">CA_개요!C9</f>
        <v>형상관리(CM)</v>
      </c>
      <c r="D9" s="139" t="str">
        <f aca="false">CA_개요!E9</f>
        <v>관리/LOE</v>
      </c>
      <c r="E9" s="141" t="n">
        <f aca="false">가정!$C$32*CA_개요!H9</f>
        <v>3.78947368421053</v>
      </c>
      <c r="F9" s="141" t="n">
        <f aca="false">$E9/가정!$C$31</f>
        <v>0.31578947368421</v>
      </c>
      <c r="G9" s="141" t="n">
        <f aca="false">$E9/가정!$C$31</f>
        <v>0.31578947368421</v>
      </c>
      <c r="H9" s="141" t="n">
        <f aca="false">$E9/가정!$C$31</f>
        <v>0.31578947368421</v>
      </c>
      <c r="I9" s="141" t="n">
        <f aca="false">$E9/가정!$C$31</f>
        <v>0.31578947368421</v>
      </c>
      <c r="J9" s="141" t="n">
        <f aca="false">$E9/가정!$C$31</f>
        <v>0.31578947368421</v>
      </c>
      <c r="K9" s="141" t="n">
        <f aca="false">$E9/가정!$C$31</f>
        <v>0.31578947368421</v>
      </c>
      <c r="L9" s="141" t="n">
        <f aca="false">$E9/가정!$C$31</f>
        <v>0.31578947368421</v>
      </c>
      <c r="M9" s="141" t="n">
        <f aca="false">$E9/가정!$C$31</f>
        <v>0.31578947368421</v>
      </c>
      <c r="N9" s="141" t="n">
        <f aca="false">$E9/가정!$C$31</f>
        <v>0.31578947368421</v>
      </c>
      <c r="O9" s="141" t="n">
        <f aca="false">$E9/가정!$C$31</f>
        <v>0.31578947368421</v>
      </c>
      <c r="P9" s="141" t="n">
        <f aca="false">$E9/가정!$C$31</f>
        <v>0.31578947368421</v>
      </c>
      <c r="Q9" s="141" t="n">
        <f aca="false">$E9/가정!$C$31</f>
        <v>0.31578947368421</v>
      </c>
      <c r="R9" s="146" t="n">
        <f aca="false">F9*1</f>
        <v>0.31578947368421</v>
      </c>
      <c r="S9" s="146" t="n">
        <f aca="false">G9*1</f>
        <v>0.31578947368421</v>
      </c>
      <c r="T9" s="146" t="n">
        <f aca="false">H9*1</f>
        <v>0.31578947368421</v>
      </c>
      <c r="U9" s="146" t="n">
        <f aca="false">I9*1</f>
        <v>0.31578947368421</v>
      </c>
      <c r="V9" s="146" t="n">
        <f aca="false">J9*1</f>
        <v>0.31578947368421</v>
      </c>
      <c r="W9" s="146" t="n">
        <f aca="false">K9*1</f>
        <v>0.31578947368421</v>
      </c>
      <c r="X9" s="146" t="n">
        <f aca="false">L9*1</f>
        <v>0.31578947368421</v>
      </c>
      <c r="Y9" s="146"/>
      <c r="Z9" s="146"/>
      <c r="AA9" s="146"/>
      <c r="AB9" s="146"/>
      <c r="AC9" s="146"/>
      <c r="AD9" s="141" t="n">
        <f aca="false">SUM(R9:AC9)</f>
        <v>2.21052631578947</v>
      </c>
      <c r="AE9" s="140" t="n">
        <f aca="false">IFERROR(AD9/$E9,0)</f>
        <v>0.583333333333333</v>
      </c>
    </row>
    <row r="10" customFormat="false" ht="14.25" hidden="false" customHeight="true" outlineLevel="0" collapsed="false">
      <c r="A10" s="139" t="n">
        <v>6</v>
      </c>
      <c r="B10" s="139" t="s">
        <v>229</v>
      </c>
      <c r="C10" s="139" t="str">
        <f aca="false">CA_개요!C10</f>
        <v>문제해결관리</v>
      </c>
      <c r="D10" s="139" t="str">
        <f aca="false">CA_개요!E10</f>
        <v>관리/LOE</v>
      </c>
      <c r="E10" s="141" t="n">
        <f aca="false">가정!$C$32*CA_개요!H10</f>
        <v>3.31578947368421</v>
      </c>
      <c r="F10" s="141" t="n">
        <f aca="false">$E10/가정!$C$31</f>
        <v>0.276315789473684</v>
      </c>
      <c r="G10" s="141" t="n">
        <f aca="false">$E10/가정!$C$31</f>
        <v>0.276315789473684</v>
      </c>
      <c r="H10" s="141" t="n">
        <f aca="false">$E10/가정!$C$31</f>
        <v>0.276315789473684</v>
      </c>
      <c r="I10" s="141" t="n">
        <f aca="false">$E10/가정!$C$31</f>
        <v>0.276315789473684</v>
      </c>
      <c r="J10" s="141" t="n">
        <f aca="false">$E10/가정!$C$31</f>
        <v>0.276315789473684</v>
      </c>
      <c r="K10" s="141" t="n">
        <f aca="false">$E10/가정!$C$31</f>
        <v>0.276315789473684</v>
      </c>
      <c r="L10" s="141" t="n">
        <f aca="false">$E10/가정!$C$31</f>
        <v>0.276315789473684</v>
      </c>
      <c r="M10" s="141" t="n">
        <f aca="false">$E10/가정!$C$31</f>
        <v>0.276315789473684</v>
      </c>
      <c r="N10" s="141" t="n">
        <f aca="false">$E10/가정!$C$31</f>
        <v>0.276315789473684</v>
      </c>
      <c r="O10" s="141" t="n">
        <f aca="false">$E10/가정!$C$31</f>
        <v>0.276315789473684</v>
      </c>
      <c r="P10" s="141" t="n">
        <f aca="false">$E10/가정!$C$31</f>
        <v>0.276315789473684</v>
      </c>
      <c r="Q10" s="141" t="n">
        <f aca="false">$E10/가정!$C$31</f>
        <v>0.276315789473684</v>
      </c>
      <c r="R10" s="146" t="n">
        <f aca="false">F10*1</f>
        <v>0.276315789473684</v>
      </c>
      <c r="S10" s="146" t="n">
        <f aca="false">G10*1</f>
        <v>0.276315789473684</v>
      </c>
      <c r="T10" s="146" t="n">
        <f aca="false">H10*1</f>
        <v>0.276315789473684</v>
      </c>
      <c r="U10" s="146" t="n">
        <f aca="false">I10*1</f>
        <v>0.276315789473684</v>
      </c>
      <c r="V10" s="146" t="n">
        <f aca="false">J10*1</f>
        <v>0.276315789473684</v>
      </c>
      <c r="W10" s="146" t="n">
        <f aca="false">K10*1</f>
        <v>0.276315789473684</v>
      </c>
      <c r="X10" s="146" t="n">
        <f aca="false">L10*1</f>
        <v>0.276315789473684</v>
      </c>
      <c r="Y10" s="146"/>
      <c r="Z10" s="146"/>
      <c r="AA10" s="146"/>
      <c r="AB10" s="146"/>
      <c r="AC10" s="146"/>
      <c r="AD10" s="141" t="n">
        <f aca="false">SUM(R10:AC10)</f>
        <v>1.93421052631579</v>
      </c>
      <c r="AE10" s="140" t="n">
        <f aca="false">IFERROR(AD10/$E10,0)</f>
        <v>0.583333333333333</v>
      </c>
    </row>
    <row r="11" customFormat="false" ht="14.25" hidden="false" customHeight="true" outlineLevel="0" collapsed="false">
      <c r="A11" s="139" t="n">
        <v>7</v>
      </c>
      <c r="B11" s="139" t="s">
        <v>234</v>
      </c>
      <c r="C11" s="139" t="str">
        <f aca="false">CA_개요!C11</f>
        <v>변경요청관리</v>
      </c>
      <c r="D11" s="139" t="str">
        <f aca="false">CA_개요!E11</f>
        <v>관리/LOE</v>
      </c>
      <c r="E11" s="141" t="n">
        <f aca="false">가정!$C$32*CA_개요!H11</f>
        <v>2.84210526315789</v>
      </c>
      <c r="F11" s="141" t="n">
        <f aca="false">$E11/가정!$C$31</f>
        <v>0.236842105263158</v>
      </c>
      <c r="G11" s="141" t="n">
        <f aca="false">$E11/가정!$C$31</f>
        <v>0.236842105263158</v>
      </c>
      <c r="H11" s="141" t="n">
        <f aca="false">$E11/가정!$C$31</f>
        <v>0.236842105263158</v>
      </c>
      <c r="I11" s="141" t="n">
        <f aca="false">$E11/가정!$C$31</f>
        <v>0.236842105263158</v>
      </c>
      <c r="J11" s="141" t="n">
        <f aca="false">$E11/가정!$C$31</f>
        <v>0.236842105263158</v>
      </c>
      <c r="K11" s="141" t="n">
        <f aca="false">$E11/가정!$C$31</f>
        <v>0.236842105263158</v>
      </c>
      <c r="L11" s="141" t="n">
        <f aca="false">$E11/가정!$C$31</f>
        <v>0.236842105263158</v>
      </c>
      <c r="M11" s="141" t="n">
        <f aca="false">$E11/가정!$C$31</f>
        <v>0.236842105263158</v>
      </c>
      <c r="N11" s="141" t="n">
        <f aca="false">$E11/가정!$C$31</f>
        <v>0.236842105263158</v>
      </c>
      <c r="O11" s="141" t="n">
        <f aca="false">$E11/가정!$C$31</f>
        <v>0.236842105263158</v>
      </c>
      <c r="P11" s="141" t="n">
        <f aca="false">$E11/가정!$C$31</f>
        <v>0.236842105263158</v>
      </c>
      <c r="Q11" s="141" t="n">
        <f aca="false">$E11/가정!$C$31</f>
        <v>0.236842105263158</v>
      </c>
      <c r="R11" s="146" t="n">
        <f aca="false">F11*1.35</f>
        <v>0.319736842105263</v>
      </c>
      <c r="S11" s="146" t="n">
        <f aca="false">G11*1.35</f>
        <v>0.319736842105263</v>
      </c>
      <c r="T11" s="146" t="n">
        <f aca="false">H11*1.35</f>
        <v>0.319736842105263</v>
      </c>
      <c r="U11" s="146" t="n">
        <f aca="false">I11*1.35</f>
        <v>0.319736842105263</v>
      </c>
      <c r="V11" s="146" t="n">
        <f aca="false">J11*1.35</f>
        <v>0.319736842105263</v>
      </c>
      <c r="W11" s="146" t="n">
        <f aca="false">K11*1.35</f>
        <v>0.319736842105263</v>
      </c>
      <c r="X11" s="146" t="n">
        <f aca="false">L11*1.35</f>
        <v>0.319736842105263</v>
      </c>
      <c r="Y11" s="146"/>
      <c r="Z11" s="146"/>
      <c r="AA11" s="146"/>
      <c r="AB11" s="146"/>
      <c r="AC11" s="146"/>
      <c r="AD11" s="141" t="n">
        <f aca="false">SUM(R11:AC11)</f>
        <v>2.23815789473684</v>
      </c>
      <c r="AE11" s="140" t="n">
        <f aca="false">IFERROR(AD11/$E11,0)</f>
        <v>0.7875</v>
      </c>
    </row>
    <row r="12" customFormat="false" ht="14.25" hidden="false" customHeight="true" outlineLevel="0" collapsed="false">
      <c r="A12" s="139" t="n">
        <v>8</v>
      </c>
      <c r="B12" s="139" t="s">
        <v>238</v>
      </c>
      <c r="C12" s="139" t="str">
        <f aca="false">CA_개요!C12</f>
        <v>ML 데이터관리(ASW에 포함)</v>
      </c>
      <c r="D12" s="139" t="str">
        <f aca="false">CA_개요!E12</f>
        <v>ASW</v>
      </c>
      <c r="E12" s="141" t="n">
        <f aca="false">가정!$C$32*CA_개요!H12</f>
        <v>3.21951219512195</v>
      </c>
      <c r="F12" s="141" t="n">
        <f aca="false">$E12/가정!$C$31</f>
        <v>0.268292682926829</v>
      </c>
      <c r="G12" s="141" t="n">
        <f aca="false">$E12/가정!$C$31</f>
        <v>0.268292682926829</v>
      </c>
      <c r="H12" s="141" t="n">
        <f aca="false">$E12/가정!$C$31</f>
        <v>0.268292682926829</v>
      </c>
      <c r="I12" s="141" t="n">
        <f aca="false">$E12/가정!$C$31</f>
        <v>0.268292682926829</v>
      </c>
      <c r="J12" s="141" t="n">
        <f aca="false">$E12/가정!$C$31</f>
        <v>0.268292682926829</v>
      </c>
      <c r="K12" s="141" t="n">
        <f aca="false">$E12/가정!$C$31</f>
        <v>0.268292682926829</v>
      </c>
      <c r="L12" s="141" t="n">
        <f aca="false">$E12/가정!$C$31</f>
        <v>0.268292682926829</v>
      </c>
      <c r="M12" s="141" t="n">
        <f aca="false">$E12/가정!$C$31</f>
        <v>0.268292682926829</v>
      </c>
      <c r="N12" s="141" t="n">
        <f aca="false">$E12/가정!$C$31</f>
        <v>0.268292682926829</v>
      </c>
      <c r="O12" s="141" t="n">
        <f aca="false">$E12/가정!$C$31</f>
        <v>0.268292682926829</v>
      </c>
      <c r="P12" s="141" t="n">
        <f aca="false">$E12/가정!$C$31</f>
        <v>0.268292682926829</v>
      </c>
      <c r="Q12" s="141" t="n">
        <f aca="false">$E12/가정!$C$31</f>
        <v>0.268292682926829</v>
      </c>
      <c r="R12" s="146" t="n">
        <f aca="false">F12*1</f>
        <v>0.268292682926829</v>
      </c>
      <c r="S12" s="146" t="n">
        <f aca="false">G12*1</f>
        <v>0.268292682926829</v>
      </c>
      <c r="T12" s="146" t="n">
        <f aca="false">H12*1</f>
        <v>0.268292682926829</v>
      </c>
      <c r="U12" s="146" t="n">
        <f aca="false">I12*1</f>
        <v>0.268292682926829</v>
      </c>
      <c r="V12" s="146" t="n">
        <f aca="false">J12*1</f>
        <v>0.268292682926829</v>
      </c>
      <c r="W12" s="146" t="n">
        <f aca="false">K12*1</f>
        <v>0.268292682926829</v>
      </c>
      <c r="X12" s="146" t="n">
        <f aca="false">L12*1</f>
        <v>0.268292682926829</v>
      </c>
      <c r="Y12" s="146"/>
      <c r="Z12" s="146"/>
      <c r="AA12" s="146"/>
      <c r="AB12" s="146"/>
      <c r="AC12" s="146"/>
      <c r="AD12" s="141" t="n">
        <f aca="false">SUM(R12:AC12)</f>
        <v>1.87804878048781</v>
      </c>
      <c r="AE12" s="140" t="n">
        <f aca="false">IFERROR(AD12/$E12,0)</f>
        <v>0.583333333333333</v>
      </c>
    </row>
    <row r="13" customFormat="false" ht="14.25" hidden="false" customHeight="true" outlineLevel="0" collapsed="false">
      <c r="A13" s="139" t="n">
        <v>9</v>
      </c>
      <c r="B13" s="139" t="s">
        <v>242</v>
      </c>
      <c r="C13" s="139" t="str">
        <f aca="false">CA_개요!C13</f>
        <v>시스템 요구사항분석</v>
      </c>
      <c r="D13" s="139" t="str">
        <f aca="false">CA_개요!E13</f>
        <v>시스템</v>
      </c>
      <c r="E13" s="141" t="n">
        <f aca="false">가정!$C$32*CA_개요!H13</f>
        <v>2.28571428571429</v>
      </c>
      <c r="F13" s="141" t="n">
        <f aca="false">$E13/가정!$C$31</f>
        <v>0.19047619047619</v>
      </c>
      <c r="G13" s="141" t="n">
        <f aca="false">$E13/가정!$C$31</f>
        <v>0.19047619047619</v>
      </c>
      <c r="H13" s="141" t="n">
        <f aca="false">$E13/가정!$C$31</f>
        <v>0.19047619047619</v>
      </c>
      <c r="I13" s="141" t="n">
        <f aca="false">$E13/가정!$C$31</f>
        <v>0.19047619047619</v>
      </c>
      <c r="J13" s="141" t="n">
        <f aca="false">$E13/가정!$C$31</f>
        <v>0.19047619047619</v>
      </c>
      <c r="K13" s="141" t="n">
        <f aca="false">$E13/가정!$C$31</f>
        <v>0.19047619047619</v>
      </c>
      <c r="L13" s="141" t="n">
        <f aca="false">$E13/가정!$C$31</f>
        <v>0.19047619047619</v>
      </c>
      <c r="M13" s="141" t="n">
        <f aca="false">$E13/가정!$C$31</f>
        <v>0.19047619047619</v>
      </c>
      <c r="N13" s="141" t="n">
        <f aca="false">$E13/가정!$C$31</f>
        <v>0.19047619047619</v>
      </c>
      <c r="O13" s="141" t="n">
        <f aca="false">$E13/가정!$C$31</f>
        <v>0.19047619047619</v>
      </c>
      <c r="P13" s="141" t="n">
        <f aca="false">$E13/가정!$C$31</f>
        <v>0.19047619047619</v>
      </c>
      <c r="Q13" s="141" t="n">
        <f aca="false">$E13/가정!$C$31</f>
        <v>0.19047619047619</v>
      </c>
      <c r="R13" s="146" t="n">
        <f aca="false">F13*1.15</f>
        <v>0.219047619047619</v>
      </c>
      <c r="S13" s="146" t="n">
        <f aca="false">G13*1.15</f>
        <v>0.219047619047619</v>
      </c>
      <c r="T13" s="146" t="n">
        <f aca="false">H13*1.15</f>
        <v>0.219047619047619</v>
      </c>
      <c r="U13" s="146" t="n">
        <f aca="false">I13*1.15</f>
        <v>0.219047619047619</v>
      </c>
      <c r="V13" s="146" t="n">
        <f aca="false">J13*1.15</f>
        <v>0.219047619047619</v>
      </c>
      <c r="W13" s="146" t="n">
        <f aca="false">K13*1.15</f>
        <v>0.219047619047619</v>
      </c>
      <c r="X13" s="146" t="n">
        <f aca="false">L13*1.15</f>
        <v>0.219047619047619</v>
      </c>
      <c r="Y13" s="146"/>
      <c r="Z13" s="146"/>
      <c r="AA13" s="146"/>
      <c r="AB13" s="146"/>
      <c r="AC13" s="146"/>
      <c r="AD13" s="141" t="n">
        <f aca="false">SUM(R13:AC13)</f>
        <v>1.53333333333333</v>
      </c>
      <c r="AE13" s="140" t="n">
        <f aca="false">IFERROR(AD13/$E13,0)</f>
        <v>0.670833333333333</v>
      </c>
    </row>
    <row r="14" customFormat="false" ht="14.25" hidden="false" customHeight="true" outlineLevel="0" collapsed="false">
      <c r="A14" s="139" t="n">
        <v>10</v>
      </c>
      <c r="B14" s="139" t="s">
        <v>246</v>
      </c>
      <c r="C14" s="139" t="str">
        <f aca="false">CA_개요!C14</f>
        <v>시스템 아키텍처설계</v>
      </c>
      <c r="D14" s="139" t="str">
        <f aca="false">CA_개요!E14</f>
        <v>시스템</v>
      </c>
      <c r="E14" s="141" t="n">
        <f aca="false">가정!$C$32*CA_개요!H14</f>
        <v>1.9047619047619</v>
      </c>
      <c r="F14" s="141" t="n">
        <f aca="false">$E14/가정!$C$31</f>
        <v>0.158730158730159</v>
      </c>
      <c r="G14" s="141" t="n">
        <f aca="false">$E14/가정!$C$31</f>
        <v>0.158730158730159</v>
      </c>
      <c r="H14" s="141" t="n">
        <f aca="false">$E14/가정!$C$31</f>
        <v>0.158730158730159</v>
      </c>
      <c r="I14" s="141" t="n">
        <f aca="false">$E14/가정!$C$31</f>
        <v>0.158730158730159</v>
      </c>
      <c r="J14" s="141" t="n">
        <f aca="false">$E14/가정!$C$31</f>
        <v>0.158730158730159</v>
      </c>
      <c r="K14" s="141" t="n">
        <f aca="false">$E14/가정!$C$31</f>
        <v>0.158730158730159</v>
      </c>
      <c r="L14" s="141" t="n">
        <f aca="false">$E14/가정!$C$31</f>
        <v>0.158730158730159</v>
      </c>
      <c r="M14" s="141" t="n">
        <f aca="false">$E14/가정!$C$31</f>
        <v>0.158730158730159</v>
      </c>
      <c r="N14" s="141" t="n">
        <f aca="false">$E14/가정!$C$31</f>
        <v>0.158730158730159</v>
      </c>
      <c r="O14" s="141" t="n">
        <f aca="false">$E14/가정!$C$31</f>
        <v>0.158730158730159</v>
      </c>
      <c r="P14" s="141" t="n">
        <f aca="false">$E14/가정!$C$31</f>
        <v>0.158730158730159</v>
      </c>
      <c r="Q14" s="141" t="n">
        <f aca="false">$E14/가정!$C$31</f>
        <v>0.158730158730159</v>
      </c>
      <c r="R14" s="146" t="n">
        <f aca="false">F14*1</f>
        <v>0.158730158730159</v>
      </c>
      <c r="S14" s="146" t="n">
        <f aca="false">G14*1</f>
        <v>0.158730158730159</v>
      </c>
      <c r="T14" s="146" t="n">
        <f aca="false">H14*1</f>
        <v>0.158730158730159</v>
      </c>
      <c r="U14" s="146" t="n">
        <f aca="false">I14*1</f>
        <v>0.158730158730159</v>
      </c>
      <c r="V14" s="146" t="n">
        <f aca="false">J14*1</f>
        <v>0.158730158730159</v>
      </c>
      <c r="W14" s="146" t="n">
        <f aca="false">K14*1</f>
        <v>0.158730158730159</v>
      </c>
      <c r="X14" s="146" t="n">
        <f aca="false">L14*1</f>
        <v>0.158730158730159</v>
      </c>
      <c r="Y14" s="146"/>
      <c r="Z14" s="146"/>
      <c r="AA14" s="146"/>
      <c r="AB14" s="146"/>
      <c r="AC14" s="146"/>
      <c r="AD14" s="141" t="n">
        <f aca="false">SUM(R14:AC14)</f>
        <v>1.11111111111111</v>
      </c>
      <c r="AE14" s="140" t="n">
        <f aca="false">IFERROR(AD14/$E14,0)</f>
        <v>0.583333333333333</v>
      </c>
    </row>
    <row r="15" customFormat="false" ht="14.25" hidden="false" customHeight="true" outlineLevel="0" collapsed="false">
      <c r="A15" s="139" t="n">
        <v>11</v>
      </c>
      <c r="B15" s="139" t="s">
        <v>248</v>
      </c>
      <c r="C15" s="139" t="str">
        <f aca="false">CA_개요!C15</f>
        <v>시스템 통합/통합검증</v>
      </c>
      <c r="D15" s="139" t="str">
        <f aca="false">CA_개요!E15</f>
        <v>시스템</v>
      </c>
      <c r="E15" s="141" t="n">
        <f aca="false">가정!$C$32*CA_개요!H15</f>
        <v>1.9047619047619</v>
      </c>
      <c r="F15" s="141" t="n">
        <f aca="false">$E15/가정!$C$31</f>
        <v>0.158730158730159</v>
      </c>
      <c r="G15" s="141" t="n">
        <f aca="false">$E15/가정!$C$31</f>
        <v>0.158730158730159</v>
      </c>
      <c r="H15" s="141" t="n">
        <f aca="false">$E15/가정!$C$31</f>
        <v>0.158730158730159</v>
      </c>
      <c r="I15" s="141" t="n">
        <f aca="false">$E15/가정!$C$31</f>
        <v>0.158730158730159</v>
      </c>
      <c r="J15" s="141" t="n">
        <f aca="false">$E15/가정!$C$31</f>
        <v>0.158730158730159</v>
      </c>
      <c r="K15" s="141" t="n">
        <f aca="false">$E15/가정!$C$31</f>
        <v>0.158730158730159</v>
      </c>
      <c r="L15" s="141" t="n">
        <f aca="false">$E15/가정!$C$31</f>
        <v>0.158730158730159</v>
      </c>
      <c r="M15" s="141" t="n">
        <f aca="false">$E15/가정!$C$31</f>
        <v>0.158730158730159</v>
      </c>
      <c r="N15" s="141" t="n">
        <f aca="false">$E15/가정!$C$31</f>
        <v>0.158730158730159</v>
      </c>
      <c r="O15" s="141" t="n">
        <f aca="false">$E15/가정!$C$31</f>
        <v>0.158730158730159</v>
      </c>
      <c r="P15" s="141" t="n">
        <f aca="false">$E15/가정!$C$31</f>
        <v>0.158730158730159</v>
      </c>
      <c r="Q15" s="141" t="n">
        <f aca="false">$E15/가정!$C$31</f>
        <v>0.158730158730159</v>
      </c>
      <c r="R15" s="146" t="n">
        <f aca="false">F15*1</f>
        <v>0.158730158730159</v>
      </c>
      <c r="S15" s="146" t="n">
        <f aca="false">G15*1</f>
        <v>0.158730158730159</v>
      </c>
      <c r="T15" s="146" t="n">
        <f aca="false">H15*1</f>
        <v>0.158730158730159</v>
      </c>
      <c r="U15" s="146" t="n">
        <f aca="false">I15*1</f>
        <v>0.158730158730159</v>
      </c>
      <c r="V15" s="146" t="n">
        <f aca="false">J15*1</f>
        <v>0.158730158730159</v>
      </c>
      <c r="W15" s="146" t="n">
        <f aca="false">K15*1</f>
        <v>0.158730158730159</v>
      </c>
      <c r="X15" s="146" t="n">
        <f aca="false">L15*1</f>
        <v>0.158730158730159</v>
      </c>
      <c r="Y15" s="146"/>
      <c r="Z15" s="146"/>
      <c r="AA15" s="146"/>
      <c r="AB15" s="146"/>
      <c r="AC15" s="146"/>
      <c r="AD15" s="141" t="n">
        <f aca="false">SUM(R15:AC15)</f>
        <v>1.11111111111111</v>
      </c>
      <c r="AE15" s="140" t="n">
        <f aca="false">IFERROR(AD15/$E15,0)</f>
        <v>0.583333333333333</v>
      </c>
    </row>
    <row r="16" customFormat="false" ht="14.25" hidden="false" customHeight="true" outlineLevel="0" collapsed="false">
      <c r="A16" s="139" t="n">
        <v>12</v>
      </c>
      <c r="B16" s="139" t="s">
        <v>250</v>
      </c>
      <c r="C16" s="139" t="str">
        <f aca="false">CA_개요!C16</f>
        <v>시스템 검증</v>
      </c>
      <c r="D16" s="139" t="str">
        <f aca="false">CA_개요!E16</f>
        <v>시스템</v>
      </c>
      <c r="E16" s="141" t="n">
        <f aca="false">가정!$C$32*CA_개요!H16</f>
        <v>1.9047619047619</v>
      </c>
      <c r="F16" s="141" t="n">
        <f aca="false">$E16/가정!$C$31</f>
        <v>0.158730158730159</v>
      </c>
      <c r="G16" s="141" t="n">
        <f aca="false">$E16/가정!$C$31</f>
        <v>0.158730158730159</v>
      </c>
      <c r="H16" s="141" t="n">
        <f aca="false">$E16/가정!$C$31</f>
        <v>0.158730158730159</v>
      </c>
      <c r="I16" s="141" t="n">
        <f aca="false">$E16/가정!$C$31</f>
        <v>0.158730158730159</v>
      </c>
      <c r="J16" s="141" t="n">
        <f aca="false">$E16/가정!$C$31</f>
        <v>0.158730158730159</v>
      </c>
      <c r="K16" s="141" t="n">
        <f aca="false">$E16/가정!$C$31</f>
        <v>0.158730158730159</v>
      </c>
      <c r="L16" s="141" t="n">
        <f aca="false">$E16/가정!$C$31</f>
        <v>0.158730158730159</v>
      </c>
      <c r="M16" s="141" t="n">
        <f aca="false">$E16/가정!$C$31</f>
        <v>0.158730158730159</v>
      </c>
      <c r="N16" s="141" t="n">
        <f aca="false">$E16/가정!$C$31</f>
        <v>0.158730158730159</v>
      </c>
      <c r="O16" s="141" t="n">
        <f aca="false">$E16/가정!$C$31</f>
        <v>0.158730158730159</v>
      </c>
      <c r="P16" s="141" t="n">
        <f aca="false">$E16/가정!$C$31</f>
        <v>0.158730158730159</v>
      </c>
      <c r="Q16" s="141" t="n">
        <f aca="false">$E16/가정!$C$31</f>
        <v>0.158730158730159</v>
      </c>
      <c r="R16" s="146" t="n">
        <f aca="false">F16*1</f>
        <v>0.158730158730159</v>
      </c>
      <c r="S16" s="146" t="n">
        <f aca="false">G16*1</f>
        <v>0.158730158730159</v>
      </c>
      <c r="T16" s="146" t="n">
        <f aca="false">H16*1</f>
        <v>0.158730158730159</v>
      </c>
      <c r="U16" s="146" t="n">
        <f aca="false">I16*1</f>
        <v>0.158730158730159</v>
      </c>
      <c r="V16" s="146" t="n">
        <f aca="false">J16*1</f>
        <v>0.158730158730159</v>
      </c>
      <c r="W16" s="146" t="n">
        <f aca="false">K16*1</f>
        <v>0.158730158730159</v>
      </c>
      <c r="X16" s="146" t="n">
        <f aca="false">L16*1</f>
        <v>0.158730158730159</v>
      </c>
      <c r="Y16" s="146"/>
      <c r="Z16" s="146"/>
      <c r="AA16" s="146"/>
      <c r="AB16" s="146"/>
      <c r="AC16" s="146"/>
      <c r="AD16" s="141" t="n">
        <f aca="false">SUM(R16:AC16)</f>
        <v>1.11111111111111</v>
      </c>
      <c r="AE16" s="140" t="n">
        <f aca="false">IFERROR(AD16/$E16,0)</f>
        <v>0.583333333333333</v>
      </c>
    </row>
    <row r="17" customFormat="false" ht="14.25" hidden="false" customHeight="true" outlineLevel="0" collapsed="false">
      <c r="A17" s="139" t="n">
        <v>13</v>
      </c>
      <c r="B17" s="139" t="s">
        <v>253</v>
      </c>
      <c r="C17" s="139" t="str">
        <f aca="false">CA_개요!C17</f>
        <v>SW 요구사항분석</v>
      </c>
      <c r="D17" s="139" t="str">
        <f aca="false">CA_개요!E17</f>
        <v>공통(SW설계)</v>
      </c>
      <c r="E17" s="141" t="n">
        <f aca="false">가정!$C$32*CA_개요!H17</f>
        <v>3.27272727272727</v>
      </c>
      <c r="F17" s="141" t="n">
        <f aca="false">$E17/가정!$C$31</f>
        <v>0.272727272727273</v>
      </c>
      <c r="G17" s="141" t="n">
        <f aca="false">$E17/가정!$C$31</f>
        <v>0.272727272727273</v>
      </c>
      <c r="H17" s="141" t="n">
        <f aca="false">$E17/가정!$C$31</f>
        <v>0.272727272727273</v>
      </c>
      <c r="I17" s="141" t="n">
        <f aca="false">$E17/가정!$C$31</f>
        <v>0.272727272727273</v>
      </c>
      <c r="J17" s="141" t="n">
        <f aca="false">$E17/가정!$C$31</f>
        <v>0.272727272727273</v>
      </c>
      <c r="K17" s="141" t="n">
        <f aca="false">$E17/가정!$C$31</f>
        <v>0.272727272727273</v>
      </c>
      <c r="L17" s="141" t="n">
        <f aca="false">$E17/가정!$C$31</f>
        <v>0.272727272727273</v>
      </c>
      <c r="M17" s="141" t="n">
        <f aca="false">$E17/가정!$C$31</f>
        <v>0.272727272727273</v>
      </c>
      <c r="N17" s="141" t="n">
        <f aca="false">$E17/가정!$C$31</f>
        <v>0.272727272727273</v>
      </c>
      <c r="O17" s="141" t="n">
        <f aca="false">$E17/가정!$C$31</f>
        <v>0.272727272727273</v>
      </c>
      <c r="P17" s="141" t="n">
        <f aca="false">$E17/가정!$C$31</f>
        <v>0.272727272727273</v>
      </c>
      <c r="Q17" s="141" t="n">
        <f aca="false">$E17/가정!$C$31</f>
        <v>0.272727272727273</v>
      </c>
      <c r="R17" s="146" t="n">
        <f aca="false">F17*1.15</f>
        <v>0.313636363636364</v>
      </c>
      <c r="S17" s="146" t="n">
        <f aca="false">G17*1.15</f>
        <v>0.313636363636364</v>
      </c>
      <c r="T17" s="146" t="n">
        <f aca="false">H17*1.15</f>
        <v>0.313636363636364</v>
      </c>
      <c r="U17" s="146" t="n">
        <f aca="false">I17*1.15</f>
        <v>0.313636363636364</v>
      </c>
      <c r="V17" s="146" t="n">
        <f aca="false">J17*1.15</f>
        <v>0.313636363636364</v>
      </c>
      <c r="W17" s="146" t="n">
        <f aca="false">K17*1.15</f>
        <v>0.313636363636364</v>
      </c>
      <c r="X17" s="146" t="n">
        <f aca="false">L17*1.15</f>
        <v>0.313636363636364</v>
      </c>
      <c r="Y17" s="146"/>
      <c r="Z17" s="146"/>
      <c r="AA17" s="146"/>
      <c r="AB17" s="146"/>
      <c r="AC17" s="146"/>
      <c r="AD17" s="141" t="n">
        <f aca="false">SUM(R17:AC17)</f>
        <v>2.19545454545455</v>
      </c>
      <c r="AE17" s="140" t="n">
        <f aca="false">IFERROR(AD17/$E17,0)</f>
        <v>0.670833333333333</v>
      </c>
    </row>
    <row r="18" customFormat="false" ht="14.25" hidden="false" customHeight="true" outlineLevel="0" collapsed="false">
      <c r="A18" s="139" t="n">
        <v>14</v>
      </c>
      <c r="B18" s="139" t="s">
        <v>256</v>
      </c>
      <c r="C18" s="139" t="str">
        <f aca="false">CA_개요!C18</f>
        <v>SW 아키텍처설계</v>
      </c>
      <c r="D18" s="139" t="str">
        <f aca="false">CA_개요!E18</f>
        <v>공통(SW설계)</v>
      </c>
      <c r="E18" s="141" t="n">
        <f aca="false">가정!$C$32*CA_개요!H18</f>
        <v>2.72727272727273</v>
      </c>
      <c r="F18" s="141" t="n">
        <f aca="false">$E18/가정!$C$31</f>
        <v>0.227272727272727</v>
      </c>
      <c r="G18" s="141" t="n">
        <f aca="false">$E18/가정!$C$31</f>
        <v>0.227272727272727</v>
      </c>
      <c r="H18" s="141" t="n">
        <f aca="false">$E18/가정!$C$31</f>
        <v>0.227272727272727</v>
      </c>
      <c r="I18" s="141" t="n">
        <f aca="false">$E18/가정!$C$31</f>
        <v>0.227272727272727</v>
      </c>
      <c r="J18" s="141" t="n">
        <f aca="false">$E18/가정!$C$31</f>
        <v>0.227272727272727</v>
      </c>
      <c r="K18" s="141" t="n">
        <f aca="false">$E18/가정!$C$31</f>
        <v>0.227272727272727</v>
      </c>
      <c r="L18" s="141" t="n">
        <f aca="false">$E18/가정!$C$31</f>
        <v>0.227272727272727</v>
      </c>
      <c r="M18" s="141" t="n">
        <f aca="false">$E18/가정!$C$31</f>
        <v>0.227272727272727</v>
      </c>
      <c r="N18" s="141" t="n">
        <f aca="false">$E18/가정!$C$31</f>
        <v>0.227272727272727</v>
      </c>
      <c r="O18" s="141" t="n">
        <f aca="false">$E18/가정!$C$31</f>
        <v>0.227272727272727</v>
      </c>
      <c r="P18" s="141" t="n">
        <f aca="false">$E18/가정!$C$31</f>
        <v>0.227272727272727</v>
      </c>
      <c r="Q18" s="141" t="n">
        <f aca="false">$E18/가정!$C$31</f>
        <v>0.227272727272727</v>
      </c>
      <c r="R18" s="146" t="n">
        <f aca="false">F18*1</f>
        <v>0.227272727272727</v>
      </c>
      <c r="S18" s="146" t="n">
        <f aca="false">G18*1</f>
        <v>0.227272727272727</v>
      </c>
      <c r="T18" s="146" t="n">
        <f aca="false">H18*1</f>
        <v>0.227272727272727</v>
      </c>
      <c r="U18" s="146" t="n">
        <f aca="false">I18*1</f>
        <v>0.227272727272727</v>
      </c>
      <c r="V18" s="146" t="n">
        <f aca="false">J18*1</f>
        <v>0.227272727272727</v>
      </c>
      <c r="W18" s="146" t="n">
        <f aca="false">K18*1</f>
        <v>0.227272727272727</v>
      </c>
      <c r="X18" s="146" t="n">
        <f aca="false">L18*1</f>
        <v>0.227272727272727</v>
      </c>
      <c r="Y18" s="146"/>
      <c r="Z18" s="146"/>
      <c r="AA18" s="146"/>
      <c r="AB18" s="146"/>
      <c r="AC18" s="146"/>
      <c r="AD18" s="141" t="n">
        <f aca="false">SUM(R18:AC18)</f>
        <v>1.59090909090909</v>
      </c>
      <c r="AE18" s="140" t="n">
        <f aca="false">IFERROR(AD18/$E18,0)</f>
        <v>0.583333333333333</v>
      </c>
    </row>
    <row r="19" customFormat="false" ht="14.25" hidden="false" customHeight="true" outlineLevel="0" collapsed="false">
      <c r="A19" s="139" t="n">
        <v>15</v>
      </c>
      <c r="B19" s="139" t="s">
        <v>258</v>
      </c>
      <c r="C19" s="139" t="str">
        <f aca="false">CA_개요!C19</f>
        <v>SW 상세설계/단위구현(ASW)</v>
      </c>
      <c r="D19" s="139" t="str">
        <f aca="false">CA_개요!E19</f>
        <v>ASW</v>
      </c>
      <c r="E19" s="141" t="n">
        <f aca="false">가정!$C$32*CA_개요!H19</f>
        <v>2.68292682926829</v>
      </c>
      <c r="F19" s="141" t="n">
        <f aca="false">$E19/가정!$C$31</f>
        <v>0.223577235772358</v>
      </c>
      <c r="G19" s="141" t="n">
        <f aca="false">$E19/가정!$C$31</f>
        <v>0.223577235772358</v>
      </c>
      <c r="H19" s="141" t="n">
        <f aca="false">$E19/가정!$C$31</f>
        <v>0.223577235772358</v>
      </c>
      <c r="I19" s="141" t="n">
        <f aca="false">$E19/가정!$C$31</f>
        <v>0.223577235772358</v>
      </c>
      <c r="J19" s="141" t="n">
        <f aca="false">$E19/가정!$C$31</f>
        <v>0.223577235772358</v>
      </c>
      <c r="K19" s="141" t="n">
        <f aca="false">$E19/가정!$C$31</f>
        <v>0.223577235772358</v>
      </c>
      <c r="L19" s="141" t="n">
        <f aca="false">$E19/가정!$C$31</f>
        <v>0.223577235772358</v>
      </c>
      <c r="M19" s="141" t="n">
        <f aca="false">$E19/가정!$C$31</f>
        <v>0.223577235772358</v>
      </c>
      <c r="N19" s="141" t="n">
        <f aca="false">$E19/가정!$C$31</f>
        <v>0.223577235772358</v>
      </c>
      <c r="O19" s="141" t="n">
        <f aca="false">$E19/가정!$C$31</f>
        <v>0.223577235772358</v>
      </c>
      <c r="P19" s="141" t="n">
        <f aca="false">$E19/가정!$C$31</f>
        <v>0.223577235772358</v>
      </c>
      <c r="Q19" s="141" t="n">
        <f aca="false">$E19/가정!$C$31</f>
        <v>0.223577235772358</v>
      </c>
      <c r="R19" s="146" t="n">
        <f aca="false">F19*1.1</f>
        <v>0.245934959349594</v>
      </c>
      <c r="S19" s="146" t="n">
        <f aca="false">G19*1.1</f>
        <v>0.245934959349594</v>
      </c>
      <c r="T19" s="146" t="n">
        <f aca="false">H19*1.1</f>
        <v>0.245934959349594</v>
      </c>
      <c r="U19" s="146" t="n">
        <f aca="false">I19*1.1</f>
        <v>0.245934959349594</v>
      </c>
      <c r="V19" s="146" t="n">
        <f aca="false">J19*1.1</f>
        <v>0.245934959349594</v>
      </c>
      <c r="W19" s="146" t="n">
        <f aca="false">K19*1.1</f>
        <v>0.245934959349594</v>
      </c>
      <c r="X19" s="146" t="n">
        <f aca="false">L19*1.1</f>
        <v>0.245934959349594</v>
      </c>
      <c r="Y19" s="146"/>
      <c r="Z19" s="146"/>
      <c r="AA19" s="146"/>
      <c r="AB19" s="146"/>
      <c r="AC19" s="146"/>
      <c r="AD19" s="141" t="n">
        <f aca="false">SUM(R19:AC19)</f>
        <v>1.72154471544715</v>
      </c>
      <c r="AE19" s="140" t="n">
        <f aca="false">IFERROR(AD19/$E19,0)</f>
        <v>0.641666666666667</v>
      </c>
    </row>
    <row r="20" customFormat="false" ht="14.25" hidden="false" customHeight="true" outlineLevel="0" collapsed="false">
      <c r="A20" s="139" t="n">
        <v>16</v>
      </c>
      <c r="B20" s="139" t="s">
        <v>262</v>
      </c>
      <c r="C20" s="139" t="str">
        <f aca="false">CA_개요!C20</f>
        <v>SW 상세설계/단위구현(BSW)</v>
      </c>
      <c r="D20" s="139" t="str">
        <f aca="false">CA_개요!E20</f>
        <v>BSW</v>
      </c>
      <c r="E20" s="141" t="n">
        <f aca="false">가정!$C$32*CA_개요!H20</f>
        <v>10</v>
      </c>
      <c r="F20" s="141" t="n">
        <f aca="false">$E20/가정!$C$31</f>
        <v>0.833333333333333</v>
      </c>
      <c r="G20" s="141" t="n">
        <f aca="false">$E20/가정!$C$31</f>
        <v>0.833333333333333</v>
      </c>
      <c r="H20" s="141" t="n">
        <f aca="false">$E20/가정!$C$31</f>
        <v>0.833333333333333</v>
      </c>
      <c r="I20" s="141" t="n">
        <f aca="false">$E20/가정!$C$31</f>
        <v>0.833333333333333</v>
      </c>
      <c r="J20" s="141" t="n">
        <f aca="false">$E20/가정!$C$31</f>
        <v>0.833333333333333</v>
      </c>
      <c r="K20" s="141" t="n">
        <f aca="false">$E20/가정!$C$31</f>
        <v>0.833333333333333</v>
      </c>
      <c r="L20" s="141" t="n">
        <f aca="false">$E20/가정!$C$31</f>
        <v>0.833333333333333</v>
      </c>
      <c r="M20" s="141" t="n">
        <f aca="false">$E20/가정!$C$31</f>
        <v>0.833333333333333</v>
      </c>
      <c r="N20" s="141" t="n">
        <f aca="false">$E20/가정!$C$31</f>
        <v>0.833333333333333</v>
      </c>
      <c r="O20" s="141" t="n">
        <f aca="false">$E20/가정!$C$31</f>
        <v>0.833333333333333</v>
      </c>
      <c r="P20" s="141" t="n">
        <f aca="false">$E20/가정!$C$31</f>
        <v>0.833333333333333</v>
      </c>
      <c r="Q20" s="141" t="n">
        <f aca="false">$E20/가정!$C$31</f>
        <v>0.833333333333333</v>
      </c>
      <c r="R20" s="146" t="n">
        <f aca="false">F20*0.95</f>
        <v>0.791666666666667</v>
      </c>
      <c r="S20" s="146" t="n">
        <f aca="false">G20*0.95</f>
        <v>0.791666666666667</v>
      </c>
      <c r="T20" s="146" t="n">
        <f aca="false">H20*0.95</f>
        <v>0.791666666666667</v>
      </c>
      <c r="U20" s="146" t="n">
        <f aca="false">I20*0.95</f>
        <v>0.791666666666667</v>
      </c>
      <c r="V20" s="146" t="n">
        <f aca="false">J20*0.95</f>
        <v>0.791666666666667</v>
      </c>
      <c r="W20" s="146" t="n">
        <f aca="false">K20*0.95</f>
        <v>0.791666666666667</v>
      </c>
      <c r="X20" s="146" t="n">
        <f aca="false">L20*0.95</f>
        <v>0.791666666666667</v>
      </c>
      <c r="Y20" s="146"/>
      <c r="Z20" s="146"/>
      <c r="AA20" s="146"/>
      <c r="AB20" s="146"/>
      <c r="AC20" s="146"/>
      <c r="AD20" s="141" t="n">
        <f aca="false">SUM(R20:AC20)</f>
        <v>5.54166666666667</v>
      </c>
      <c r="AE20" s="140" t="n">
        <f aca="false">IFERROR(AD20/$E20,0)</f>
        <v>0.554166666666667</v>
      </c>
    </row>
    <row r="21" customFormat="false" ht="14.25" hidden="false" customHeight="true" outlineLevel="0" collapsed="false">
      <c r="A21" s="139" t="n">
        <v>17</v>
      </c>
      <c r="B21" s="139" t="s">
        <v>266</v>
      </c>
      <c r="C21" s="139" t="str">
        <f aca="false">CA_개요!C21</f>
        <v>SW 단위검증(ASW)</v>
      </c>
      <c r="D21" s="139" t="str">
        <f aca="false">CA_개요!E21</f>
        <v>ASW</v>
      </c>
      <c r="E21" s="141" t="n">
        <f aca="false">가정!$C$32*CA_개요!H21</f>
        <v>2.68292682926829</v>
      </c>
      <c r="F21" s="141" t="n">
        <f aca="false">$E21/가정!$C$31</f>
        <v>0.223577235772358</v>
      </c>
      <c r="G21" s="141" t="n">
        <f aca="false">$E21/가정!$C$31</f>
        <v>0.223577235772358</v>
      </c>
      <c r="H21" s="141" t="n">
        <f aca="false">$E21/가정!$C$31</f>
        <v>0.223577235772358</v>
      </c>
      <c r="I21" s="141" t="n">
        <f aca="false">$E21/가정!$C$31</f>
        <v>0.223577235772358</v>
      </c>
      <c r="J21" s="141" t="n">
        <f aca="false">$E21/가정!$C$31</f>
        <v>0.223577235772358</v>
      </c>
      <c r="K21" s="141" t="n">
        <f aca="false">$E21/가정!$C$31</f>
        <v>0.223577235772358</v>
      </c>
      <c r="L21" s="141" t="n">
        <f aca="false">$E21/가정!$C$31</f>
        <v>0.223577235772358</v>
      </c>
      <c r="M21" s="141" t="n">
        <f aca="false">$E21/가정!$C$31</f>
        <v>0.223577235772358</v>
      </c>
      <c r="N21" s="141" t="n">
        <f aca="false">$E21/가정!$C$31</f>
        <v>0.223577235772358</v>
      </c>
      <c r="O21" s="141" t="n">
        <f aca="false">$E21/가정!$C$31</f>
        <v>0.223577235772358</v>
      </c>
      <c r="P21" s="141" t="n">
        <f aca="false">$E21/가정!$C$31</f>
        <v>0.223577235772358</v>
      </c>
      <c r="Q21" s="141" t="n">
        <f aca="false">$E21/가정!$C$31</f>
        <v>0.223577235772358</v>
      </c>
      <c r="R21" s="146" t="n">
        <f aca="false">F21*1.05</f>
        <v>0.234756097560976</v>
      </c>
      <c r="S21" s="146" t="n">
        <f aca="false">G21*1.05</f>
        <v>0.234756097560976</v>
      </c>
      <c r="T21" s="146" t="n">
        <f aca="false">H21*1.05</f>
        <v>0.234756097560976</v>
      </c>
      <c r="U21" s="146" t="n">
        <f aca="false">I21*1.05</f>
        <v>0.234756097560976</v>
      </c>
      <c r="V21" s="146" t="n">
        <f aca="false">J21*1.05</f>
        <v>0.234756097560976</v>
      </c>
      <c r="W21" s="146" t="n">
        <f aca="false">K21*1.05</f>
        <v>0.234756097560976</v>
      </c>
      <c r="X21" s="146" t="n">
        <f aca="false">L21*1.05</f>
        <v>0.234756097560976</v>
      </c>
      <c r="Y21" s="146"/>
      <c r="Z21" s="146"/>
      <c r="AA21" s="146"/>
      <c r="AB21" s="146"/>
      <c r="AC21" s="146"/>
      <c r="AD21" s="141" t="n">
        <f aca="false">SUM(R21:AC21)</f>
        <v>1.64329268292683</v>
      </c>
      <c r="AE21" s="140" t="n">
        <f aca="false">IFERROR(AD21/$E21,0)</f>
        <v>0.6125</v>
      </c>
    </row>
    <row r="22" customFormat="false" ht="14.25" hidden="false" customHeight="true" outlineLevel="0" collapsed="false">
      <c r="A22" s="139" t="n">
        <v>18</v>
      </c>
      <c r="B22" s="139" t="s">
        <v>269</v>
      </c>
      <c r="C22" s="139" t="str">
        <f aca="false">CA_개요!C22</f>
        <v>SW 단위검증(BSW)</v>
      </c>
      <c r="D22" s="139" t="str">
        <f aca="false">CA_개요!E22</f>
        <v>BSW</v>
      </c>
      <c r="E22" s="141" t="n">
        <f aca="false">가정!$C$32*CA_개요!H22</f>
        <v>10</v>
      </c>
      <c r="F22" s="141" t="n">
        <f aca="false">$E22/가정!$C$31</f>
        <v>0.833333333333333</v>
      </c>
      <c r="G22" s="141" t="n">
        <f aca="false">$E22/가정!$C$31</f>
        <v>0.833333333333333</v>
      </c>
      <c r="H22" s="141" t="n">
        <f aca="false">$E22/가정!$C$31</f>
        <v>0.833333333333333</v>
      </c>
      <c r="I22" s="141" t="n">
        <f aca="false">$E22/가정!$C$31</f>
        <v>0.833333333333333</v>
      </c>
      <c r="J22" s="141" t="n">
        <f aca="false">$E22/가정!$C$31</f>
        <v>0.833333333333333</v>
      </c>
      <c r="K22" s="141" t="n">
        <f aca="false">$E22/가정!$C$31</f>
        <v>0.833333333333333</v>
      </c>
      <c r="L22" s="141" t="n">
        <f aca="false">$E22/가정!$C$31</f>
        <v>0.833333333333333</v>
      </c>
      <c r="M22" s="141" t="n">
        <f aca="false">$E22/가정!$C$31</f>
        <v>0.833333333333333</v>
      </c>
      <c r="N22" s="141" t="n">
        <f aca="false">$E22/가정!$C$31</f>
        <v>0.833333333333333</v>
      </c>
      <c r="O22" s="141" t="n">
        <f aca="false">$E22/가정!$C$31</f>
        <v>0.833333333333333</v>
      </c>
      <c r="P22" s="141" t="n">
        <f aca="false">$E22/가정!$C$31</f>
        <v>0.833333333333333</v>
      </c>
      <c r="Q22" s="141" t="n">
        <f aca="false">$E22/가정!$C$31</f>
        <v>0.833333333333333</v>
      </c>
      <c r="R22" s="146" t="n">
        <f aca="false">F22*0.95</f>
        <v>0.791666666666667</v>
      </c>
      <c r="S22" s="146" t="n">
        <f aca="false">G22*0.95</f>
        <v>0.791666666666667</v>
      </c>
      <c r="T22" s="146" t="n">
        <f aca="false">H22*0.95</f>
        <v>0.791666666666667</v>
      </c>
      <c r="U22" s="146" t="n">
        <f aca="false">I22*0.95</f>
        <v>0.791666666666667</v>
      </c>
      <c r="V22" s="146" t="n">
        <f aca="false">J22*0.95</f>
        <v>0.791666666666667</v>
      </c>
      <c r="W22" s="146" t="n">
        <f aca="false">K22*0.95</f>
        <v>0.791666666666667</v>
      </c>
      <c r="X22" s="146" t="n">
        <f aca="false">L22*0.95</f>
        <v>0.791666666666667</v>
      </c>
      <c r="Y22" s="146"/>
      <c r="Z22" s="146"/>
      <c r="AA22" s="146"/>
      <c r="AB22" s="146"/>
      <c r="AC22" s="146"/>
      <c r="AD22" s="141" t="n">
        <f aca="false">SUM(R22:AC22)</f>
        <v>5.54166666666667</v>
      </c>
      <c r="AE22" s="140" t="n">
        <f aca="false">IFERROR(AD22/$E22,0)</f>
        <v>0.554166666666667</v>
      </c>
    </row>
    <row r="23" customFormat="false" ht="14.25" hidden="false" customHeight="true" outlineLevel="0" collapsed="false">
      <c r="A23" s="139" t="n">
        <v>19</v>
      </c>
      <c r="B23" s="139" t="s">
        <v>272</v>
      </c>
      <c r="C23" s="139" t="str">
        <f aca="false">CA_개요!C23</f>
        <v>SW 통합/통합검증</v>
      </c>
      <c r="D23" s="139" t="str">
        <f aca="false">CA_개요!E23</f>
        <v>통합</v>
      </c>
      <c r="E23" s="141" t="n">
        <f aca="false">가정!$C$32*CA_개요!H23</f>
        <v>6</v>
      </c>
      <c r="F23" s="141" t="n">
        <f aca="false">$E23/가정!$C$31</f>
        <v>0.5</v>
      </c>
      <c r="G23" s="141" t="n">
        <f aca="false">$E23/가정!$C$31</f>
        <v>0.5</v>
      </c>
      <c r="H23" s="141" t="n">
        <f aca="false">$E23/가정!$C$31</f>
        <v>0.5</v>
      </c>
      <c r="I23" s="141" t="n">
        <f aca="false">$E23/가정!$C$31</f>
        <v>0.5</v>
      </c>
      <c r="J23" s="141" t="n">
        <f aca="false">$E23/가정!$C$31</f>
        <v>0.5</v>
      </c>
      <c r="K23" s="141" t="n">
        <f aca="false">$E23/가정!$C$31</f>
        <v>0.5</v>
      </c>
      <c r="L23" s="141" t="n">
        <f aca="false">$E23/가정!$C$31</f>
        <v>0.5</v>
      </c>
      <c r="M23" s="141" t="n">
        <f aca="false">$E23/가정!$C$31</f>
        <v>0.5</v>
      </c>
      <c r="N23" s="141" t="n">
        <f aca="false">$E23/가정!$C$31</f>
        <v>0.5</v>
      </c>
      <c r="O23" s="141" t="n">
        <f aca="false">$E23/가정!$C$31</f>
        <v>0.5</v>
      </c>
      <c r="P23" s="141" t="n">
        <f aca="false">$E23/가정!$C$31</f>
        <v>0.5</v>
      </c>
      <c r="Q23" s="141" t="n">
        <f aca="false">$E23/가정!$C$31</f>
        <v>0.5</v>
      </c>
      <c r="R23" s="146" t="n">
        <f aca="false">F23*1</f>
        <v>0.5</v>
      </c>
      <c r="S23" s="146" t="n">
        <f aca="false">G23*1</f>
        <v>0.5</v>
      </c>
      <c r="T23" s="146" t="n">
        <f aca="false">H23*1</f>
        <v>0.5</v>
      </c>
      <c r="U23" s="146" t="n">
        <f aca="false">I23*1</f>
        <v>0.5</v>
      </c>
      <c r="V23" s="146" t="n">
        <f aca="false">J23*1</f>
        <v>0.5</v>
      </c>
      <c r="W23" s="146" t="n">
        <f aca="false">K23*1</f>
        <v>0.5</v>
      </c>
      <c r="X23" s="146" t="n">
        <f aca="false">L23*1</f>
        <v>0.5</v>
      </c>
      <c r="Y23" s="146"/>
      <c r="Z23" s="146"/>
      <c r="AA23" s="146"/>
      <c r="AB23" s="146"/>
      <c r="AC23" s="146"/>
      <c r="AD23" s="141" t="n">
        <f aca="false">SUM(R23:AC23)</f>
        <v>3.5</v>
      </c>
      <c r="AE23" s="140" t="n">
        <f aca="false">IFERROR(AD23/$E23,0)</f>
        <v>0.583333333333333</v>
      </c>
    </row>
    <row r="24" customFormat="false" ht="14.25" hidden="false" customHeight="true" outlineLevel="0" collapsed="false">
      <c r="A24" s="139" t="n">
        <v>20</v>
      </c>
      <c r="B24" s="139" t="s">
        <v>275</v>
      </c>
      <c r="C24" s="139" t="str">
        <f aca="false">CA_개요!C24</f>
        <v>SW 검증</v>
      </c>
      <c r="D24" s="139" t="str">
        <f aca="false">CA_개요!E24</f>
        <v>검증</v>
      </c>
      <c r="E24" s="141" t="n">
        <f aca="false">가정!$C$32*CA_개요!H24</f>
        <v>1</v>
      </c>
      <c r="F24" s="141" t="n">
        <f aca="false">$E24/가정!$C$31</f>
        <v>0.0833333333333333</v>
      </c>
      <c r="G24" s="141" t="n">
        <f aca="false">$E24/가정!$C$31</f>
        <v>0.0833333333333333</v>
      </c>
      <c r="H24" s="141" t="n">
        <f aca="false">$E24/가정!$C$31</f>
        <v>0.0833333333333333</v>
      </c>
      <c r="I24" s="141" t="n">
        <f aca="false">$E24/가정!$C$31</f>
        <v>0.0833333333333333</v>
      </c>
      <c r="J24" s="141" t="n">
        <f aca="false">$E24/가정!$C$31</f>
        <v>0.0833333333333333</v>
      </c>
      <c r="K24" s="141" t="n">
        <f aca="false">$E24/가정!$C$31</f>
        <v>0.0833333333333333</v>
      </c>
      <c r="L24" s="141" t="n">
        <f aca="false">$E24/가정!$C$31</f>
        <v>0.0833333333333333</v>
      </c>
      <c r="M24" s="141" t="n">
        <f aca="false">$E24/가정!$C$31</f>
        <v>0.0833333333333333</v>
      </c>
      <c r="N24" s="141" t="n">
        <f aca="false">$E24/가정!$C$31</f>
        <v>0.0833333333333333</v>
      </c>
      <c r="O24" s="141" t="n">
        <f aca="false">$E24/가정!$C$31</f>
        <v>0.0833333333333333</v>
      </c>
      <c r="P24" s="141" t="n">
        <f aca="false">$E24/가정!$C$31</f>
        <v>0.0833333333333333</v>
      </c>
      <c r="Q24" s="141" t="n">
        <f aca="false">$E24/가정!$C$31</f>
        <v>0.0833333333333333</v>
      </c>
      <c r="R24" s="146" t="n">
        <f aca="false">F24*1</f>
        <v>0.0833333333333333</v>
      </c>
      <c r="S24" s="146" t="n">
        <f aca="false">G24*1</f>
        <v>0.0833333333333333</v>
      </c>
      <c r="T24" s="146" t="n">
        <f aca="false">H24*1</f>
        <v>0.0833333333333333</v>
      </c>
      <c r="U24" s="146" t="n">
        <f aca="false">I24*1</f>
        <v>0.0833333333333333</v>
      </c>
      <c r="V24" s="146" t="n">
        <f aca="false">J24*1</f>
        <v>0.0833333333333333</v>
      </c>
      <c r="W24" s="146" t="n">
        <f aca="false">K24*1</f>
        <v>0.0833333333333333</v>
      </c>
      <c r="X24" s="146" t="n">
        <f aca="false">L24*1</f>
        <v>0.0833333333333333</v>
      </c>
      <c r="Y24" s="146"/>
      <c r="Z24" s="146"/>
      <c r="AA24" s="146"/>
      <c r="AB24" s="146"/>
      <c r="AC24" s="146"/>
      <c r="AD24" s="141" t="n">
        <f aca="false">SUM(R24:AC24)</f>
        <v>0.583333333333333</v>
      </c>
      <c r="AE24" s="140" t="n">
        <f aca="false">IFERROR(AD24/$E24,0)</f>
        <v>0.583333333333333</v>
      </c>
    </row>
    <row r="25" customFormat="false" ht="14.25" hidden="false" customHeight="true" outlineLevel="0" collapsed="false">
      <c r="A25" s="139" t="n">
        <v>21</v>
      </c>
      <c r="B25" s="139" t="s">
        <v>278</v>
      </c>
      <c r="C25" s="139" t="str">
        <f aca="false">CA_개요!C25</f>
        <v>제품확인(Validation)</v>
      </c>
      <c r="D25" s="139" t="str">
        <f aca="false">CA_개요!E25</f>
        <v>검증</v>
      </c>
      <c r="E25" s="141" t="n">
        <f aca="false">가정!$C$32*CA_개요!H25</f>
        <v>1</v>
      </c>
      <c r="F25" s="141" t="n">
        <f aca="false">$E25/가정!$C$31</f>
        <v>0.0833333333333333</v>
      </c>
      <c r="G25" s="141" t="n">
        <f aca="false">$E25/가정!$C$31</f>
        <v>0.0833333333333333</v>
      </c>
      <c r="H25" s="141" t="n">
        <f aca="false">$E25/가정!$C$31</f>
        <v>0.0833333333333333</v>
      </c>
      <c r="I25" s="141" t="n">
        <f aca="false">$E25/가정!$C$31</f>
        <v>0.0833333333333333</v>
      </c>
      <c r="J25" s="141" t="n">
        <f aca="false">$E25/가정!$C$31</f>
        <v>0.0833333333333333</v>
      </c>
      <c r="K25" s="141" t="n">
        <f aca="false">$E25/가정!$C$31</f>
        <v>0.0833333333333333</v>
      </c>
      <c r="L25" s="141" t="n">
        <f aca="false">$E25/가정!$C$31</f>
        <v>0.0833333333333333</v>
      </c>
      <c r="M25" s="141" t="n">
        <f aca="false">$E25/가정!$C$31</f>
        <v>0.0833333333333333</v>
      </c>
      <c r="N25" s="141" t="n">
        <f aca="false">$E25/가정!$C$31</f>
        <v>0.0833333333333333</v>
      </c>
      <c r="O25" s="141" t="n">
        <f aca="false">$E25/가정!$C$31</f>
        <v>0.0833333333333333</v>
      </c>
      <c r="P25" s="141" t="n">
        <f aca="false">$E25/가정!$C$31</f>
        <v>0.0833333333333333</v>
      </c>
      <c r="Q25" s="141" t="n">
        <f aca="false">$E25/가정!$C$31</f>
        <v>0.0833333333333333</v>
      </c>
      <c r="R25" s="146" t="n">
        <f aca="false">F25*1</f>
        <v>0.0833333333333333</v>
      </c>
      <c r="S25" s="146" t="n">
        <f aca="false">G25*1</f>
        <v>0.0833333333333333</v>
      </c>
      <c r="T25" s="146" t="n">
        <f aca="false">H25*1</f>
        <v>0.0833333333333333</v>
      </c>
      <c r="U25" s="146" t="n">
        <f aca="false">I25*1</f>
        <v>0.0833333333333333</v>
      </c>
      <c r="V25" s="146" t="n">
        <f aca="false">J25*1</f>
        <v>0.0833333333333333</v>
      </c>
      <c r="W25" s="146" t="n">
        <f aca="false">K25*1</f>
        <v>0.0833333333333333</v>
      </c>
      <c r="X25" s="146" t="n">
        <f aca="false">L25*1</f>
        <v>0.0833333333333333</v>
      </c>
      <c r="Y25" s="146"/>
      <c r="Z25" s="146"/>
      <c r="AA25" s="146"/>
      <c r="AB25" s="146"/>
      <c r="AC25" s="146"/>
      <c r="AD25" s="141" t="n">
        <f aca="false">SUM(R25:AC25)</f>
        <v>0.583333333333333</v>
      </c>
      <c r="AE25" s="140" t="n">
        <f aca="false">IFERROR(AD25/$E25,0)</f>
        <v>0.583333333333333</v>
      </c>
    </row>
    <row r="26" customFormat="false" ht="14.25" hidden="false" customHeight="true" outlineLevel="0" collapsed="false">
      <c r="A26" s="139" t="n">
        <v>22</v>
      </c>
      <c r="B26" s="139" t="s">
        <v>281</v>
      </c>
      <c r="C26" s="139" t="str">
        <f aca="false">CA_개요!C26</f>
        <v>ML 요구사항분석(ASW에 포함)</v>
      </c>
      <c r="D26" s="139" t="str">
        <f aca="false">CA_개요!E26</f>
        <v>ASW</v>
      </c>
      <c r="E26" s="141" t="n">
        <f aca="false">가정!$C$32*CA_개요!H26</f>
        <v>3.21951219512195</v>
      </c>
      <c r="F26" s="141" t="n">
        <f aca="false">$E26/가정!$C$31</f>
        <v>0.268292682926829</v>
      </c>
      <c r="G26" s="141" t="n">
        <f aca="false">$E26/가정!$C$31</f>
        <v>0.268292682926829</v>
      </c>
      <c r="H26" s="141" t="n">
        <f aca="false">$E26/가정!$C$31</f>
        <v>0.268292682926829</v>
      </c>
      <c r="I26" s="141" t="n">
        <f aca="false">$E26/가정!$C$31</f>
        <v>0.268292682926829</v>
      </c>
      <c r="J26" s="141" t="n">
        <f aca="false">$E26/가정!$C$31</f>
        <v>0.268292682926829</v>
      </c>
      <c r="K26" s="141" t="n">
        <f aca="false">$E26/가정!$C$31</f>
        <v>0.268292682926829</v>
      </c>
      <c r="L26" s="141" t="n">
        <f aca="false">$E26/가정!$C$31</f>
        <v>0.268292682926829</v>
      </c>
      <c r="M26" s="141" t="n">
        <f aca="false">$E26/가정!$C$31</f>
        <v>0.268292682926829</v>
      </c>
      <c r="N26" s="141" t="n">
        <f aca="false">$E26/가정!$C$31</f>
        <v>0.268292682926829</v>
      </c>
      <c r="O26" s="141" t="n">
        <f aca="false">$E26/가정!$C$31</f>
        <v>0.268292682926829</v>
      </c>
      <c r="P26" s="141" t="n">
        <f aca="false">$E26/가정!$C$31</f>
        <v>0.268292682926829</v>
      </c>
      <c r="Q26" s="141" t="n">
        <f aca="false">$E26/가정!$C$31</f>
        <v>0.268292682926829</v>
      </c>
      <c r="R26" s="146" t="n">
        <f aca="false">F26*1</f>
        <v>0.268292682926829</v>
      </c>
      <c r="S26" s="146" t="n">
        <f aca="false">G26*1</f>
        <v>0.268292682926829</v>
      </c>
      <c r="T26" s="146" t="n">
        <f aca="false">H26*1</f>
        <v>0.268292682926829</v>
      </c>
      <c r="U26" s="146" t="n">
        <f aca="false">I26*1</f>
        <v>0.268292682926829</v>
      </c>
      <c r="V26" s="146" t="n">
        <f aca="false">J26*1</f>
        <v>0.268292682926829</v>
      </c>
      <c r="W26" s="146" t="n">
        <f aca="false">K26*1</f>
        <v>0.268292682926829</v>
      </c>
      <c r="X26" s="146" t="n">
        <f aca="false">L26*1</f>
        <v>0.268292682926829</v>
      </c>
      <c r="Y26" s="146"/>
      <c r="Z26" s="146"/>
      <c r="AA26" s="146"/>
      <c r="AB26" s="146"/>
      <c r="AC26" s="146"/>
      <c r="AD26" s="141" t="n">
        <f aca="false">SUM(R26:AC26)</f>
        <v>1.87804878048781</v>
      </c>
      <c r="AE26" s="140" t="n">
        <f aca="false">IFERROR(AD26/$E26,0)</f>
        <v>0.583333333333333</v>
      </c>
    </row>
    <row r="27" customFormat="false" ht="14.25" hidden="false" customHeight="true" outlineLevel="0" collapsed="false">
      <c r="A27" s="139" t="n">
        <v>23</v>
      </c>
      <c r="B27" s="139" t="s">
        <v>284</v>
      </c>
      <c r="C27" s="139" t="str">
        <f aca="false">CA_개요!C27</f>
        <v>ML 아키텍처설계(ASW에 포함)</v>
      </c>
      <c r="D27" s="139" t="str">
        <f aca="false">CA_개요!E27</f>
        <v>ASW</v>
      </c>
      <c r="E27" s="141" t="n">
        <f aca="false">가정!$C$32*CA_개요!H27</f>
        <v>3.75609756097561</v>
      </c>
      <c r="F27" s="141" t="n">
        <f aca="false">$E27/가정!$C$31</f>
        <v>0.313008130081301</v>
      </c>
      <c r="G27" s="141" t="n">
        <f aca="false">$E27/가정!$C$31</f>
        <v>0.313008130081301</v>
      </c>
      <c r="H27" s="141" t="n">
        <f aca="false">$E27/가정!$C$31</f>
        <v>0.313008130081301</v>
      </c>
      <c r="I27" s="141" t="n">
        <f aca="false">$E27/가정!$C$31</f>
        <v>0.313008130081301</v>
      </c>
      <c r="J27" s="141" t="n">
        <f aca="false">$E27/가정!$C$31</f>
        <v>0.313008130081301</v>
      </c>
      <c r="K27" s="141" t="n">
        <f aca="false">$E27/가정!$C$31</f>
        <v>0.313008130081301</v>
      </c>
      <c r="L27" s="141" t="n">
        <f aca="false">$E27/가정!$C$31</f>
        <v>0.313008130081301</v>
      </c>
      <c r="M27" s="141" t="n">
        <f aca="false">$E27/가정!$C$31</f>
        <v>0.313008130081301</v>
      </c>
      <c r="N27" s="141" t="n">
        <f aca="false">$E27/가정!$C$31</f>
        <v>0.313008130081301</v>
      </c>
      <c r="O27" s="141" t="n">
        <f aca="false">$E27/가정!$C$31</f>
        <v>0.313008130081301</v>
      </c>
      <c r="P27" s="141" t="n">
        <f aca="false">$E27/가정!$C$31</f>
        <v>0.313008130081301</v>
      </c>
      <c r="Q27" s="141" t="n">
        <f aca="false">$E27/가정!$C$31</f>
        <v>0.313008130081301</v>
      </c>
      <c r="R27" s="146" t="n">
        <f aca="false">F27*1</f>
        <v>0.313008130081301</v>
      </c>
      <c r="S27" s="146" t="n">
        <f aca="false">G27*1</f>
        <v>0.313008130081301</v>
      </c>
      <c r="T27" s="146" t="n">
        <f aca="false">H27*1</f>
        <v>0.313008130081301</v>
      </c>
      <c r="U27" s="146" t="n">
        <f aca="false">I27*1</f>
        <v>0.313008130081301</v>
      </c>
      <c r="V27" s="146" t="n">
        <f aca="false">J27*1</f>
        <v>0.313008130081301</v>
      </c>
      <c r="W27" s="146" t="n">
        <f aca="false">K27*1</f>
        <v>0.313008130081301</v>
      </c>
      <c r="X27" s="146" t="n">
        <f aca="false">L27*1</f>
        <v>0.313008130081301</v>
      </c>
      <c r="Y27" s="146"/>
      <c r="Z27" s="146"/>
      <c r="AA27" s="146"/>
      <c r="AB27" s="146"/>
      <c r="AC27" s="146"/>
      <c r="AD27" s="141" t="n">
        <f aca="false">SUM(R27:AC27)</f>
        <v>2.19105691056911</v>
      </c>
      <c r="AE27" s="140" t="n">
        <f aca="false">IFERROR(AD27/$E27,0)</f>
        <v>0.583333333333333</v>
      </c>
    </row>
    <row r="28" customFormat="false" ht="14.25" hidden="false" customHeight="true" outlineLevel="0" collapsed="false">
      <c r="A28" s="139" t="n">
        <v>24</v>
      </c>
      <c r="B28" s="139" t="s">
        <v>286</v>
      </c>
      <c r="C28" s="139" t="str">
        <f aca="false">CA_개요!C28</f>
        <v>ML 훈련/검증(ASW에 포함)</v>
      </c>
      <c r="D28" s="139" t="str">
        <f aca="false">CA_개요!E28</f>
        <v>ASW</v>
      </c>
      <c r="E28" s="141" t="n">
        <f aca="false">가정!$C$32*CA_개요!H28</f>
        <v>2.68292682926829</v>
      </c>
      <c r="F28" s="141" t="n">
        <f aca="false">$E28/가정!$C$31</f>
        <v>0.223577235772358</v>
      </c>
      <c r="G28" s="141" t="n">
        <f aca="false">$E28/가정!$C$31</f>
        <v>0.223577235772358</v>
      </c>
      <c r="H28" s="141" t="n">
        <f aca="false">$E28/가정!$C$31</f>
        <v>0.223577235772358</v>
      </c>
      <c r="I28" s="141" t="n">
        <f aca="false">$E28/가정!$C$31</f>
        <v>0.223577235772358</v>
      </c>
      <c r="J28" s="141" t="n">
        <f aca="false">$E28/가정!$C$31</f>
        <v>0.223577235772358</v>
      </c>
      <c r="K28" s="141" t="n">
        <f aca="false">$E28/가정!$C$31</f>
        <v>0.223577235772358</v>
      </c>
      <c r="L28" s="141" t="n">
        <f aca="false">$E28/가정!$C$31</f>
        <v>0.223577235772358</v>
      </c>
      <c r="M28" s="141" t="n">
        <f aca="false">$E28/가정!$C$31</f>
        <v>0.223577235772358</v>
      </c>
      <c r="N28" s="141" t="n">
        <f aca="false">$E28/가정!$C$31</f>
        <v>0.223577235772358</v>
      </c>
      <c r="O28" s="141" t="n">
        <f aca="false">$E28/가정!$C$31</f>
        <v>0.223577235772358</v>
      </c>
      <c r="P28" s="141" t="n">
        <f aca="false">$E28/가정!$C$31</f>
        <v>0.223577235772358</v>
      </c>
      <c r="Q28" s="141" t="n">
        <f aca="false">$E28/가정!$C$31</f>
        <v>0.223577235772358</v>
      </c>
      <c r="R28" s="146" t="n">
        <f aca="false">F28*1</f>
        <v>0.223577235772358</v>
      </c>
      <c r="S28" s="146" t="n">
        <f aca="false">G28*1</f>
        <v>0.223577235772358</v>
      </c>
      <c r="T28" s="146" t="n">
        <f aca="false">H28*1</f>
        <v>0.223577235772358</v>
      </c>
      <c r="U28" s="146" t="n">
        <f aca="false">I28*1</f>
        <v>0.223577235772358</v>
      </c>
      <c r="V28" s="146" t="n">
        <f aca="false">J28*1</f>
        <v>0.223577235772358</v>
      </c>
      <c r="W28" s="146" t="n">
        <f aca="false">K28*1</f>
        <v>0.223577235772358</v>
      </c>
      <c r="X28" s="146" t="n">
        <f aca="false">L28*1</f>
        <v>0.223577235772358</v>
      </c>
      <c r="Y28" s="146"/>
      <c r="Z28" s="146"/>
      <c r="AA28" s="146"/>
      <c r="AB28" s="146"/>
      <c r="AC28" s="146"/>
      <c r="AD28" s="141" t="n">
        <f aca="false">SUM(R28:AC28)</f>
        <v>1.5650406504065</v>
      </c>
      <c r="AE28" s="140" t="n">
        <f aca="false">IFERROR(AD28/$E28,0)</f>
        <v>0.583333333333333</v>
      </c>
    </row>
    <row r="29" customFormat="false" ht="14.25" hidden="false" customHeight="true" outlineLevel="0" collapsed="false">
      <c r="A29" s="139" t="n">
        <v>25</v>
      </c>
      <c r="B29" s="139" t="s">
        <v>288</v>
      </c>
      <c r="C29" s="139" t="str">
        <f aca="false">CA_개요!C29</f>
        <v>ML 테스트(ASW에 포함)</v>
      </c>
      <c r="D29" s="139" t="str">
        <f aca="false">CA_개요!E29</f>
        <v>ASW</v>
      </c>
      <c r="E29" s="141" t="n">
        <f aca="false">가정!$C$32*CA_개요!H29</f>
        <v>3.75609756097561</v>
      </c>
      <c r="F29" s="141" t="n">
        <f aca="false">$E29/가정!$C$31</f>
        <v>0.313008130081301</v>
      </c>
      <c r="G29" s="141" t="n">
        <f aca="false">$E29/가정!$C$31</f>
        <v>0.313008130081301</v>
      </c>
      <c r="H29" s="141" t="n">
        <f aca="false">$E29/가정!$C$31</f>
        <v>0.313008130081301</v>
      </c>
      <c r="I29" s="141" t="n">
        <f aca="false">$E29/가정!$C$31</f>
        <v>0.313008130081301</v>
      </c>
      <c r="J29" s="141" t="n">
        <f aca="false">$E29/가정!$C$31</f>
        <v>0.313008130081301</v>
      </c>
      <c r="K29" s="141" t="n">
        <f aca="false">$E29/가정!$C$31</f>
        <v>0.313008130081301</v>
      </c>
      <c r="L29" s="141" t="n">
        <f aca="false">$E29/가정!$C$31</f>
        <v>0.313008130081301</v>
      </c>
      <c r="M29" s="141" t="n">
        <f aca="false">$E29/가정!$C$31</f>
        <v>0.313008130081301</v>
      </c>
      <c r="N29" s="141" t="n">
        <f aca="false">$E29/가정!$C$31</f>
        <v>0.313008130081301</v>
      </c>
      <c r="O29" s="141" t="n">
        <f aca="false">$E29/가정!$C$31</f>
        <v>0.313008130081301</v>
      </c>
      <c r="P29" s="141" t="n">
        <f aca="false">$E29/가정!$C$31</f>
        <v>0.313008130081301</v>
      </c>
      <c r="Q29" s="141" t="n">
        <f aca="false">$E29/가정!$C$31</f>
        <v>0.313008130081301</v>
      </c>
      <c r="R29" s="146" t="n">
        <f aca="false">F29*1</f>
        <v>0.313008130081301</v>
      </c>
      <c r="S29" s="146" t="n">
        <f aca="false">G29*1</f>
        <v>0.313008130081301</v>
      </c>
      <c r="T29" s="146" t="n">
        <f aca="false">H29*1</f>
        <v>0.313008130081301</v>
      </c>
      <c r="U29" s="146" t="n">
        <f aca="false">I29*1</f>
        <v>0.313008130081301</v>
      </c>
      <c r="V29" s="146" t="n">
        <f aca="false">J29*1</f>
        <v>0.313008130081301</v>
      </c>
      <c r="W29" s="146" t="n">
        <f aca="false">K29*1</f>
        <v>0.313008130081301</v>
      </c>
      <c r="X29" s="146" t="n">
        <f aca="false">L29*1</f>
        <v>0.313008130081301</v>
      </c>
      <c r="Y29" s="146"/>
      <c r="Z29" s="146"/>
      <c r="AA29" s="146"/>
      <c r="AB29" s="146"/>
      <c r="AC29" s="146"/>
      <c r="AD29" s="141" t="n">
        <f aca="false">SUM(R29:AC29)</f>
        <v>2.19105691056911</v>
      </c>
      <c r="AE29" s="140" t="n">
        <f aca="false">IFERROR(AD29/$E29,0)</f>
        <v>0.583333333333333</v>
      </c>
    </row>
    <row r="30" customFormat="false" ht="14.25" hidden="false" customHeight="true" outlineLevel="0" collapsed="false">
      <c r="A30" s="139" t="n">
        <v>26</v>
      </c>
      <c r="B30" s="139" t="s">
        <v>290</v>
      </c>
      <c r="C30" s="139" t="str">
        <f aca="false">CA_개요!C30</f>
        <v>HW 요구사항분석</v>
      </c>
      <c r="D30" s="139" t="str">
        <f aca="false">CA_개요!E30</f>
        <v>HW</v>
      </c>
      <c r="E30" s="141" t="n">
        <f aca="false">가정!$C$32*CA_개요!H30</f>
        <v>1.5</v>
      </c>
      <c r="F30" s="141" t="n">
        <f aca="false">$E30/가정!$C$31</f>
        <v>0.125</v>
      </c>
      <c r="G30" s="141" t="n">
        <f aca="false">$E30/가정!$C$31</f>
        <v>0.125</v>
      </c>
      <c r="H30" s="141" t="n">
        <f aca="false">$E30/가정!$C$31</f>
        <v>0.125</v>
      </c>
      <c r="I30" s="141" t="n">
        <f aca="false">$E30/가정!$C$31</f>
        <v>0.125</v>
      </c>
      <c r="J30" s="141" t="n">
        <f aca="false">$E30/가정!$C$31</f>
        <v>0.125</v>
      </c>
      <c r="K30" s="141" t="n">
        <f aca="false">$E30/가정!$C$31</f>
        <v>0.125</v>
      </c>
      <c r="L30" s="141" t="n">
        <f aca="false">$E30/가정!$C$31</f>
        <v>0.125</v>
      </c>
      <c r="M30" s="141" t="n">
        <f aca="false">$E30/가정!$C$31</f>
        <v>0.125</v>
      </c>
      <c r="N30" s="141" t="n">
        <f aca="false">$E30/가정!$C$31</f>
        <v>0.125</v>
      </c>
      <c r="O30" s="141" t="n">
        <f aca="false">$E30/가정!$C$31</f>
        <v>0.125</v>
      </c>
      <c r="P30" s="141" t="n">
        <f aca="false">$E30/가정!$C$31</f>
        <v>0.125</v>
      </c>
      <c r="Q30" s="141" t="n">
        <f aca="false">$E30/가정!$C$31</f>
        <v>0.125</v>
      </c>
      <c r="R30" s="146" t="n">
        <f aca="false">F30*0.95</f>
        <v>0.11875</v>
      </c>
      <c r="S30" s="146" t="n">
        <f aca="false">G30*0.95</f>
        <v>0.11875</v>
      </c>
      <c r="T30" s="146" t="n">
        <f aca="false">H30*0.95</f>
        <v>0.11875</v>
      </c>
      <c r="U30" s="146" t="n">
        <f aca="false">I30*0.95</f>
        <v>0.11875</v>
      </c>
      <c r="V30" s="146" t="n">
        <f aca="false">J30*0.95</f>
        <v>0.11875</v>
      </c>
      <c r="W30" s="146" t="n">
        <f aca="false">K30*0.95</f>
        <v>0.11875</v>
      </c>
      <c r="X30" s="146" t="n">
        <f aca="false">L30*0.95</f>
        <v>0.11875</v>
      </c>
      <c r="Y30" s="146"/>
      <c r="Z30" s="146"/>
      <c r="AA30" s="146"/>
      <c r="AB30" s="146"/>
      <c r="AC30" s="146"/>
      <c r="AD30" s="141" t="n">
        <f aca="false">SUM(R30:AC30)</f>
        <v>0.83125</v>
      </c>
      <c r="AE30" s="140" t="n">
        <f aca="false">IFERROR(AD30/$E30,0)</f>
        <v>0.554166666666667</v>
      </c>
    </row>
    <row r="31" customFormat="false" ht="14.25" hidden="false" customHeight="true" outlineLevel="0" collapsed="false">
      <c r="A31" s="139" t="n">
        <v>27</v>
      </c>
      <c r="B31" s="139" t="s">
        <v>294</v>
      </c>
      <c r="C31" s="139" t="str">
        <f aca="false">CA_개요!C31</f>
        <v>HW 아키텍처/상세설계</v>
      </c>
      <c r="D31" s="139" t="str">
        <f aca="false">CA_개요!E31</f>
        <v>HW</v>
      </c>
      <c r="E31" s="141" t="n">
        <f aca="false">가정!$C$32*CA_개요!H31</f>
        <v>1.5</v>
      </c>
      <c r="F31" s="141" t="n">
        <f aca="false">$E31/가정!$C$31</f>
        <v>0.125</v>
      </c>
      <c r="G31" s="141" t="n">
        <f aca="false">$E31/가정!$C$31</f>
        <v>0.125</v>
      </c>
      <c r="H31" s="141" t="n">
        <f aca="false">$E31/가정!$C$31</f>
        <v>0.125</v>
      </c>
      <c r="I31" s="141" t="n">
        <f aca="false">$E31/가정!$C$31</f>
        <v>0.125</v>
      </c>
      <c r="J31" s="141" t="n">
        <f aca="false">$E31/가정!$C$31</f>
        <v>0.125</v>
      </c>
      <c r="K31" s="141" t="n">
        <f aca="false">$E31/가정!$C$31</f>
        <v>0.125</v>
      </c>
      <c r="L31" s="141" t="n">
        <f aca="false">$E31/가정!$C$31</f>
        <v>0.125</v>
      </c>
      <c r="M31" s="141" t="n">
        <f aca="false">$E31/가정!$C$31</f>
        <v>0.125</v>
      </c>
      <c r="N31" s="141" t="n">
        <f aca="false">$E31/가정!$C$31</f>
        <v>0.125</v>
      </c>
      <c r="O31" s="141" t="n">
        <f aca="false">$E31/가정!$C$31</f>
        <v>0.125</v>
      </c>
      <c r="P31" s="141" t="n">
        <f aca="false">$E31/가정!$C$31</f>
        <v>0.125</v>
      </c>
      <c r="Q31" s="141" t="n">
        <f aca="false">$E31/가정!$C$31</f>
        <v>0.125</v>
      </c>
      <c r="R31" s="146" t="n">
        <f aca="false">F31*0.95</f>
        <v>0.11875</v>
      </c>
      <c r="S31" s="146" t="n">
        <f aca="false">G31*0.95</f>
        <v>0.11875</v>
      </c>
      <c r="T31" s="146" t="n">
        <f aca="false">H31*0.95</f>
        <v>0.11875</v>
      </c>
      <c r="U31" s="146" t="n">
        <f aca="false">I31*0.95</f>
        <v>0.11875</v>
      </c>
      <c r="V31" s="146" t="n">
        <f aca="false">J31*0.95</f>
        <v>0.11875</v>
      </c>
      <c r="W31" s="146" t="n">
        <f aca="false">K31*0.95</f>
        <v>0.11875</v>
      </c>
      <c r="X31" s="146" t="n">
        <f aca="false">L31*0.95</f>
        <v>0.11875</v>
      </c>
      <c r="Y31" s="146"/>
      <c r="Z31" s="146"/>
      <c r="AA31" s="146"/>
      <c r="AB31" s="146"/>
      <c r="AC31" s="146"/>
      <c r="AD31" s="141" t="n">
        <f aca="false">SUM(R31:AC31)</f>
        <v>0.83125</v>
      </c>
      <c r="AE31" s="140" t="n">
        <f aca="false">IFERROR(AD31/$E31,0)</f>
        <v>0.554166666666667</v>
      </c>
    </row>
    <row r="32" customFormat="false" ht="14.25" hidden="false" customHeight="true" outlineLevel="0" collapsed="false">
      <c r="A32" s="139" t="n">
        <v>28</v>
      </c>
      <c r="B32" s="139" t="s">
        <v>296</v>
      </c>
      <c r="C32" s="139" t="str">
        <f aca="false">CA_개요!C32</f>
        <v>HW 설계검증</v>
      </c>
      <c r="D32" s="139" t="str">
        <f aca="false">CA_개요!E32</f>
        <v>HW</v>
      </c>
      <c r="E32" s="141" t="n">
        <f aca="false">가정!$C$32*CA_개요!H32</f>
        <v>1.5</v>
      </c>
      <c r="F32" s="141" t="n">
        <f aca="false">$E32/가정!$C$31</f>
        <v>0.125</v>
      </c>
      <c r="G32" s="141" t="n">
        <f aca="false">$E32/가정!$C$31</f>
        <v>0.125</v>
      </c>
      <c r="H32" s="141" t="n">
        <f aca="false">$E32/가정!$C$31</f>
        <v>0.125</v>
      </c>
      <c r="I32" s="141" t="n">
        <f aca="false">$E32/가정!$C$31</f>
        <v>0.125</v>
      </c>
      <c r="J32" s="141" t="n">
        <f aca="false">$E32/가정!$C$31</f>
        <v>0.125</v>
      </c>
      <c r="K32" s="141" t="n">
        <f aca="false">$E32/가정!$C$31</f>
        <v>0.125</v>
      </c>
      <c r="L32" s="141" t="n">
        <f aca="false">$E32/가정!$C$31</f>
        <v>0.125</v>
      </c>
      <c r="M32" s="141" t="n">
        <f aca="false">$E32/가정!$C$31</f>
        <v>0.125</v>
      </c>
      <c r="N32" s="141" t="n">
        <f aca="false">$E32/가정!$C$31</f>
        <v>0.125</v>
      </c>
      <c r="O32" s="141" t="n">
        <f aca="false">$E32/가정!$C$31</f>
        <v>0.125</v>
      </c>
      <c r="P32" s="141" t="n">
        <f aca="false">$E32/가정!$C$31</f>
        <v>0.125</v>
      </c>
      <c r="Q32" s="141" t="n">
        <f aca="false">$E32/가정!$C$31</f>
        <v>0.125</v>
      </c>
      <c r="R32" s="146" t="n">
        <f aca="false">F32*0.95</f>
        <v>0.11875</v>
      </c>
      <c r="S32" s="146" t="n">
        <f aca="false">G32*0.95</f>
        <v>0.11875</v>
      </c>
      <c r="T32" s="146" t="n">
        <f aca="false">H32*0.95</f>
        <v>0.11875</v>
      </c>
      <c r="U32" s="146" t="n">
        <f aca="false">I32*0.95</f>
        <v>0.11875</v>
      </c>
      <c r="V32" s="146" t="n">
        <f aca="false">J32*0.95</f>
        <v>0.11875</v>
      </c>
      <c r="W32" s="146" t="n">
        <f aca="false">K32*0.95</f>
        <v>0.11875</v>
      </c>
      <c r="X32" s="146" t="n">
        <f aca="false">L32*0.95</f>
        <v>0.11875</v>
      </c>
      <c r="Y32" s="146"/>
      <c r="Z32" s="146"/>
      <c r="AA32" s="146"/>
      <c r="AB32" s="146"/>
      <c r="AC32" s="146"/>
      <c r="AD32" s="141" t="n">
        <f aca="false">SUM(R32:AC32)</f>
        <v>0.83125</v>
      </c>
      <c r="AE32" s="140" t="n">
        <f aca="false">IFERROR(AD32/$E32,0)</f>
        <v>0.554166666666667</v>
      </c>
    </row>
    <row r="33" customFormat="false" ht="14.25" hidden="false" customHeight="true" outlineLevel="0" collapsed="false">
      <c r="A33" s="139" t="n">
        <v>29</v>
      </c>
      <c r="B33" s="139" t="s">
        <v>298</v>
      </c>
      <c r="C33" s="139" t="str">
        <f aca="false">CA_개요!C33</f>
        <v>HW 요구사항검증</v>
      </c>
      <c r="D33" s="139" t="str">
        <f aca="false">CA_개요!E33</f>
        <v>HW</v>
      </c>
      <c r="E33" s="141" t="n">
        <f aca="false">가정!$C$32*CA_개요!H33</f>
        <v>1.5</v>
      </c>
      <c r="F33" s="141" t="n">
        <f aca="false">$E33/가정!$C$31</f>
        <v>0.125</v>
      </c>
      <c r="G33" s="141" t="n">
        <f aca="false">$E33/가정!$C$31</f>
        <v>0.125</v>
      </c>
      <c r="H33" s="141" t="n">
        <f aca="false">$E33/가정!$C$31</f>
        <v>0.125</v>
      </c>
      <c r="I33" s="141" t="n">
        <f aca="false">$E33/가정!$C$31</f>
        <v>0.125</v>
      </c>
      <c r="J33" s="141" t="n">
        <f aca="false">$E33/가정!$C$31</f>
        <v>0.125</v>
      </c>
      <c r="K33" s="141" t="n">
        <f aca="false">$E33/가정!$C$31</f>
        <v>0.125</v>
      </c>
      <c r="L33" s="141" t="n">
        <f aca="false">$E33/가정!$C$31</f>
        <v>0.125</v>
      </c>
      <c r="M33" s="141" t="n">
        <f aca="false">$E33/가정!$C$31</f>
        <v>0.125</v>
      </c>
      <c r="N33" s="141" t="n">
        <f aca="false">$E33/가정!$C$31</f>
        <v>0.125</v>
      </c>
      <c r="O33" s="141" t="n">
        <f aca="false">$E33/가정!$C$31</f>
        <v>0.125</v>
      </c>
      <c r="P33" s="141" t="n">
        <f aca="false">$E33/가정!$C$31</f>
        <v>0.125</v>
      </c>
      <c r="Q33" s="141" t="n">
        <f aca="false">$E33/가정!$C$31</f>
        <v>0.125</v>
      </c>
      <c r="R33" s="146" t="n">
        <f aca="false">F33*0.95</f>
        <v>0.11875</v>
      </c>
      <c r="S33" s="146" t="n">
        <f aca="false">G33*0.95</f>
        <v>0.11875</v>
      </c>
      <c r="T33" s="146" t="n">
        <f aca="false">H33*0.95</f>
        <v>0.11875</v>
      </c>
      <c r="U33" s="146" t="n">
        <f aca="false">I33*0.95</f>
        <v>0.11875</v>
      </c>
      <c r="V33" s="146" t="n">
        <f aca="false">J33*0.95</f>
        <v>0.11875</v>
      </c>
      <c r="W33" s="146" t="n">
        <f aca="false">K33*0.95</f>
        <v>0.11875</v>
      </c>
      <c r="X33" s="146" t="n">
        <f aca="false">L33*0.95</f>
        <v>0.11875</v>
      </c>
      <c r="Y33" s="146"/>
      <c r="Z33" s="146"/>
      <c r="AA33" s="146"/>
      <c r="AB33" s="146"/>
      <c r="AC33" s="146"/>
      <c r="AD33" s="141" t="n">
        <f aca="false">SUM(R33:AC33)</f>
        <v>0.83125</v>
      </c>
      <c r="AE33" s="140" t="n">
        <f aca="false">IFERROR(AD33/$E33,0)</f>
        <v>0.554166666666667</v>
      </c>
    </row>
    <row r="34" customFormat="false" ht="14.25" hidden="false" customHeight="true" outlineLevel="0" collapsed="false">
      <c r="A34" s="9"/>
      <c r="B34" s="9"/>
      <c r="C34" s="9"/>
      <c r="D34" s="9"/>
      <c r="E34" s="9"/>
      <c r="F34" s="9"/>
      <c r="G34" s="9"/>
      <c r="H34" s="9"/>
      <c r="I34" s="9"/>
      <c r="J34" s="9"/>
      <c r="K34" s="9"/>
      <c r="L34" s="9"/>
      <c r="M34" s="9"/>
      <c r="N34" s="9"/>
      <c r="O34" s="9"/>
      <c r="P34" s="9"/>
      <c r="Q34" s="9"/>
      <c r="R34" s="9"/>
      <c r="S34" s="9"/>
      <c r="T34" s="9"/>
      <c r="U34" s="9"/>
      <c r="V34" s="9"/>
      <c r="W34" s="9"/>
      <c r="X34" s="9"/>
      <c r="Y34" s="9"/>
      <c r="Z34" s="9"/>
      <c r="AA34" s="9"/>
      <c r="AB34" s="9"/>
      <c r="AC34" s="9"/>
      <c r="AD34" s="9"/>
      <c r="AE34" s="9"/>
    </row>
    <row r="35" customFormat="false" ht="14.25" hidden="false" customHeight="true" outlineLevel="0" collapsed="false">
      <c r="A35" s="9"/>
      <c r="B35" s="9"/>
      <c r="C35" s="92" t="s">
        <v>692</v>
      </c>
      <c r="D35" s="9"/>
      <c r="E35" s="93" t="n">
        <f aca="false">SUM(E5:E33)</f>
        <v>100</v>
      </c>
      <c r="F35" s="9"/>
      <c r="G35" s="9"/>
      <c r="H35" s="9"/>
      <c r="I35" s="9"/>
      <c r="J35" s="9"/>
      <c r="K35" s="9"/>
      <c r="L35" s="9"/>
      <c r="M35" s="9"/>
      <c r="N35" s="9"/>
      <c r="O35" s="9"/>
      <c r="P35" s="9"/>
      <c r="Q35" s="9"/>
      <c r="R35" s="9"/>
      <c r="S35" s="9"/>
      <c r="T35" s="9"/>
      <c r="U35" s="9"/>
      <c r="V35" s="9"/>
      <c r="W35" s="9"/>
      <c r="X35" s="9"/>
      <c r="Y35" s="9"/>
      <c r="Z35" s="9"/>
      <c r="AA35" s="9"/>
      <c r="AB35" s="9"/>
      <c r="AC35" s="9"/>
      <c r="AD35" s="93" t="n">
        <f aca="false">SUM(AD5:AD33)</f>
        <v>59.0145407865562</v>
      </c>
      <c r="AE35" s="9"/>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S35"/>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328125" defaultRowHeight="14.25" zeroHeight="false" outlineLevelRow="0" outlineLevelCol="0"/>
  <cols>
    <col collapsed="false" customWidth="true" hidden="false" outlineLevel="0" max="1" min="1" style="29" width="6"/>
    <col collapsed="false" customWidth="true" hidden="false" outlineLevel="0" max="2" min="2" style="29" width="10"/>
    <col collapsed="false" customWidth="true" hidden="false" outlineLevel="0" max="3" min="3" style="29" width="20"/>
    <col collapsed="false" customWidth="true" hidden="false" outlineLevel="0" max="4" min="4" style="29" width="15.54"/>
    <col collapsed="false" customWidth="true" hidden="false" outlineLevel="0" max="5" min="5" style="29" width="15.45"/>
    <col collapsed="false" customWidth="true" hidden="false" outlineLevel="0" max="6" min="6" style="29" width="22.54"/>
    <col collapsed="false" customWidth="true" hidden="false" outlineLevel="0" max="7" min="7" style="29" width="15.63"/>
    <col collapsed="false" customWidth="true" hidden="false" outlineLevel="0" max="9" min="8" style="29" width="10"/>
    <col collapsed="false" customWidth="true" hidden="false" outlineLevel="0" max="11" min="10" style="29" width="8"/>
    <col collapsed="false" customWidth="true" hidden="false" outlineLevel="0" max="12" min="12" style="29" width="4"/>
    <col collapsed="false" customWidth="true" hidden="false" outlineLevel="0" max="13" min="13" style="29" width="20"/>
    <col collapsed="false" customWidth="true" hidden="false" outlineLevel="0" max="14" min="14" style="29" width="10"/>
    <col collapsed="false" customWidth="true" hidden="false" outlineLevel="0" max="15" min="15" style="29" width="19.09"/>
    <col collapsed="false" customWidth="true" hidden="false" outlineLevel="0" max="19" min="16" style="29" width="16"/>
  </cols>
  <sheetData>
    <row r="4" customFormat="false" ht="15" hidden="false" customHeight="true" outlineLevel="0" collapsed="false">
      <c r="A4" s="64" t="s">
        <v>197</v>
      </c>
      <c r="B4" s="64" t="s">
        <v>664</v>
      </c>
      <c r="C4" s="64" t="s">
        <v>186</v>
      </c>
      <c r="D4" s="64" t="s">
        <v>693</v>
      </c>
      <c r="E4" s="64" t="s">
        <v>694</v>
      </c>
      <c r="F4" s="64" t="s">
        <v>695</v>
      </c>
      <c r="G4" s="64" t="s">
        <v>696</v>
      </c>
      <c r="H4" s="64" t="s">
        <v>137</v>
      </c>
      <c r="I4" s="64" t="s">
        <v>140</v>
      </c>
      <c r="J4" s="64" t="s">
        <v>143</v>
      </c>
      <c r="K4" s="64" t="s">
        <v>146</v>
      </c>
      <c r="L4" s="9"/>
      <c r="M4" s="147" t="s">
        <v>697</v>
      </c>
      <c r="N4" s="148" t="n">
        <v>7</v>
      </c>
      <c r="O4" s="149" t="s">
        <v>698</v>
      </c>
      <c r="P4" s="150" t="s">
        <v>699</v>
      </c>
      <c r="Q4" s="150" t="s">
        <v>700</v>
      </c>
      <c r="R4" s="150" t="s">
        <v>701</v>
      </c>
      <c r="S4" s="150" t="s">
        <v>702</v>
      </c>
    </row>
    <row r="5" customFormat="false" ht="15" hidden="false" customHeight="true" outlineLevel="0" collapsed="false">
      <c r="A5" s="136" t="n">
        <v>1</v>
      </c>
      <c r="B5" s="136" t="s">
        <v>206</v>
      </c>
      <c r="C5" s="136" t="str">
        <f aca="false">CA_개요!C5</f>
        <v>협약/공급자 모니터링</v>
      </c>
      <c r="D5" s="151" t="n">
        <f aca="false">실적MM_입력!E5</f>
        <v>8</v>
      </c>
      <c r="E5" s="151" t="n">
        <f aca="false">$D5*($N$4/가정!$C$31)</f>
        <v>4.66666666666667</v>
      </c>
      <c r="F5" s="151" t="n">
        <f aca="false">$D5*CA_개요!J5/100</f>
        <v>7.6</v>
      </c>
      <c r="G5" s="151" t="n">
        <f aca="false">SUMPRODUCT((실적MM_입력!$B$5:$B$33=B5)*실적MM_입력!$AD$5:$AD$33)</f>
        <v>4.66666666666667</v>
      </c>
      <c r="H5" s="151" t="n">
        <f aca="false">F5-E5</f>
        <v>2.93333333333333</v>
      </c>
      <c r="I5" s="151" t="n">
        <f aca="false">F5-G5</f>
        <v>2.93333333333333</v>
      </c>
      <c r="J5" s="151" t="n">
        <f aca="false">IFERROR(F5/E5,0)</f>
        <v>1.62857142857143</v>
      </c>
      <c r="K5" s="151" t="n">
        <f aca="false">IFERROR(F5/G5,0)</f>
        <v>1.62857142857143</v>
      </c>
      <c r="L5" s="9"/>
      <c r="M5" s="121" t="s">
        <v>703</v>
      </c>
      <c r="N5" s="121"/>
      <c r="O5" s="9" t="n">
        <f aca="false">K5+ROW()*0.0000001</f>
        <v>1.62857192857143</v>
      </c>
      <c r="P5" s="152" t="n">
        <f aca="false">D5*가정!$C$42</f>
        <v>64000000</v>
      </c>
      <c r="Q5" s="152" t="n">
        <f aca="false">E5*가정!$C$42</f>
        <v>37333333.3333333</v>
      </c>
      <c r="R5" s="152" t="n">
        <f aca="false">F5*가정!$C$42</f>
        <v>60800000</v>
      </c>
      <c r="S5" s="152" t="n">
        <f aca="false">G5*가정!$C$42</f>
        <v>37333333.3333333</v>
      </c>
    </row>
    <row r="6" customFormat="false" ht="14.25" hidden="false" customHeight="true" outlineLevel="0" collapsed="false">
      <c r="A6" s="136" t="n">
        <v>2</v>
      </c>
      <c r="B6" s="136" t="s">
        <v>212</v>
      </c>
      <c r="C6" s="136" t="str">
        <f aca="false">CA_개요!C6</f>
        <v>제품 릴리스 관리</v>
      </c>
      <c r="D6" s="151" t="n">
        <f aca="false">실적MM_입력!E6</f>
        <v>4</v>
      </c>
      <c r="E6" s="151" t="n">
        <f aca="false">$D6*($N$4/가정!$C$31)</f>
        <v>2.33333333333333</v>
      </c>
      <c r="F6" s="151" t="n">
        <f aca="false">$D6*CA_개요!J6/100</f>
        <v>2.8</v>
      </c>
      <c r="G6" s="151" t="n">
        <f aca="false">SUMPRODUCT((실적MM_입력!$B$5:$B$33=B6)*실적MM_입력!$AD$5:$AD$33)</f>
        <v>2.33333333333333</v>
      </c>
      <c r="H6" s="151" t="n">
        <f aca="false">F6-E6</f>
        <v>0.466666666666666</v>
      </c>
      <c r="I6" s="151" t="n">
        <f aca="false">F6-G6</f>
        <v>0.466666666666666</v>
      </c>
      <c r="J6" s="151" t="n">
        <f aca="false">IFERROR(F6/E6,0)</f>
        <v>1.2</v>
      </c>
      <c r="K6" s="151" t="n">
        <f aca="false">IFERROR(F6/G6,0)</f>
        <v>1.2</v>
      </c>
      <c r="L6" s="9"/>
      <c r="M6" s="9"/>
      <c r="N6" s="9"/>
      <c r="O6" s="9" t="n">
        <f aca="false">K6+ROW()*0.0000001</f>
        <v>1.2000006</v>
      </c>
      <c r="P6" s="152" t="n">
        <f aca="false">D6*가정!$C$42</f>
        <v>32000000</v>
      </c>
      <c r="Q6" s="152" t="n">
        <f aca="false">E6*가정!$C$42</f>
        <v>18666666.6666667</v>
      </c>
      <c r="R6" s="152" t="n">
        <f aca="false">F6*가정!$C$42</f>
        <v>22400000</v>
      </c>
      <c r="S6" s="152" t="n">
        <f aca="false">G6*가정!$C$42</f>
        <v>18666666.6666667</v>
      </c>
    </row>
    <row r="7" customFormat="false" ht="14.25" hidden="false" customHeight="true" outlineLevel="0" collapsed="false">
      <c r="A7" s="136" t="n">
        <v>3</v>
      </c>
      <c r="B7" s="136" t="s">
        <v>218</v>
      </c>
      <c r="C7" s="136" t="str">
        <f aca="false">CA_개요!C7</f>
        <v>프로젝트 관리</v>
      </c>
      <c r="D7" s="151" t="n">
        <f aca="false">실적MM_입력!E7</f>
        <v>4.73684210526316</v>
      </c>
      <c r="E7" s="151" t="n">
        <f aca="false">$D7*($N$4/가정!$C$31)</f>
        <v>2.76315789473684</v>
      </c>
      <c r="F7" s="151" t="n">
        <f aca="false">$D7*CA_개요!J7/100</f>
        <v>4.5</v>
      </c>
      <c r="G7" s="151" t="n">
        <f aca="false">SUMPRODUCT((실적MM_입력!$B$5:$B$33=B7)*실적MM_입력!$AD$5:$AD$33)</f>
        <v>2.90131578947368</v>
      </c>
      <c r="H7" s="151" t="n">
        <f aca="false">F7-E7</f>
        <v>1.73684210526316</v>
      </c>
      <c r="I7" s="151" t="n">
        <f aca="false">F7-G7</f>
        <v>1.59868421052632</v>
      </c>
      <c r="J7" s="151" t="n">
        <f aca="false">IFERROR(F7/E7,0)</f>
        <v>1.62857142857143</v>
      </c>
      <c r="K7" s="151" t="n">
        <f aca="false">IFERROR(F7/G7,0)</f>
        <v>1.55102040816327</v>
      </c>
      <c r="L7" s="9"/>
      <c r="M7" s="9"/>
      <c r="N7" s="9"/>
      <c r="O7" s="9" t="n">
        <f aca="false">K7+ROW()*0.0000001</f>
        <v>1.55102110816327</v>
      </c>
      <c r="P7" s="152" t="n">
        <f aca="false">D7*가정!$C$42</f>
        <v>37894736.8421053</v>
      </c>
      <c r="Q7" s="152" t="n">
        <f aca="false">E7*가정!$C$42</f>
        <v>22105263.1578947</v>
      </c>
      <c r="R7" s="152" t="n">
        <f aca="false">F7*가정!$C$42</f>
        <v>36000000</v>
      </c>
      <c r="S7" s="152" t="n">
        <f aca="false">G7*가정!$C$42</f>
        <v>23210526.3157895</v>
      </c>
    </row>
    <row r="8" customFormat="false" ht="14.25" hidden="false" customHeight="true" outlineLevel="0" collapsed="false">
      <c r="A8" s="136" t="n">
        <v>4</v>
      </c>
      <c r="B8" s="136" t="s">
        <v>223</v>
      </c>
      <c r="C8" s="136" t="str">
        <f aca="false">CA_개요!C8</f>
        <v>품질보증(QA)</v>
      </c>
      <c r="D8" s="151" t="n">
        <f aca="false">실적MM_입력!E8</f>
        <v>3.31578947368421</v>
      </c>
      <c r="E8" s="151" t="n">
        <f aca="false">$D8*($N$4/가정!$C$31)</f>
        <v>1.93421052631579</v>
      </c>
      <c r="F8" s="151" t="n">
        <f aca="false">$D8*CA_개요!J8/100</f>
        <v>2.961</v>
      </c>
      <c r="G8" s="151" t="n">
        <f aca="false">SUMPRODUCT((실적MM_입력!$B$5:$B$33=B8)*실적MM_입력!$AD$5:$AD$33)</f>
        <v>1.93421052631579</v>
      </c>
      <c r="H8" s="151" t="n">
        <f aca="false">F8-E8</f>
        <v>1.02678947368421</v>
      </c>
      <c r="I8" s="151" t="n">
        <f aca="false">F8-G8</f>
        <v>1.02678947368421</v>
      </c>
      <c r="J8" s="151" t="n">
        <f aca="false">IFERROR(F8/E8,0)</f>
        <v>1.53085714285714</v>
      </c>
      <c r="K8" s="151" t="n">
        <f aca="false">IFERROR(F8/G8,0)</f>
        <v>1.53085714285714</v>
      </c>
      <c r="L8" s="9"/>
      <c r="M8" s="9"/>
      <c r="N8" s="9"/>
      <c r="O8" s="9" t="n">
        <f aca="false">K8+ROW()*0.0000001</f>
        <v>1.53085794285714</v>
      </c>
      <c r="P8" s="152" t="n">
        <f aca="false">D8*가정!$C$42</f>
        <v>26526315.7894737</v>
      </c>
      <c r="Q8" s="152" t="n">
        <f aca="false">E8*가정!$C$42</f>
        <v>15473684.2105263</v>
      </c>
      <c r="R8" s="152" t="n">
        <f aca="false">F8*가정!$C$42</f>
        <v>23688000</v>
      </c>
      <c r="S8" s="152" t="n">
        <f aca="false">G8*가정!$C$42</f>
        <v>15473684.2105263</v>
      </c>
    </row>
    <row r="9" customFormat="false" ht="14.25" hidden="false" customHeight="true" outlineLevel="0" collapsed="false">
      <c r="A9" s="136" t="n">
        <v>5</v>
      </c>
      <c r="B9" s="136" t="s">
        <v>226</v>
      </c>
      <c r="C9" s="136" t="str">
        <f aca="false">CA_개요!C9</f>
        <v>형상관리(CM)</v>
      </c>
      <c r="D9" s="151" t="n">
        <f aca="false">실적MM_입력!E9</f>
        <v>3.78947368421053</v>
      </c>
      <c r="E9" s="151" t="n">
        <f aca="false">$D9*($N$4/가정!$C$31)</f>
        <v>2.21052631578947</v>
      </c>
      <c r="F9" s="151" t="n">
        <f aca="false">$D9*CA_개요!J9/100</f>
        <v>3.43326315789474</v>
      </c>
      <c r="G9" s="151" t="n">
        <f aca="false">SUMPRODUCT((실적MM_입력!$B$5:$B$33=B9)*실적MM_입력!$AD$5:$AD$33)</f>
        <v>2.21052631578947</v>
      </c>
      <c r="H9" s="151" t="n">
        <f aca="false">F9-E9</f>
        <v>1.22273684210526</v>
      </c>
      <c r="I9" s="151" t="n">
        <f aca="false">F9-G9</f>
        <v>1.22273684210526</v>
      </c>
      <c r="J9" s="151" t="n">
        <f aca="false">IFERROR(F9/E9,0)</f>
        <v>1.55314285714286</v>
      </c>
      <c r="K9" s="151" t="n">
        <f aca="false">IFERROR(F9/G9,0)</f>
        <v>1.55314285714286</v>
      </c>
      <c r="L9" s="9"/>
      <c r="M9" s="9"/>
      <c r="N9" s="9"/>
      <c r="O9" s="9" t="n">
        <f aca="false">K9+ROW()*0.0000001</f>
        <v>1.55314375714286</v>
      </c>
      <c r="P9" s="152" t="n">
        <f aca="false">D9*가정!$C$42</f>
        <v>30315789.4736842</v>
      </c>
      <c r="Q9" s="152" t="n">
        <f aca="false">E9*가정!$C$42</f>
        <v>17684210.5263158</v>
      </c>
      <c r="R9" s="152" t="n">
        <f aca="false">F9*가정!$C$42</f>
        <v>27466105.2631579</v>
      </c>
      <c r="S9" s="152" t="n">
        <f aca="false">G9*가정!$C$42</f>
        <v>17684210.5263158</v>
      </c>
    </row>
    <row r="10" customFormat="false" ht="14.25" hidden="false" customHeight="true" outlineLevel="0" collapsed="false">
      <c r="A10" s="136" t="n">
        <v>6</v>
      </c>
      <c r="B10" s="136" t="s">
        <v>229</v>
      </c>
      <c r="C10" s="136" t="str">
        <f aca="false">CA_개요!C10</f>
        <v>문제해결관리</v>
      </c>
      <c r="D10" s="151" t="n">
        <f aca="false">실적MM_입력!E10</f>
        <v>3.31578947368421</v>
      </c>
      <c r="E10" s="151" t="n">
        <f aca="false">$D10*($N$4/가정!$C$31)</f>
        <v>1.93421052631579</v>
      </c>
      <c r="F10" s="151" t="n">
        <f aca="false">$D10*CA_개요!J10/100</f>
        <v>2.961</v>
      </c>
      <c r="G10" s="151" t="n">
        <f aca="false">SUMPRODUCT((실적MM_입력!$B$5:$B$33=B10)*실적MM_입력!$AD$5:$AD$33)</f>
        <v>1.93421052631579</v>
      </c>
      <c r="H10" s="151" t="n">
        <f aca="false">F10-E10</f>
        <v>1.02678947368421</v>
      </c>
      <c r="I10" s="151" t="n">
        <f aca="false">F10-G10</f>
        <v>1.02678947368421</v>
      </c>
      <c r="J10" s="151" t="n">
        <f aca="false">IFERROR(F10/E10,0)</f>
        <v>1.53085714285714</v>
      </c>
      <c r="K10" s="151" t="n">
        <f aca="false">IFERROR(F10/G10,0)</f>
        <v>1.53085714285714</v>
      </c>
      <c r="L10" s="9"/>
      <c r="M10" s="9"/>
      <c r="N10" s="9"/>
      <c r="O10" s="9" t="n">
        <f aca="false">K10+ROW()*0.0000001</f>
        <v>1.53085814285714</v>
      </c>
      <c r="P10" s="152" t="n">
        <f aca="false">D10*가정!$C$42</f>
        <v>26526315.7894737</v>
      </c>
      <c r="Q10" s="152" t="n">
        <f aca="false">E10*가정!$C$42</f>
        <v>15473684.2105263</v>
      </c>
      <c r="R10" s="152" t="n">
        <f aca="false">F10*가정!$C$42</f>
        <v>23688000</v>
      </c>
      <c r="S10" s="152" t="n">
        <f aca="false">G10*가정!$C$42</f>
        <v>15473684.2105263</v>
      </c>
    </row>
    <row r="11" customFormat="false" ht="14.25" hidden="false" customHeight="true" outlineLevel="0" collapsed="false">
      <c r="A11" s="136" t="n">
        <v>7</v>
      </c>
      <c r="B11" s="136" t="s">
        <v>234</v>
      </c>
      <c r="C11" s="136" t="str">
        <f aca="false">CA_개요!C11</f>
        <v>변경요청관리</v>
      </c>
      <c r="D11" s="151" t="n">
        <f aca="false">실적MM_입력!E11</f>
        <v>2.84210526315789</v>
      </c>
      <c r="E11" s="151" t="n">
        <f aca="false">$D11*($N$4/가정!$C$31)</f>
        <v>1.65789473684211</v>
      </c>
      <c r="F11" s="151" t="n">
        <f aca="false">$D11*CA_개요!J11/100</f>
        <v>1.91842105263158</v>
      </c>
      <c r="G11" s="151" t="n">
        <f aca="false">SUMPRODUCT((실적MM_입력!$B$5:$B$33=B11)*실적MM_입력!$AD$5:$AD$33)</f>
        <v>2.23815789473684</v>
      </c>
      <c r="H11" s="151" t="n">
        <f aca="false">F11-E11</f>
        <v>0.260526315789474</v>
      </c>
      <c r="I11" s="151" t="n">
        <f aca="false">F11-G11</f>
        <v>-0.319736842105263</v>
      </c>
      <c r="J11" s="151" t="n">
        <f aca="false">IFERROR(F11/E11,0)</f>
        <v>1.15714285714286</v>
      </c>
      <c r="K11" s="151" t="n">
        <f aca="false">IFERROR(F11/G11,0)</f>
        <v>0.857142857142857</v>
      </c>
      <c r="L11" s="9"/>
      <c r="M11" s="9"/>
      <c r="N11" s="9"/>
      <c r="O11" s="9" t="n">
        <f aca="false">K11+ROW()*0.0000001</f>
        <v>0.857143957142857</v>
      </c>
      <c r="P11" s="152" t="n">
        <f aca="false">D11*가정!$C$42</f>
        <v>22736842.1052632</v>
      </c>
      <c r="Q11" s="152" t="n">
        <f aca="false">E11*가정!$C$42</f>
        <v>13263157.8947368</v>
      </c>
      <c r="R11" s="152" t="n">
        <f aca="false">F11*가정!$C$42</f>
        <v>15347368.4210526</v>
      </c>
      <c r="S11" s="152" t="n">
        <f aca="false">G11*가정!$C$42</f>
        <v>17905263.1578947</v>
      </c>
    </row>
    <row r="12" customFormat="false" ht="14.25" hidden="false" customHeight="true" outlineLevel="0" collapsed="false">
      <c r="A12" s="136" t="n">
        <v>8</v>
      </c>
      <c r="B12" s="136" t="s">
        <v>238</v>
      </c>
      <c r="C12" s="136" t="str">
        <f aca="false">CA_개요!C12</f>
        <v>ML 데이터관리(ASW에 포함)</v>
      </c>
      <c r="D12" s="151" t="n">
        <f aca="false">실적MM_입력!E12</f>
        <v>3.21951219512195</v>
      </c>
      <c r="E12" s="151" t="n">
        <f aca="false">$D12*($N$4/가정!$C$31)</f>
        <v>1.87804878048781</v>
      </c>
      <c r="F12" s="151" t="n">
        <f aca="false">$D12*CA_개요!J12/100</f>
        <v>2.95229268292683</v>
      </c>
      <c r="G12" s="151" t="n">
        <f aca="false">SUMPRODUCT((실적MM_입력!$B$5:$B$33=B12)*실적MM_입력!$AD$5:$AD$33)</f>
        <v>1.87804878048781</v>
      </c>
      <c r="H12" s="151" t="n">
        <f aca="false">F12-E12</f>
        <v>1.07424390243902</v>
      </c>
      <c r="I12" s="151" t="n">
        <f aca="false">F12-G12</f>
        <v>1.07424390243902</v>
      </c>
      <c r="J12" s="151" t="n">
        <f aca="false">IFERROR(F12/E12,0)</f>
        <v>1.572</v>
      </c>
      <c r="K12" s="151" t="n">
        <f aca="false">IFERROR(F12/G12,0)</f>
        <v>1.572</v>
      </c>
      <c r="L12" s="9"/>
      <c r="M12" s="9"/>
      <c r="N12" s="9"/>
      <c r="O12" s="9" t="n">
        <f aca="false">K12+ROW()*0.0000001</f>
        <v>1.5720012</v>
      </c>
      <c r="P12" s="152" t="n">
        <f aca="false">D12*가정!$C$42</f>
        <v>25756097.5609756</v>
      </c>
      <c r="Q12" s="152" t="n">
        <f aca="false">E12*가정!$C$42</f>
        <v>15024390.2439024</v>
      </c>
      <c r="R12" s="152" t="n">
        <f aca="false">F12*가정!$C$42</f>
        <v>23618341.4634146</v>
      </c>
      <c r="S12" s="152" t="n">
        <f aca="false">G12*가정!$C$42</f>
        <v>15024390.2439024</v>
      </c>
    </row>
    <row r="13" customFormat="false" ht="14.25" hidden="false" customHeight="true" outlineLevel="0" collapsed="false">
      <c r="A13" s="136" t="n">
        <v>9</v>
      </c>
      <c r="B13" s="136" t="s">
        <v>242</v>
      </c>
      <c r="C13" s="136" t="str">
        <f aca="false">CA_개요!C13</f>
        <v>시스템 요구사항분석</v>
      </c>
      <c r="D13" s="151" t="n">
        <f aca="false">실적MM_입력!E13</f>
        <v>2.28571428571429</v>
      </c>
      <c r="E13" s="151" t="n">
        <f aca="false">$D13*($N$4/가정!$C$31)</f>
        <v>1.33333333333333</v>
      </c>
      <c r="F13" s="151" t="n">
        <f aca="false">$D13*CA_개요!J13/100</f>
        <v>1.71428571428571</v>
      </c>
      <c r="G13" s="151" t="n">
        <f aca="false">SUMPRODUCT((실적MM_입력!$B$5:$B$33=B13)*실적MM_입력!$AD$5:$AD$33)</f>
        <v>1.53333333333333</v>
      </c>
      <c r="H13" s="151" t="n">
        <f aca="false">F13-E13</f>
        <v>0.380952380952381</v>
      </c>
      <c r="I13" s="151" t="n">
        <f aca="false">F13-G13</f>
        <v>0.180952380952381</v>
      </c>
      <c r="J13" s="151" t="n">
        <f aca="false">IFERROR(F13/E13,0)</f>
        <v>1.28571428571429</v>
      </c>
      <c r="K13" s="151" t="n">
        <f aca="false">IFERROR(F13/G13,0)</f>
        <v>1.11801242236025</v>
      </c>
      <c r="L13" s="9"/>
      <c r="M13" s="9"/>
      <c r="N13" s="9"/>
      <c r="O13" s="9" t="n">
        <f aca="false">K13+ROW()*0.0000001</f>
        <v>1.11801372236025</v>
      </c>
      <c r="P13" s="152" t="n">
        <f aca="false">D13*가정!$C$42</f>
        <v>18285714.2857143</v>
      </c>
      <c r="Q13" s="152" t="n">
        <f aca="false">E13*가정!$C$42</f>
        <v>10666666.6666667</v>
      </c>
      <c r="R13" s="152" t="n">
        <f aca="false">F13*가정!$C$42</f>
        <v>13714285.7142857</v>
      </c>
      <c r="S13" s="152" t="n">
        <f aca="false">G13*가정!$C$42</f>
        <v>12266666.6666667</v>
      </c>
    </row>
    <row r="14" customFormat="false" ht="14.25" hidden="false" customHeight="true" outlineLevel="0" collapsed="false">
      <c r="A14" s="136" t="n">
        <v>10</v>
      </c>
      <c r="B14" s="136" t="s">
        <v>246</v>
      </c>
      <c r="C14" s="136" t="str">
        <f aca="false">CA_개요!C14</f>
        <v>시스템 아키텍처설계</v>
      </c>
      <c r="D14" s="151" t="n">
        <f aca="false">실적MM_입력!E14</f>
        <v>1.9047619047619</v>
      </c>
      <c r="E14" s="151" t="n">
        <f aca="false">$D14*($N$4/가정!$C$31)</f>
        <v>1.11111111111111</v>
      </c>
      <c r="F14" s="151" t="n">
        <f aca="false">$D14*CA_개요!J14/100</f>
        <v>1.9047619047619</v>
      </c>
      <c r="G14" s="151" t="n">
        <f aca="false">SUMPRODUCT((실적MM_입력!$B$5:$B$33=B14)*실적MM_입력!$AD$5:$AD$33)</f>
        <v>1.11111111111111</v>
      </c>
      <c r="H14" s="151" t="n">
        <f aca="false">F14-E14</f>
        <v>0.793650793650793</v>
      </c>
      <c r="I14" s="151" t="n">
        <f aca="false">F14-G14</f>
        <v>0.793650793650793</v>
      </c>
      <c r="J14" s="151" t="n">
        <f aca="false">IFERROR(F14/E14,0)</f>
        <v>1.71428571428571</v>
      </c>
      <c r="K14" s="151" t="n">
        <f aca="false">IFERROR(F14/G14,0)</f>
        <v>1.71428571428571</v>
      </c>
      <c r="L14" s="9"/>
      <c r="M14" s="9"/>
      <c r="N14" s="9"/>
      <c r="O14" s="9" t="n">
        <f aca="false">K14+ROW()*0.0000001</f>
        <v>1.71428711428571</v>
      </c>
      <c r="P14" s="152" t="n">
        <f aca="false">D14*가정!$C$42</f>
        <v>15238095.2380952</v>
      </c>
      <c r="Q14" s="152" t="n">
        <f aca="false">E14*가정!$C$42</f>
        <v>8888888.88888889</v>
      </c>
      <c r="R14" s="152" t="n">
        <f aca="false">F14*가정!$C$42</f>
        <v>15238095.2380952</v>
      </c>
      <c r="S14" s="152" t="n">
        <f aca="false">G14*가정!$C$42</f>
        <v>8888888.88888889</v>
      </c>
    </row>
    <row r="15" customFormat="false" ht="14.25" hidden="false" customHeight="true" outlineLevel="0" collapsed="false">
      <c r="A15" s="136" t="n">
        <v>11</v>
      </c>
      <c r="B15" s="136" t="s">
        <v>248</v>
      </c>
      <c r="C15" s="136" t="str">
        <f aca="false">CA_개요!C15</f>
        <v>시스템 통합/통합검증</v>
      </c>
      <c r="D15" s="151" t="n">
        <f aca="false">실적MM_입력!E15</f>
        <v>1.9047619047619</v>
      </c>
      <c r="E15" s="151" t="n">
        <f aca="false">$D15*($N$4/가정!$C$31)</f>
        <v>1.11111111111111</v>
      </c>
      <c r="F15" s="151" t="n">
        <f aca="false">$D15*CA_개요!J15/100</f>
        <v>1.61904761904762</v>
      </c>
      <c r="G15" s="151" t="n">
        <f aca="false">SUMPRODUCT((실적MM_입력!$B$5:$B$33=B15)*실적MM_입력!$AD$5:$AD$33)</f>
        <v>1.11111111111111</v>
      </c>
      <c r="H15" s="151" t="n">
        <f aca="false">F15-E15</f>
        <v>0.507936507936508</v>
      </c>
      <c r="I15" s="151" t="n">
        <f aca="false">F15-G15</f>
        <v>0.507936507936508</v>
      </c>
      <c r="J15" s="151" t="n">
        <f aca="false">IFERROR(F15/E15,0)</f>
        <v>1.45714285714286</v>
      </c>
      <c r="K15" s="151" t="n">
        <f aca="false">IFERROR(F15/G15,0)</f>
        <v>1.45714285714286</v>
      </c>
      <c r="L15" s="9"/>
      <c r="M15" s="9"/>
      <c r="N15" s="9"/>
      <c r="O15" s="9" t="n">
        <f aca="false">K15+ROW()*0.0000001</f>
        <v>1.45714435714286</v>
      </c>
      <c r="P15" s="152" t="n">
        <f aca="false">D15*가정!$C$42</f>
        <v>15238095.2380952</v>
      </c>
      <c r="Q15" s="152" t="n">
        <f aca="false">E15*가정!$C$42</f>
        <v>8888888.88888889</v>
      </c>
      <c r="R15" s="152" t="n">
        <f aca="false">F15*가정!$C$42</f>
        <v>12952380.952381</v>
      </c>
      <c r="S15" s="152" t="n">
        <f aca="false">G15*가정!$C$42</f>
        <v>8888888.88888889</v>
      </c>
    </row>
    <row r="16" customFormat="false" ht="14.25" hidden="false" customHeight="true" outlineLevel="0" collapsed="false">
      <c r="A16" s="136" t="n">
        <v>12</v>
      </c>
      <c r="B16" s="136" t="s">
        <v>250</v>
      </c>
      <c r="C16" s="136" t="str">
        <f aca="false">CA_개요!C16</f>
        <v>시스템 검증</v>
      </c>
      <c r="D16" s="151" t="n">
        <f aca="false">실적MM_입력!E16</f>
        <v>1.9047619047619</v>
      </c>
      <c r="E16" s="151" t="n">
        <f aca="false">$D16*($N$4/가정!$C$31)</f>
        <v>1.11111111111111</v>
      </c>
      <c r="F16" s="151" t="n">
        <f aca="false">$D16*CA_개요!J16/100</f>
        <v>0.571428571428571</v>
      </c>
      <c r="G16" s="151" t="n">
        <f aca="false">SUMPRODUCT((실적MM_입력!$B$5:$B$33=B16)*실적MM_입력!$AD$5:$AD$33)</f>
        <v>1.11111111111111</v>
      </c>
      <c r="H16" s="151" t="n">
        <f aca="false">F16-E16</f>
        <v>-0.53968253968254</v>
      </c>
      <c r="I16" s="151" t="n">
        <f aca="false">F16-G16</f>
        <v>-0.53968253968254</v>
      </c>
      <c r="J16" s="151" t="n">
        <f aca="false">IFERROR(F16/E16,0)</f>
        <v>0.514285714285714</v>
      </c>
      <c r="K16" s="151" t="n">
        <f aca="false">IFERROR(F16/G16,0)</f>
        <v>0.514285714285714</v>
      </c>
      <c r="L16" s="9"/>
      <c r="M16" s="9"/>
      <c r="N16" s="9"/>
      <c r="O16" s="9" t="n">
        <f aca="false">K16+ROW()*0.0000001</f>
        <v>0.514287314285714</v>
      </c>
      <c r="P16" s="152" t="n">
        <f aca="false">D16*가정!$C$42</f>
        <v>15238095.2380952</v>
      </c>
      <c r="Q16" s="152" t="n">
        <f aca="false">E16*가정!$C$42</f>
        <v>8888888.88888889</v>
      </c>
      <c r="R16" s="152" t="n">
        <f aca="false">F16*가정!$C$42</f>
        <v>4571428.57142857</v>
      </c>
      <c r="S16" s="152" t="n">
        <f aca="false">G16*가정!$C$42</f>
        <v>8888888.88888889</v>
      </c>
    </row>
    <row r="17" customFormat="false" ht="14.25" hidden="false" customHeight="true" outlineLevel="0" collapsed="false">
      <c r="A17" s="136" t="n">
        <v>13</v>
      </c>
      <c r="B17" s="136" t="s">
        <v>253</v>
      </c>
      <c r="C17" s="136" t="str">
        <f aca="false">CA_개요!C17</f>
        <v>SW 요구사항분석</v>
      </c>
      <c r="D17" s="151" t="n">
        <f aca="false">실적MM_입력!E17</f>
        <v>3.27272727272727</v>
      </c>
      <c r="E17" s="151" t="n">
        <f aca="false">$D17*($N$4/가정!$C$31)</f>
        <v>1.90909090909091</v>
      </c>
      <c r="F17" s="151" t="n">
        <f aca="false">$D17*CA_개요!J17/100</f>
        <v>2.45454545454545</v>
      </c>
      <c r="G17" s="151" t="n">
        <f aca="false">SUMPRODUCT((실적MM_입력!$B$5:$B$33=B17)*실적MM_입력!$AD$5:$AD$33)</f>
        <v>2.19545454545455</v>
      </c>
      <c r="H17" s="151" t="n">
        <f aca="false">F17-E17</f>
        <v>0.545454545454545</v>
      </c>
      <c r="I17" s="151" t="n">
        <f aca="false">F17-G17</f>
        <v>0.259090909090909</v>
      </c>
      <c r="J17" s="151" t="n">
        <f aca="false">IFERROR(F17/E17,0)</f>
        <v>1.28571428571429</v>
      </c>
      <c r="K17" s="151" t="n">
        <f aca="false">IFERROR(F17/G17,0)</f>
        <v>1.11801242236025</v>
      </c>
      <c r="L17" s="9"/>
      <c r="M17" s="9"/>
      <c r="N17" s="9"/>
      <c r="O17" s="9" t="n">
        <f aca="false">K17+ROW()*0.0000001</f>
        <v>1.11801412236025</v>
      </c>
      <c r="P17" s="152" t="n">
        <f aca="false">D17*가정!$C$42</f>
        <v>26181818.1818182</v>
      </c>
      <c r="Q17" s="152" t="n">
        <f aca="false">E17*가정!$C$42</f>
        <v>15272727.2727273</v>
      </c>
      <c r="R17" s="152" t="n">
        <f aca="false">F17*가정!$C$42</f>
        <v>19636363.6363636</v>
      </c>
      <c r="S17" s="152" t="n">
        <f aca="false">G17*가정!$C$42</f>
        <v>17563636.3636364</v>
      </c>
    </row>
    <row r="18" customFormat="false" ht="14.25" hidden="false" customHeight="true" outlineLevel="0" collapsed="false">
      <c r="A18" s="136" t="n">
        <v>14</v>
      </c>
      <c r="B18" s="136" t="s">
        <v>256</v>
      </c>
      <c r="C18" s="136" t="str">
        <f aca="false">CA_개요!C18</f>
        <v>SW 아키텍처설계</v>
      </c>
      <c r="D18" s="151" t="n">
        <f aca="false">실적MM_입력!E18</f>
        <v>2.72727272727273</v>
      </c>
      <c r="E18" s="151" t="n">
        <f aca="false">$D18*($N$4/가정!$C$31)</f>
        <v>1.59090909090909</v>
      </c>
      <c r="F18" s="151" t="n">
        <f aca="false">$D18*CA_개요!J18/100</f>
        <v>2.72727272727273</v>
      </c>
      <c r="G18" s="151" t="n">
        <f aca="false">SUMPRODUCT((실적MM_입력!$B$5:$B$33=B18)*실적MM_입력!$AD$5:$AD$33)</f>
        <v>1.59090909090909</v>
      </c>
      <c r="H18" s="151" t="n">
        <f aca="false">F18-E18</f>
        <v>1.13636363636364</v>
      </c>
      <c r="I18" s="151" t="n">
        <f aca="false">F18-G18</f>
        <v>1.13636363636364</v>
      </c>
      <c r="J18" s="151" t="n">
        <f aca="false">IFERROR(F18/E18,0)</f>
        <v>1.71428571428571</v>
      </c>
      <c r="K18" s="151" t="n">
        <f aca="false">IFERROR(F18/G18,0)</f>
        <v>1.71428571428571</v>
      </c>
      <c r="L18" s="9"/>
      <c r="M18" s="9"/>
      <c r="N18" s="9"/>
      <c r="O18" s="9" t="n">
        <f aca="false">K18+ROW()*0.0000001</f>
        <v>1.71428751428571</v>
      </c>
      <c r="P18" s="152" t="n">
        <f aca="false">D18*가정!$C$42</f>
        <v>21818181.8181818</v>
      </c>
      <c r="Q18" s="152" t="n">
        <f aca="false">E18*가정!$C$42</f>
        <v>12727272.7272727</v>
      </c>
      <c r="R18" s="152" t="n">
        <f aca="false">F18*가정!$C$42</f>
        <v>21818181.8181818</v>
      </c>
      <c r="S18" s="152" t="n">
        <f aca="false">G18*가정!$C$42</f>
        <v>12727272.7272727</v>
      </c>
    </row>
    <row r="19" customFormat="false" ht="14.25" hidden="false" customHeight="true" outlineLevel="0" collapsed="false">
      <c r="A19" s="136" t="n">
        <v>15</v>
      </c>
      <c r="B19" s="136" t="s">
        <v>258</v>
      </c>
      <c r="C19" s="136" t="str">
        <f aca="false">CA_개요!C19</f>
        <v>SW 상세설계/단위구현(ASW)</v>
      </c>
      <c r="D19" s="151" t="n">
        <f aca="false">실적MM_입력!E19</f>
        <v>2.68292682926829</v>
      </c>
      <c r="E19" s="151" t="n">
        <f aca="false">$D19*($N$4/가정!$C$31)</f>
        <v>1.5650406504065</v>
      </c>
      <c r="F19" s="151" t="n">
        <f aca="false">$D19*CA_개요!J19/100</f>
        <v>1.74390243902439</v>
      </c>
      <c r="G19" s="151" t="n">
        <f aca="false">SUMPRODUCT((실적MM_입력!$B$5:$B$33=B19)*실적MM_입력!$AD$5:$AD$33)</f>
        <v>1.72154471544715</v>
      </c>
      <c r="H19" s="151" t="n">
        <f aca="false">F19-E19</f>
        <v>0.178861788617886</v>
      </c>
      <c r="I19" s="151" t="n">
        <f aca="false">F19-G19</f>
        <v>0.0223577235772359</v>
      </c>
      <c r="J19" s="151" t="n">
        <f aca="false">IFERROR(F19/E19,0)</f>
        <v>1.11428571428571</v>
      </c>
      <c r="K19" s="151" t="n">
        <f aca="false">IFERROR(F19/G19,0)</f>
        <v>1.01298701298701</v>
      </c>
      <c r="L19" s="9"/>
      <c r="M19" s="9"/>
      <c r="N19" s="9"/>
      <c r="O19" s="9" t="n">
        <f aca="false">K19+ROW()*0.0000001</f>
        <v>1.01298891298701</v>
      </c>
      <c r="P19" s="152" t="n">
        <f aca="false">D19*가정!$C$42</f>
        <v>21463414.6341463</v>
      </c>
      <c r="Q19" s="152" t="n">
        <f aca="false">E19*가정!$C$42</f>
        <v>12520325.203252</v>
      </c>
      <c r="R19" s="152" t="n">
        <f aca="false">F19*가정!$C$42</f>
        <v>13951219.5121951</v>
      </c>
      <c r="S19" s="152" t="n">
        <f aca="false">G19*가정!$C$42</f>
        <v>13772357.7235772</v>
      </c>
    </row>
    <row r="20" customFormat="false" ht="14.25" hidden="false" customHeight="true" outlineLevel="0" collapsed="false">
      <c r="A20" s="136" t="n">
        <v>16</v>
      </c>
      <c r="B20" s="136" t="s">
        <v>262</v>
      </c>
      <c r="C20" s="136" t="str">
        <f aca="false">CA_개요!C20</f>
        <v>SW 상세설계/단위구현(BSW)</v>
      </c>
      <c r="D20" s="151" t="n">
        <f aca="false">실적MM_입력!E20</f>
        <v>10</v>
      </c>
      <c r="E20" s="151" t="n">
        <f aca="false">$D20*($N$4/가정!$C$31)</f>
        <v>5.83333333333333</v>
      </c>
      <c r="F20" s="151" t="n">
        <f aca="false">$D20*CA_개요!J20/100</f>
        <v>10</v>
      </c>
      <c r="G20" s="151" t="n">
        <f aca="false">SUMPRODUCT((실적MM_입력!$B$5:$B$33=B20)*실적MM_입력!$AD$5:$AD$33)</f>
        <v>5.54166666666667</v>
      </c>
      <c r="H20" s="151" t="n">
        <f aca="false">F20-E20</f>
        <v>4.16666666666667</v>
      </c>
      <c r="I20" s="151" t="n">
        <f aca="false">F20-G20</f>
        <v>4.45833333333333</v>
      </c>
      <c r="J20" s="151" t="n">
        <f aca="false">IFERROR(F20/E20,0)</f>
        <v>1.71428571428571</v>
      </c>
      <c r="K20" s="151" t="n">
        <f aca="false">IFERROR(F20/G20,0)</f>
        <v>1.80451127819549</v>
      </c>
      <c r="L20" s="9"/>
      <c r="M20" s="9"/>
      <c r="N20" s="9"/>
      <c r="O20" s="9" t="n">
        <f aca="false">K20+ROW()*0.0000001</f>
        <v>1.80451327819549</v>
      </c>
      <c r="P20" s="152" t="n">
        <f aca="false">D20*가정!$C$42</f>
        <v>80000000</v>
      </c>
      <c r="Q20" s="152" t="n">
        <f aca="false">E20*가정!$C$42</f>
        <v>46666666.6666667</v>
      </c>
      <c r="R20" s="152" t="n">
        <f aca="false">F20*가정!$C$42</f>
        <v>80000000</v>
      </c>
      <c r="S20" s="152" t="n">
        <f aca="false">G20*가정!$C$42</f>
        <v>44333333.3333333</v>
      </c>
    </row>
    <row r="21" customFormat="false" ht="14.25" hidden="false" customHeight="true" outlineLevel="0" collapsed="false">
      <c r="A21" s="136" t="n">
        <v>17</v>
      </c>
      <c r="B21" s="136" t="s">
        <v>266</v>
      </c>
      <c r="C21" s="136" t="str">
        <f aca="false">CA_개요!C21</f>
        <v>SW 단위검증(ASW)</v>
      </c>
      <c r="D21" s="151" t="n">
        <f aca="false">실적MM_입력!E21</f>
        <v>2.68292682926829</v>
      </c>
      <c r="E21" s="151" t="n">
        <f aca="false">$D21*($N$4/가정!$C$31)</f>
        <v>1.5650406504065</v>
      </c>
      <c r="F21" s="151" t="n">
        <f aca="false">$D21*CA_개요!J21/100</f>
        <v>1.74390243902439</v>
      </c>
      <c r="G21" s="151" t="n">
        <f aca="false">SUMPRODUCT((실적MM_입력!$B$5:$B$33=B21)*실적MM_입력!$AD$5:$AD$33)</f>
        <v>1.64329268292683</v>
      </c>
      <c r="H21" s="151" t="n">
        <f aca="false">F21-E21</f>
        <v>0.178861788617886</v>
      </c>
      <c r="I21" s="151" t="n">
        <f aca="false">F21-G21</f>
        <v>0.100609756097561</v>
      </c>
      <c r="J21" s="151" t="n">
        <f aca="false">IFERROR(F21/E21,0)</f>
        <v>1.11428571428571</v>
      </c>
      <c r="K21" s="151" t="n">
        <f aca="false">IFERROR(F21/G21,0)</f>
        <v>1.06122448979592</v>
      </c>
      <c r="L21" s="9"/>
      <c r="M21" s="9"/>
      <c r="N21" s="9"/>
      <c r="O21" s="9" t="n">
        <f aca="false">K21+ROW()*0.0000001</f>
        <v>1.06122658979592</v>
      </c>
      <c r="P21" s="152" t="n">
        <f aca="false">D21*가정!$C$42</f>
        <v>21463414.6341463</v>
      </c>
      <c r="Q21" s="152" t="n">
        <f aca="false">E21*가정!$C$42</f>
        <v>12520325.203252</v>
      </c>
      <c r="R21" s="152" t="n">
        <f aca="false">F21*가정!$C$42</f>
        <v>13951219.5121951</v>
      </c>
      <c r="S21" s="152" t="n">
        <f aca="false">G21*가정!$C$42</f>
        <v>13146341.4634146</v>
      </c>
    </row>
    <row r="22" customFormat="false" ht="14.25" hidden="false" customHeight="true" outlineLevel="0" collapsed="false">
      <c r="A22" s="136" t="n">
        <v>18</v>
      </c>
      <c r="B22" s="136" t="s">
        <v>269</v>
      </c>
      <c r="C22" s="136" t="str">
        <f aca="false">CA_개요!C22</f>
        <v>SW 단위검증(BSW)</v>
      </c>
      <c r="D22" s="151" t="n">
        <f aca="false">실적MM_입력!E22</f>
        <v>10</v>
      </c>
      <c r="E22" s="151" t="n">
        <f aca="false">$D22*($N$4/가정!$C$31)</f>
        <v>5.83333333333333</v>
      </c>
      <c r="F22" s="151" t="n">
        <f aca="false">$D22*CA_개요!J22/100</f>
        <v>10</v>
      </c>
      <c r="G22" s="151" t="n">
        <f aca="false">SUMPRODUCT((실적MM_입력!$B$5:$B$33=B22)*실적MM_입력!$AD$5:$AD$33)</f>
        <v>5.54166666666667</v>
      </c>
      <c r="H22" s="151" t="n">
        <f aca="false">F22-E22</f>
        <v>4.16666666666667</v>
      </c>
      <c r="I22" s="151" t="n">
        <f aca="false">F22-G22</f>
        <v>4.45833333333333</v>
      </c>
      <c r="J22" s="151" t="n">
        <f aca="false">IFERROR(F22/E22,0)</f>
        <v>1.71428571428571</v>
      </c>
      <c r="K22" s="151" t="n">
        <f aca="false">IFERROR(F22/G22,0)</f>
        <v>1.80451127819549</v>
      </c>
      <c r="L22" s="9"/>
      <c r="M22" s="9"/>
      <c r="N22" s="9"/>
      <c r="O22" s="9" t="n">
        <f aca="false">K22+ROW()*0.0000001</f>
        <v>1.80451347819549</v>
      </c>
      <c r="P22" s="152" t="n">
        <f aca="false">D22*가정!$C$42</f>
        <v>80000000</v>
      </c>
      <c r="Q22" s="152" t="n">
        <f aca="false">E22*가정!$C$42</f>
        <v>46666666.6666667</v>
      </c>
      <c r="R22" s="152" t="n">
        <f aca="false">F22*가정!$C$42</f>
        <v>80000000</v>
      </c>
      <c r="S22" s="152" t="n">
        <f aca="false">G22*가정!$C$42</f>
        <v>44333333.3333333</v>
      </c>
    </row>
    <row r="23" customFormat="false" ht="14.25" hidden="false" customHeight="true" outlineLevel="0" collapsed="false">
      <c r="A23" s="136" t="n">
        <v>19</v>
      </c>
      <c r="B23" s="136" t="s">
        <v>272</v>
      </c>
      <c r="C23" s="136" t="str">
        <f aca="false">CA_개요!C23</f>
        <v>SW 통합/통합검증</v>
      </c>
      <c r="D23" s="151" t="n">
        <f aca="false">실적MM_입력!E23</f>
        <v>6</v>
      </c>
      <c r="E23" s="151" t="n">
        <f aca="false">$D23*($N$4/가정!$C$31)</f>
        <v>3.5</v>
      </c>
      <c r="F23" s="151" t="n">
        <f aca="false">$D23*CA_개요!J23/100</f>
        <v>5.142</v>
      </c>
      <c r="G23" s="151" t="n">
        <f aca="false">SUMPRODUCT((실적MM_입력!$B$5:$B$33=B23)*실적MM_입력!$AD$5:$AD$33)</f>
        <v>3.5</v>
      </c>
      <c r="H23" s="151" t="n">
        <f aca="false">F23-E23</f>
        <v>1.642</v>
      </c>
      <c r="I23" s="151" t="n">
        <f aca="false">F23-G23</f>
        <v>1.642</v>
      </c>
      <c r="J23" s="151" t="n">
        <f aca="false">IFERROR(F23/E23,0)</f>
        <v>1.46914285714286</v>
      </c>
      <c r="K23" s="151" t="n">
        <f aca="false">IFERROR(F23/G23,0)</f>
        <v>1.46914285714286</v>
      </c>
      <c r="L23" s="9"/>
      <c r="M23" s="9"/>
      <c r="N23" s="9"/>
      <c r="O23" s="9" t="n">
        <f aca="false">K23+ROW()*0.0000001</f>
        <v>1.46914515714286</v>
      </c>
      <c r="P23" s="152" t="n">
        <f aca="false">D23*가정!$C$42</f>
        <v>48000000</v>
      </c>
      <c r="Q23" s="152" t="n">
        <f aca="false">E23*가정!$C$42</f>
        <v>28000000</v>
      </c>
      <c r="R23" s="152" t="n">
        <f aca="false">F23*가정!$C$42</f>
        <v>41136000</v>
      </c>
      <c r="S23" s="152" t="n">
        <f aca="false">G23*가정!$C$42</f>
        <v>28000000</v>
      </c>
    </row>
    <row r="24" customFormat="false" ht="14.25" hidden="false" customHeight="true" outlineLevel="0" collapsed="false">
      <c r="A24" s="136" t="n">
        <v>20</v>
      </c>
      <c r="B24" s="136" t="s">
        <v>275</v>
      </c>
      <c r="C24" s="136" t="str">
        <f aca="false">CA_개요!C24</f>
        <v>SW 검증</v>
      </c>
      <c r="D24" s="151" t="n">
        <f aca="false">실적MM_입력!E24</f>
        <v>1</v>
      </c>
      <c r="E24" s="151" t="n">
        <f aca="false">$D24*($N$4/가정!$C$31)</f>
        <v>0.583333333333333</v>
      </c>
      <c r="F24" s="151" t="n">
        <f aca="false">$D24*CA_개요!J24/100</f>
        <v>0.3</v>
      </c>
      <c r="G24" s="151" t="n">
        <f aca="false">SUMPRODUCT((실적MM_입력!$B$5:$B$33=B24)*실적MM_입력!$AD$5:$AD$33)</f>
        <v>0.583333333333333</v>
      </c>
      <c r="H24" s="151" t="n">
        <f aca="false">F24-E24</f>
        <v>-0.283333333333333</v>
      </c>
      <c r="I24" s="151" t="n">
        <f aca="false">F24-G24</f>
        <v>-0.283333333333333</v>
      </c>
      <c r="J24" s="151" t="n">
        <f aca="false">IFERROR(F24/E24,0)</f>
        <v>0.514285714285714</v>
      </c>
      <c r="K24" s="151" t="n">
        <f aca="false">IFERROR(F24/G24,0)</f>
        <v>0.514285714285714</v>
      </c>
      <c r="L24" s="9"/>
      <c r="M24" s="9"/>
      <c r="N24" s="9"/>
      <c r="O24" s="9" t="n">
        <f aca="false">K24+ROW()*0.0000001</f>
        <v>0.514288114285714</v>
      </c>
      <c r="P24" s="152" t="n">
        <f aca="false">D24*가정!$C$42</f>
        <v>8000000</v>
      </c>
      <c r="Q24" s="152" t="n">
        <f aca="false">E24*가정!$C$42</f>
        <v>4666666.66666667</v>
      </c>
      <c r="R24" s="152" t="n">
        <f aca="false">F24*가정!$C$42</f>
        <v>2400000</v>
      </c>
      <c r="S24" s="152" t="n">
        <f aca="false">G24*가정!$C$42</f>
        <v>4666666.66666667</v>
      </c>
    </row>
    <row r="25" customFormat="false" ht="14.25" hidden="false" customHeight="true" outlineLevel="0" collapsed="false">
      <c r="A25" s="136" t="n">
        <v>21</v>
      </c>
      <c r="B25" s="136" t="s">
        <v>278</v>
      </c>
      <c r="C25" s="136" t="str">
        <f aca="false">CA_개요!C25</f>
        <v>제품확인(Validation)</v>
      </c>
      <c r="D25" s="151" t="n">
        <f aca="false">실적MM_입력!E25</f>
        <v>1</v>
      </c>
      <c r="E25" s="151" t="n">
        <f aca="false">$D25*($N$4/가정!$C$31)</f>
        <v>0.583333333333333</v>
      </c>
      <c r="F25" s="151" t="n">
        <f aca="false">$D25*CA_개요!J25/100</f>
        <v>0</v>
      </c>
      <c r="G25" s="151" t="n">
        <f aca="false">SUMPRODUCT((실적MM_입력!$B$5:$B$33=B25)*실적MM_입력!$AD$5:$AD$33)</f>
        <v>0.583333333333333</v>
      </c>
      <c r="H25" s="151" t="n">
        <f aca="false">F25-E25</f>
        <v>-0.583333333333333</v>
      </c>
      <c r="I25" s="151" t="n">
        <f aca="false">F25-G25</f>
        <v>-0.583333333333333</v>
      </c>
      <c r="J25" s="151" t="n">
        <f aca="false">IFERROR(F25/E25,0)</f>
        <v>0</v>
      </c>
      <c r="K25" s="151" t="n">
        <f aca="false">IFERROR(F25/G25,0)</f>
        <v>0</v>
      </c>
      <c r="L25" s="9"/>
      <c r="M25" s="9"/>
      <c r="N25" s="9"/>
      <c r="O25" s="9" t="n">
        <f aca="false">K25+ROW()*0.0000001</f>
        <v>2.5E-006</v>
      </c>
      <c r="P25" s="152" t="n">
        <f aca="false">D25*가정!$C$42</f>
        <v>8000000</v>
      </c>
      <c r="Q25" s="152" t="n">
        <f aca="false">E25*가정!$C$42</f>
        <v>4666666.66666667</v>
      </c>
      <c r="R25" s="152" t="n">
        <f aca="false">F25*가정!$C$42</f>
        <v>0</v>
      </c>
      <c r="S25" s="152" t="n">
        <f aca="false">G25*가정!$C$42</f>
        <v>4666666.66666667</v>
      </c>
    </row>
    <row r="26" customFormat="false" ht="14.25" hidden="false" customHeight="true" outlineLevel="0" collapsed="false">
      <c r="A26" s="136" t="n">
        <v>22</v>
      </c>
      <c r="B26" s="136" t="s">
        <v>281</v>
      </c>
      <c r="C26" s="136" t="str">
        <f aca="false">CA_개요!C26</f>
        <v>ML 요구사항분석(ASW에 포함)</v>
      </c>
      <c r="D26" s="151" t="n">
        <f aca="false">실적MM_입력!E26</f>
        <v>3.21951219512195</v>
      </c>
      <c r="E26" s="151" t="n">
        <f aca="false">$D26*($N$4/가정!$C$31)</f>
        <v>1.87804878048781</v>
      </c>
      <c r="F26" s="151" t="n">
        <f aca="false">$D26*CA_개요!J26/100</f>
        <v>3.21951219512195</v>
      </c>
      <c r="G26" s="151" t="n">
        <f aca="false">SUMPRODUCT((실적MM_입력!$B$5:$B$33=B26)*실적MM_입력!$AD$5:$AD$33)</f>
        <v>1.87804878048781</v>
      </c>
      <c r="H26" s="151" t="n">
        <f aca="false">F26-E26</f>
        <v>1.34146341463415</v>
      </c>
      <c r="I26" s="151" t="n">
        <f aca="false">F26-G26</f>
        <v>1.34146341463415</v>
      </c>
      <c r="J26" s="151" t="n">
        <f aca="false">IFERROR(F26/E26,0)</f>
        <v>1.71428571428571</v>
      </c>
      <c r="K26" s="151" t="n">
        <f aca="false">IFERROR(F26/G26,0)</f>
        <v>1.71428571428571</v>
      </c>
      <c r="L26" s="9"/>
      <c r="M26" s="9"/>
      <c r="N26" s="9"/>
      <c r="O26" s="9" t="n">
        <f aca="false">K26+ROW()*0.0000001</f>
        <v>1.71428831428571</v>
      </c>
      <c r="P26" s="152" t="n">
        <f aca="false">D26*가정!$C$42</f>
        <v>25756097.5609756</v>
      </c>
      <c r="Q26" s="152" t="n">
        <f aca="false">E26*가정!$C$42</f>
        <v>15024390.2439024</v>
      </c>
      <c r="R26" s="152" t="n">
        <f aca="false">F26*가정!$C$42</f>
        <v>25756097.5609756</v>
      </c>
      <c r="S26" s="152" t="n">
        <f aca="false">G26*가정!$C$42</f>
        <v>15024390.2439024</v>
      </c>
    </row>
    <row r="27" customFormat="false" ht="14.25" hidden="false" customHeight="true" outlineLevel="0" collapsed="false">
      <c r="A27" s="136" t="n">
        <v>23</v>
      </c>
      <c r="B27" s="136" t="s">
        <v>284</v>
      </c>
      <c r="C27" s="136" t="str">
        <f aca="false">CA_개요!C27</f>
        <v>ML 아키텍처설계(ASW에 포함)</v>
      </c>
      <c r="D27" s="151" t="n">
        <f aca="false">실적MM_입력!E27</f>
        <v>3.75609756097561</v>
      </c>
      <c r="E27" s="151" t="n">
        <f aca="false">$D27*($N$4/가정!$C$31)</f>
        <v>2.19105691056911</v>
      </c>
      <c r="F27" s="151" t="n">
        <f aca="false">$D27*CA_개요!J27/100</f>
        <v>3.75609756097561</v>
      </c>
      <c r="G27" s="151" t="n">
        <f aca="false">SUMPRODUCT((실적MM_입력!$B$5:$B$33=B27)*실적MM_입력!$AD$5:$AD$33)</f>
        <v>2.19105691056911</v>
      </c>
      <c r="H27" s="151" t="n">
        <f aca="false">F27-E27</f>
        <v>1.5650406504065</v>
      </c>
      <c r="I27" s="151" t="n">
        <f aca="false">F27-G27</f>
        <v>1.5650406504065</v>
      </c>
      <c r="J27" s="151" t="n">
        <f aca="false">IFERROR(F27/E27,0)</f>
        <v>1.71428571428571</v>
      </c>
      <c r="K27" s="151" t="n">
        <f aca="false">IFERROR(F27/G27,0)</f>
        <v>1.71428571428571</v>
      </c>
      <c r="L27" s="9"/>
      <c r="M27" s="9"/>
      <c r="N27" s="9"/>
      <c r="O27" s="9" t="n">
        <f aca="false">K27+ROW()*0.0000001</f>
        <v>1.71428841428571</v>
      </c>
      <c r="P27" s="152" t="n">
        <f aca="false">D27*가정!$C$42</f>
        <v>30048780.4878049</v>
      </c>
      <c r="Q27" s="152" t="n">
        <f aca="false">E27*가정!$C$42</f>
        <v>17528455.2845529</v>
      </c>
      <c r="R27" s="152" t="n">
        <f aca="false">F27*가정!$C$42</f>
        <v>30048780.4878049</v>
      </c>
      <c r="S27" s="152" t="n">
        <f aca="false">G27*가정!$C$42</f>
        <v>17528455.2845529</v>
      </c>
    </row>
    <row r="28" customFormat="false" ht="14.25" hidden="false" customHeight="true" outlineLevel="0" collapsed="false">
      <c r="A28" s="136" t="n">
        <v>24</v>
      </c>
      <c r="B28" s="136" t="s">
        <v>286</v>
      </c>
      <c r="C28" s="136" t="str">
        <f aca="false">CA_개요!C28</f>
        <v>ML 훈련/검증(ASW에 포함)</v>
      </c>
      <c r="D28" s="151" t="n">
        <f aca="false">실적MM_입력!E28</f>
        <v>2.68292682926829</v>
      </c>
      <c r="E28" s="151" t="n">
        <f aca="false">$D28*($N$4/가정!$C$31)</f>
        <v>1.5650406504065</v>
      </c>
      <c r="F28" s="151" t="n">
        <f aca="false">$D28*CA_개요!J28/100</f>
        <v>2.28048780487805</v>
      </c>
      <c r="G28" s="151" t="n">
        <f aca="false">SUMPRODUCT((실적MM_입력!$B$5:$B$33=B28)*실적MM_입력!$AD$5:$AD$33)</f>
        <v>1.5650406504065</v>
      </c>
      <c r="H28" s="151" t="n">
        <f aca="false">F28-E28</f>
        <v>0.715447154471545</v>
      </c>
      <c r="I28" s="151" t="n">
        <f aca="false">F28-G28</f>
        <v>0.715447154471545</v>
      </c>
      <c r="J28" s="151" t="n">
        <f aca="false">IFERROR(F28/E28,0)</f>
        <v>1.45714285714286</v>
      </c>
      <c r="K28" s="151" t="n">
        <f aca="false">IFERROR(F28/G28,0)</f>
        <v>1.45714285714286</v>
      </c>
      <c r="L28" s="9"/>
      <c r="M28" s="9"/>
      <c r="N28" s="9"/>
      <c r="O28" s="9" t="n">
        <f aca="false">K28+ROW()*0.0000001</f>
        <v>1.45714565714286</v>
      </c>
      <c r="P28" s="152" t="n">
        <f aca="false">D28*가정!$C$42</f>
        <v>21463414.6341463</v>
      </c>
      <c r="Q28" s="152" t="n">
        <f aca="false">E28*가정!$C$42</f>
        <v>12520325.203252</v>
      </c>
      <c r="R28" s="152" t="n">
        <f aca="false">F28*가정!$C$42</f>
        <v>18243902.4390244</v>
      </c>
      <c r="S28" s="152" t="n">
        <f aca="false">G28*가정!$C$42</f>
        <v>12520325.203252</v>
      </c>
    </row>
    <row r="29" customFormat="false" ht="14.25" hidden="false" customHeight="true" outlineLevel="0" collapsed="false">
      <c r="A29" s="136" t="n">
        <v>25</v>
      </c>
      <c r="B29" s="136" t="s">
        <v>288</v>
      </c>
      <c r="C29" s="136" t="str">
        <f aca="false">CA_개요!C29</f>
        <v>ML 테스트(ASW에 포함)</v>
      </c>
      <c r="D29" s="151" t="n">
        <f aca="false">실적MM_입력!E29</f>
        <v>3.75609756097561</v>
      </c>
      <c r="E29" s="151" t="n">
        <f aca="false">$D29*($N$4/가정!$C$31)</f>
        <v>2.19105691056911</v>
      </c>
      <c r="F29" s="151" t="n">
        <f aca="false">$D29*CA_개요!J29/100</f>
        <v>1.20570731707317</v>
      </c>
      <c r="G29" s="151" t="n">
        <f aca="false">SUMPRODUCT((실적MM_입력!$B$5:$B$33=B29)*실적MM_입력!$AD$5:$AD$33)</f>
        <v>2.19105691056911</v>
      </c>
      <c r="H29" s="151" t="n">
        <f aca="false">F29-E29</f>
        <v>-0.985349593495935</v>
      </c>
      <c r="I29" s="151" t="n">
        <f aca="false">F29-G29</f>
        <v>-0.985349593495935</v>
      </c>
      <c r="J29" s="151" t="n">
        <f aca="false">IFERROR(F29/E29,0)</f>
        <v>0.550285714285714</v>
      </c>
      <c r="K29" s="151" t="n">
        <f aca="false">IFERROR(F29/G29,0)</f>
        <v>0.550285714285714</v>
      </c>
      <c r="L29" s="9"/>
      <c r="M29" s="9"/>
      <c r="N29" s="9"/>
      <c r="O29" s="9" t="n">
        <f aca="false">K29+ROW()*0.0000001</f>
        <v>0.550288614285714</v>
      </c>
      <c r="P29" s="152" t="n">
        <f aca="false">D29*가정!$C$42</f>
        <v>30048780.4878049</v>
      </c>
      <c r="Q29" s="152" t="n">
        <f aca="false">E29*가정!$C$42</f>
        <v>17528455.2845529</v>
      </c>
      <c r="R29" s="152" t="n">
        <f aca="false">F29*가정!$C$42</f>
        <v>9645658.53658537</v>
      </c>
      <c r="S29" s="152" t="n">
        <f aca="false">G29*가정!$C$42</f>
        <v>17528455.2845529</v>
      </c>
    </row>
    <row r="30" customFormat="false" ht="14.25" hidden="false" customHeight="true" outlineLevel="0" collapsed="false">
      <c r="A30" s="136" t="n">
        <v>26</v>
      </c>
      <c r="B30" s="136" t="s">
        <v>290</v>
      </c>
      <c r="C30" s="136" t="str">
        <f aca="false">CA_개요!C30</f>
        <v>HW 요구사항분석</v>
      </c>
      <c r="D30" s="151" t="n">
        <f aca="false">실적MM_입력!E30</f>
        <v>1.5</v>
      </c>
      <c r="E30" s="151" t="n">
        <f aca="false">$D30*($N$4/가정!$C$31)</f>
        <v>0.875</v>
      </c>
      <c r="F30" s="151" t="n">
        <f aca="false">$D30*CA_개요!J30/100</f>
        <v>1.5</v>
      </c>
      <c r="G30" s="151" t="n">
        <f aca="false">SUMPRODUCT((실적MM_입력!$B$5:$B$33=B30)*실적MM_입력!$AD$5:$AD$33)</f>
        <v>0.83125</v>
      </c>
      <c r="H30" s="151" t="n">
        <f aca="false">F30-E30</f>
        <v>0.625</v>
      </c>
      <c r="I30" s="151" t="n">
        <f aca="false">F30-G30</f>
        <v>0.66875</v>
      </c>
      <c r="J30" s="151" t="n">
        <f aca="false">IFERROR(F30/E30,0)</f>
        <v>1.71428571428571</v>
      </c>
      <c r="K30" s="151" t="n">
        <f aca="false">IFERROR(F30/G30,0)</f>
        <v>1.80451127819549</v>
      </c>
      <c r="L30" s="9"/>
      <c r="M30" s="9"/>
      <c r="N30" s="9"/>
      <c r="O30" s="9" t="n">
        <f aca="false">K30+ROW()*0.0000001</f>
        <v>1.80451427819549</v>
      </c>
      <c r="P30" s="152" t="n">
        <f aca="false">D30*가정!$C$42</f>
        <v>12000000</v>
      </c>
      <c r="Q30" s="152" t="n">
        <f aca="false">E30*가정!$C$42</f>
        <v>7000000</v>
      </c>
      <c r="R30" s="152" t="n">
        <f aca="false">F30*가정!$C$42</f>
        <v>12000000</v>
      </c>
      <c r="S30" s="152" t="n">
        <f aca="false">G30*가정!$C$42</f>
        <v>6650000</v>
      </c>
    </row>
    <row r="31" customFormat="false" ht="14.25" hidden="false" customHeight="true" outlineLevel="0" collapsed="false">
      <c r="A31" s="136" t="n">
        <v>27</v>
      </c>
      <c r="B31" s="136" t="s">
        <v>294</v>
      </c>
      <c r="C31" s="136" t="str">
        <f aca="false">CA_개요!C31</f>
        <v>HW 아키텍처/상세설계</v>
      </c>
      <c r="D31" s="151" t="n">
        <f aca="false">실적MM_입력!E31</f>
        <v>1.5</v>
      </c>
      <c r="E31" s="151" t="n">
        <f aca="false">$D31*($N$4/가정!$C$31)</f>
        <v>0.875</v>
      </c>
      <c r="F31" s="151" t="n">
        <f aca="false">$D31*CA_개요!J31/100</f>
        <v>1.5</v>
      </c>
      <c r="G31" s="151" t="n">
        <f aca="false">SUMPRODUCT((실적MM_입력!$B$5:$B$33=B31)*실적MM_입력!$AD$5:$AD$33)</f>
        <v>0.83125</v>
      </c>
      <c r="H31" s="151" t="n">
        <f aca="false">F31-E31</f>
        <v>0.625</v>
      </c>
      <c r="I31" s="151" t="n">
        <f aca="false">F31-G31</f>
        <v>0.66875</v>
      </c>
      <c r="J31" s="151" t="n">
        <f aca="false">IFERROR(F31/E31,0)</f>
        <v>1.71428571428571</v>
      </c>
      <c r="K31" s="151" t="n">
        <f aca="false">IFERROR(F31/G31,0)</f>
        <v>1.80451127819549</v>
      </c>
      <c r="L31" s="9"/>
      <c r="M31" s="9"/>
      <c r="N31" s="9"/>
      <c r="O31" s="9" t="n">
        <f aca="false">K31+ROW()*0.0000001</f>
        <v>1.80451437819549</v>
      </c>
      <c r="P31" s="152" t="n">
        <f aca="false">D31*가정!$C$42</f>
        <v>12000000</v>
      </c>
      <c r="Q31" s="152" t="n">
        <f aca="false">E31*가정!$C$42</f>
        <v>7000000</v>
      </c>
      <c r="R31" s="152" t="n">
        <f aca="false">F31*가정!$C$42</f>
        <v>12000000</v>
      </c>
      <c r="S31" s="152" t="n">
        <f aca="false">G31*가정!$C$42</f>
        <v>6650000</v>
      </c>
    </row>
    <row r="32" customFormat="false" ht="14.25" hidden="false" customHeight="true" outlineLevel="0" collapsed="false">
      <c r="A32" s="136" t="n">
        <v>28</v>
      </c>
      <c r="B32" s="136" t="s">
        <v>296</v>
      </c>
      <c r="C32" s="136" t="str">
        <f aca="false">CA_개요!C32</f>
        <v>HW 설계검증</v>
      </c>
      <c r="D32" s="151" t="n">
        <f aca="false">실적MM_입력!E32</f>
        <v>1.5</v>
      </c>
      <c r="E32" s="151" t="n">
        <f aca="false">$D32*($N$4/가정!$C$31)</f>
        <v>0.875</v>
      </c>
      <c r="F32" s="151" t="n">
        <f aca="false">$D32*CA_개요!J32/100</f>
        <v>1.35</v>
      </c>
      <c r="G32" s="151" t="n">
        <f aca="false">SUMPRODUCT((실적MM_입력!$B$5:$B$33=B32)*실적MM_입력!$AD$5:$AD$33)</f>
        <v>0.83125</v>
      </c>
      <c r="H32" s="151" t="n">
        <f aca="false">F32-E32</f>
        <v>0.475</v>
      </c>
      <c r="I32" s="151" t="n">
        <f aca="false">F32-G32</f>
        <v>0.51875</v>
      </c>
      <c r="J32" s="151" t="n">
        <f aca="false">IFERROR(F32/E32,0)</f>
        <v>1.54285714285714</v>
      </c>
      <c r="K32" s="151" t="n">
        <f aca="false">IFERROR(F32/G32,0)</f>
        <v>1.62406015037594</v>
      </c>
      <c r="L32" s="9"/>
      <c r="M32" s="9"/>
      <c r="N32" s="9"/>
      <c r="O32" s="9" t="n">
        <f aca="false">K32+ROW()*0.0000001</f>
        <v>1.62406335037594</v>
      </c>
      <c r="P32" s="152" t="n">
        <f aca="false">D32*가정!$C$42</f>
        <v>12000000</v>
      </c>
      <c r="Q32" s="152" t="n">
        <f aca="false">E32*가정!$C$42</f>
        <v>7000000</v>
      </c>
      <c r="R32" s="152" t="n">
        <f aca="false">F32*가정!$C$42</f>
        <v>10800000</v>
      </c>
      <c r="S32" s="152" t="n">
        <f aca="false">G32*가정!$C$42</f>
        <v>6650000</v>
      </c>
    </row>
    <row r="33" customFormat="false" ht="14.25" hidden="false" customHeight="true" outlineLevel="0" collapsed="false">
      <c r="A33" s="136" t="n">
        <v>29</v>
      </c>
      <c r="B33" s="136" t="s">
        <v>298</v>
      </c>
      <c r="C33" s="136" t="str">
        <f aca="false">CA_개요!C33</f>
        <v>HW 요구사항검증</v>
      </c>
      <c r="D33" s="151" t="n">
        <f aca="false">실적MM_입력!E33</f>
        <v>1.5</v>
      </c>
      <c r="E33" s="151" t="n">
        <f aca="false">$D33*($N$4/가정!$C$31)</f>
        <v>0.875</v>
      </c>
      <c r="F33" s="151" t="n">
        <f aca="false">$D33*CA_개요!J33/100</f>
        <v>0.6375</v>
      </c>
      <c r="G33" s="151" t="n">
        <f aca="false">SUMPRODUCT((실적MM_입력!$B$5:$B$33=B33)*실적MM_입력!$AD$5:$AD$33)</f>
        <v>0.83125</v>
      </c>
      <c r="H33" s="151" t="n">
        <f aca="false">F33-E33</f>
        <v>-0.2375</v>
      </c>
      <c r="I33" s="151" t="n">
        <f aca="false">F33-G33</f>
        <v>-0.19375</v>
      </c>
      <c r="J33" s="151" t="n">
        <f aca="false">IFERROR(F33/E33,0)</f>
        <v>0.728571428571429</v>
      </c>
      <c r="K33" s="151" t="n">
        <f aca="false">IFERROR(F33/G33,0)</f>
        <v>0.766917293233083</v>
      </c>
      <c r="L33" s="9"/>
      <c r="M33" s="9"/>
      <c r="N33" s="9"/>
      <c r="O33" s="9" t="n">
        <f aca="false">K33+ROW()*0.0000001</f>
        <v>0.766920593233083</v>
      </c>
      <c r="P33" s="152" t="n">
        <f aca="false">D33*가정!$C$42</f>
        <v>12000000</v>
      </c>
      <c r="Q33" s="152" t="n">
        <f aca="false">E33*가정!$C$42</f>
        <v>7000000</v>
      </c>
      <c r="R33" s="152" t="n">
        <f aca="false">F33*가정!$C$42</f>
        <v>5100000</v>
      </c>
      <c r="S33" s="152" t="n">
        <f aca="false">G33*가정!$C$42</f>
        <v>6650000</v>
      </c>
    </row>
    <row r="34" customFormat="false" ht="14.25" hidden="false" customHeight="true" outlineLevel="0" collapsed="false">
      <c r="A34" s="9"/>
      <c r="B34" s="9"/>
      <c r="C34" s="9"/>
      <c r="D34" s="9"/>
      <c r="E34" s="9"/>
      <c r="F34" s="9"/>
      <c r="G34" s="9"/>
      <c r="H34" s="9"/>
      <c r="I34" s="9"/>
      <c r="J34" s="9"/>
      <c r="K34" s="9"/>
      <c r="L34" s="9"/>
      <c r="M34" s="9"/>
      <c r="N34" s="9"/>
      <c r="O34" s="9"/>
    </row>
    <row r="35" customFormat="false" ht="14.25" hidden="false" customHeight="true" outlineLevel="0" collapsed="false">
      <c r="A35" s="9"/>
      <c r="B35" s="9"/>
      <c r="C35" s="92" t="s">
        <v>704</v>
      </c>
      <c r="D35" s="153" t="n">
        <f aca="false">SUM(D5:D33)</f>
        <v>100</v>
      </c>
      <c r="E35" s="153" t="n">
        <f aca="false">SUM(E5:E33)</f>
        <v>58.3333333333333</v>
      </c>
      <c r="F35" s="153" t="n">
        <f aca="false">SUM(F5:F33)</f>
        <v>84.4964286408927</v>
      </c>
      <c r="G35" s="153" t="n">
        <f aca="false">SUM(G5:G33)</f>
        <v>59.0145407865562</v>
      </c>
      <c r="H35" s="60" t="n">
        <f aca="false">F35-E35</f>
        <v>26.1630953075594</v>
      </c>
      <c r="I35" s="60" t="n">
        <f aca="false">F35-G35</f>
        <v>25.4818878543365</v>
      </c>
      <c r="J35" s="60" t="n">
        <f aca="false">IFERROR(F35/E35,0)</f>
        <v>1.44851020527245</v>
      </c>
      <c r="K35" s="60" t="n">
        <f aca="false">IFERROR(F35/G35,0)</f>
        <v>1.43178998793703</v>
      </c>
      <c r="L35" s="9"/>
      <c r="M35" s="9"/>
      <c r="N35" s="9"/>
      <c r="O35" s="9"/>
      <c r="P35" s="154" t="n">
        <f aca="false">SUM(P5:P33)</f>
        <v>800000000</v>
      </c>
      <c r="Q35" s="154" t="n">
        <f aca="false">SUM(Q5:Q33)</f>
        <v>466666666.666667</v>
      </c>
      <c r="R35" s="154" t="n">
        <f aca="false">SUM(R5:R33)</f>
        <v>675971429.127142</v>
      </c>
      <c r="S35" s="154" t="n">
        <f aca="false">SUM(S5:S33)</f>
        <v>472116326.29245</v>
      </c>
    </row>
  </sheetData>
  <mergeCells count="1">
    <mergeCell ref="M5:N5"/>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Q2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328125" defaultRowHeight="14.25" zeroHeight="false" outlineLevelRow="0" outlineLevelCol="0"/>
  <cols>
    <col collapsed="false" customWidth="true" hidden="false" outlineLevel="0" max="1" min="1" style="29" width="10"/>
    <col collapsed="false" customWidth="true" hidden="false" outlineLevel="0" max="2" min="2" style="29" width="8"/>
    <col collapsed="false" customWidth="true" hidden="false" outlineLevel="0" max="3" min="3" style="29" width="6"/>
    <col collapsed="false" customWidth="true" hidden="false" outlineLevel="0" max="4" min="4" style="29" width="40"/>
    <col collapsed="false" customWidth="true" hidden="false" outlineLevel="0" max="5" min="5" style="29" width="10"/>
    <col collapsed="false" customWidth="true" hidden="false" outlineLevel="0" max="6" min="6" style="29" width="12"/>
    <col collapsed="false" customWidth="true" hidden="false" outlineLevel="0" max="8" min="7" style="29" width="10"/>
    <col collapsed="false" customWidth="true" hidden="false" outlineLevel="0" max="9" min="9" style="29" width="9"/>
    <col collapsed="false" customWidth="true" hidden="false" outlineLevel="0" max="10" min="10" style="29" width="8"/>
    <col collapsed="false" customWidth="true" hidden="false" outlineLevel="0" max="11" min="11" style="29" width="7"/>
    <col collapsed="false" customWidth="true" hidden="false" outlineLevel="0" max="12" min="12" style="29" width="20"/>
    <col collapsed="false" customWidth="true" hidden="false" outlineLevel="0" max="13" min="13" style="29" width="3"/>
    <col collapsed="false" customWidth="true" hidden="false" outlineLevel="0" max="14" min="14" style="29" width="6"/>
    <col collapsed="false" customWidth="true" hidden="false" outlineLevel="0" max="16" min="15" style="29" width="10"/>
    <col collapsed="false" customWidth="true" hidden="false" outlineLevel="0" max="17" min="17" style="29" width="30"/>
  </cols>
  <sheetData>
    <row r="4" customFormat="false" ht="39" hidden="false" customHeight="true" outlineLevel="0" collapsed="false">
      <c r="A4" s="64" t="s">
        <v>664</v>
      </c>
      <c r="B4" s="56" t="s">
        <v>705</v>
      </c>
      <c r="C4" s="64" t="s">
        <v>303</v>
      </c>
      <c r="D4" s="56" t="s">
        <v>706</v>
      </c>
      <c r="E4" s="56" t="s">
        <v>707</v>
      </c>
      <c r="F4" s="56" t="s">
        <v>708</v>
      </c>
      <c r="G4" s="56" t="s">
        <v>709</v>
      </c>
      <c r="H4" s="56" t="s">
        <v>710</v>
      </c>
      <c r="I4" s="64" t="s">
        <v>711</v>
      </c>
      <c r="J4" s="56" t="s">
        <v>544</v>
      </c>
      <c r="K4" s="56" t="s">
        <v>712</v>
      </c>
      <c r="L4" s="56" t="s">
        <v>10</v>
      </c>
      <c r="M4" s="9"/>
      <c r="N4" s="155" t="s">
        <v>713</v>
      </c>
      <c r="O4" s="155"/>
      <c r="P4" s="155"/>
      <c r="Q4" s="155"/>
    </row>
    <row r="5" customFormat="false" ht="22.5" hidden="false" customHeight="true" outlineLevel="0" collapsed="false">
      <c r="A5" s="136" t="s">
        <v>714</v>
      </c>
      <c r="B5" s="156" t="s">
        <v>240</v>
      </c>
      <c r="C5" s="156" t="n">
        <v>1</v>
      </c>
      <c r="D5" s="157" t="s">
        <v>450</v>
      </c>
      <c r="E5" s="158"/>
      <c r="F5" s="158"/>
      <c r="G5" s="158"/>
      <c r="H5" s="158"/>
      <c r="I5" s="158"/>
      <c r="J5" s="156" t="n">
        <f aca="false">SUM(E5:I5)</f>
        <v>0</v>
      </c>
      <c r="K5" s="156" t="str">
        <f aca="false">IF(J5&gt;=95,"S",IF(J5&gt;=80,"A",IF(J5&gt;=60,"B",IF(J5&gt;=35,"C","D"))))</f>
        <v>D</v>
      </c>
      <c r="L5" s="136"/>
      <c r="M5" s="9"/>
      <c r="N5" s="136" t="s">
        <v>715</v>
      </c>
      <c r="O5" s="136" t="s">
        <v>716</v>
      </c>
      <c r="P5" s="159" t="s">
        <v>717</v>
      </c>
      <c r="Q5" s="159"/>
    </row>
    <row r="6" customFormat="false" ht="22.5" hidden="false" customHeight="true" outlineLevel="0" collapsed="false">
      <c r="A6" s="136" t="s">
        <v>714</v>
      </c>
      <c r="B6" s="156" t="s">
        <v>264</v>
      </c>
      <c r="C6" s="156" t="n">
        <v>1</v>
      </c>
      <c r="D6" s="157" t="s">
        <v>450</v>
      </c>
      <c r="E6" s="158"/>
      <c r="F6" s="158"/>
      <c r="G6" s="158"/>
      <c r="H6" s="158"/>
      <c r="I6" s="158"/>
      <c r="J6" s="156" t="n">
        <f aca="false">SUM(E6:I6)</f>
        <v>0</v>
      </c>
      <c r="K6" s="156" t="str">
        <f aca="false">IF(J6&gt;=95,"S",IF(J6&gt;=80,"A",IF(J6&gt;=60,"B",IF(J6&gt;=35,"C","D"))))</f>
        <v>D</v>
      </c>
      <c r="L6" s="136"/>
      <c r="M6" s="9"/>
      <c r="N6" s="136" t="s">
        <v>718</v>
      </c>
      <c r="O6" s="136" t="s">
        <v>719</v>
      </c>
      <c r="P6" s="159" t="s">
        <v>720</v>
      </c>
      <c r="Q6" s="159"/>
    </row>
    <row r="7" customFormat="false" ht="22.5" hidden="false" customHeight="true" outlineLevel="0" collapsed="false">
      <c r="A7" s="136" t="s">
        <v>714</v>
      </c>
      <c r="B7" s="156" t="s">
        <v>240</v>
      </c>
      <c r="C7" s="156" t="n">
        <v>2</v>
      </c>
      <c r="D7" s="157" t="s">
        <v>452</v>
      </c>
      <c r="E7" s="158"/>
      <c r="F7" s="158"/>
      <c r="G7" s="158"/>
      <c r="H7" s="158"/>
      <c r="I7" s="158"/>
      <c r="J7" s="156" t="n">
        <f aca="false">SUM(E7:I7)</f>
        <v>0</v>
      </c>
      <c r="K7" s="156" t="str">
        <f aca="false">IF(J7&gt;=95,"S",IF(J7&gt;=80,"A",IF(J7&gt;=60,"B",IF(J7&gt;=35,"C","D"))))</f>
        <v>D</v>
      </c>
      <c r="L7" s="136"/>
      <c r="M7" s="9"/>
      <c r="N7" s="136" t="s">
        <v>721</v>
      </c>
      <c r="O7" s="136" t="s">
        <v>722</v>
      </c>
      <c r="P7" s="159" t="s">
        <v>723</v>
      </c>
      <c r="Q7" s="159"/>
    </row>
    <row r="8" customFormat="false" ht="22.5" hidden="false" customHeight="true" outlineLevel="0" collapsed="false">
      <c r="A8" s="136" t="s">
        <v>714</v>
      </c>
      <c r="B8" s="156" t="s">
        <v>264</v>
      </c>
      <c r="C8" s="156" t="n">
        <v>2</v>
      </c>
      <c r="D8" s="157" t="s">
        <v>452</v>
      </c>
      <c r="E8" s="158"/>
      <c r="F8" s="158"/>
      <c r="G8" s="158"/>
      <c r="H8" s="158"/>
      <c r="I8" s="158"/>
      <c r="J8" s="156" t="n">
        <f aca="false">SUM(E8:I8)</f>
        <v>0</v>
      </c>
      <c r="K8" s="156" t="str">
        <f aca="false">IF(J8&gt;=95,"S",IF(J8&gt;=80,"A",IF(J8&gt;=60,"B",IF(J8&gt;=35,"C","D"))))</f>
        <v>D</v>
      </c>
      <c r="L8" s="136"/>
      <c r="M8" s="9"/>
      <c r="N8" s="136" t="s">
        <v>724</v>
      </c>
      <c r="O8" s="136" t="s">
        <v>725</v>
      </c>
      <c r="P8" s="159" t="s">
        <v>726</v>
      </c>
      <c r="Q8" s="159"/>
    </row>
    <row r="9" customFormat="false" ht="14.25" hidden="false" customHeight="true" outlineLevel="0" collapsed="false">
      <c r="A9" s="136" t="s">
        <v>714</v>
      </c>
      <c r="B9" s="156" t="s">
        <v>240</v>
      </c>
      <c r="C9" s="156" t="n">
        <v>3</v>
      </c>
      <c r="D9" s="157" t="s">
        <v>453</v>
      </c>
      <c r="E9" s="158"/>
      <c r="F9" s="158"/>
      <c r="G9" s="158"/>
      <c r="H9" s="158"/>
      <c r="I9" s="158"/>
      <c r="J9" s="156" t="n">
        <f aca="false">SUM(E9:I9)</f>
        <v>0</v>
      </c>
      <c r="K9" s="156" t="str">
        <f aca="false">IF(J9&gt;=95,"S",IF(J9&gt;=80,"A",IF(J9&gt;=60,"B",IF(J9&gt;=35,"C","D"))))</f>
        <v>D</v>
      </c>
      <c r="L9" s="136"/>
      <c r="M9" s="9"/>
      <c r="N9" s="136" t="s">
        <v>727</v>
      </c>
      <c r="O9" s="136" t="s">
        <v>728</v>
      </c>
      <c r="P9" s="159" t="s">
        <v>729</v>
      </c>
      <c r="Q9" s="159"/>
    </row>
    <row r="10" customFormat="false" ht="14.25" hidden="false" customHeight="true" outlineLevel="0" collapsed="false">
      <c r="A10" s="136" t="s">
        <v>714</v>
      </c>
      <c r="B10" s="156" t="s">
        <v>264</v>
      </c>
      <c r="C10" s="156" t="n">
        <v>3</v>
      </c>
      <c r="D10" s="157" t="s">
        <v>453</v>
      </c>
      <c r="E10" s="158"/>
      <c r="F10" s="158"/>
      <c r="G10" s="158"/>
      <c r="H10" s="158"/>
      <c r="I10" s="158"/>
      <c r="J10" s="156" t="n">
        <f aca="false">SUM(E10:I10)</f>
        <v>0</v>
      </c>
      <c r="K10" s="156" t="str">
        <f aca="false">IF(J10&gt;=95,"S",IF(J10&gt;=80,"A",IF(J10&gt;=60,"B",IF(J10&gt;=35,"C","D"))))</f>
        <v>D</v>
      </c>
      <c r="L10" s="136"/>
      <c r="M10" s="9"/>
      <c r="N10" s="9"/>
      <c r="O10" s="9"/>
      <c r="P10" s="9"/>
      <c r="Q10" s="9"/>
    </row>
    <row r="11" customFormat="false" ht="22.5" hidden="false" customHeight="true" outlineLevel="0" collapsed="false">
      <c r="A11" s="136" t="s">
        <v>714</v>
      </c>
      <c r="B11" s="156" t="s">
        <v>240</v>
      </c>
      <c r="C11" s="156" t="n">
        <v>4</v>
      </c>
      <c r="D11" s="157" t="s">
        <v>454</v>
      </c>
      <c r="E11" s="158"/>
      <c r="F11" s="158"/>
      <c r="G11" s="158"/>
      <c r="H11" s="158"/>
      <c r="I11" s="158"/>
      <c r="J11" s="156" t="n">
        <f aca="false">SUM(E11:I11)</f>
        <v>0</v>
      </c>
      <c r="K11" s="156" t="str">
        <f aca="false">IF(J11&gt;=95,"S",IF(J11&gt;=80,"A",IF(J11&gt;=60,"B",IF(J11&gt;=35,"C","D"))))</f>
        <v>D</v>
      </c>
      <c r="L11" s="136"/>
      <c r="M11" s="9"/>
      <c r="N11" s="9"/>
      <c r="O11" s="9"/>
      <c r="P11" s="9"/>
      <c r="Q11" s="9"/>
    </row>
    <row r="12" customFormat="false" ht="22.5" hidden="false" customHeight="true" outlineLevel="0" collapsed="false">
      <c r="A12" s="136" t="s">
        <v>714</v>
      </c>
      <c r="B12" s="156" t="s">
        <v>264</v>
      </c>
      <c r="C12" s="156" t="n">
        <v>4</v>
      </c>
      <c r="D12" s="157" t="s">
        <v>454</v>
      </c>
      <c r="E12" s="158"/>
      <c r="F12" s="158"/>
      <c r="G12" s="158"/>
      <c r="H12" s="158"/>
      <c r="I12" s="158"/>
      <c r="J12" s="156" t="n">
        <f aca="false">SUM(E12:I12)</f>
        <v>0</v>
      </c>
      <c r="K12" s="156" t="str">
        <f aca="false">IF(J12&gt;=95,"S",IF(J12&gt;=80,"A",IF(J12&gt;=60,"B",IF(J12&gt;=35,"C","D"))))</f>
        <v>D</v>
      </c>
      <c r="L12" s="136"/>
      <c r="M12" s="9"/>
      <c r="N12" s="9"/>
      <c r="O12" s="9"/>
      <c r="P12" s="9"/>
      <c r="Q12" s="9"/>
    </row>
    <row r="13" customFormat="false" ht="22.5" hidden="false" customHeight="true" outlineLevel="0" collapsed="false">
      <c r="A13" s="136" t="s">
        <v>714</v>
      </c>
      <c r="B13" s="156" t="s">
        <v>240</v>
      </c>
      <c r="C13" s="156" t="n">
        <v>5</v>
      </c>
      <c r="D13" s="157" t="s">
        <v>455</v>
      </c>
      <c r="E13" s="158"/>
      <c r="F13" s="158"/>
      <c r="G13" s="158"/>
      <c r="H13" s="158"/>
      <c r="I13" s="158"/>
      <c r="J13" s="156" t="n">
        <f aca="false">SUM(E13:I13)</f>
        <v>0</v>
      </c>
      <c r="K13" s="156" t="str">
        <f aca="false">IF(J13&gt;=95,"S",IF(J13&gt;=80,"A",IF(J13&gt;=60,"B",IF(J13&gt;=35,"C","D"))))</f>
        <v>D</v>
      </c>
      <c r="L13" s="136"/>
      <c r="M13" s="9"/>
      <c r="N13" s="9"/>
      <c r="O13" s="9"/>
      <c r="P13" s="9"/>
      <c r="Q13" s="9"/>
    </row>
    <row r="14" customFormat="false" ht="22.5" hidden="false" customHeight="true" outlineLevel="0" collapsed="false">
      <c r="A14" s="136" t="s">
        <v>714</v>
      </c>
      <c r="B14" s="156" t="s">
        <v>264</v>
      </c>
      <c r="C14" s="156" t="n">
        <v>5</v>
      </c>
      <c r="D14" s="157" t="s">
        <v>455</v>
      </c>
      <c r="E14" s="158"/>
      <c r="F14" s="158"/>
      <c r="G14" s="158"/>
      <c r="H14" s="158"/>
      <c r="I14" s="158"/>
      <c r="J14" s="156" t="n">
        <f aca="false">SUM(E14:I14)</f>
        <v>0</v>
      </c>
      <c r="K14" s="156" t="str">
        <f aca="false">IF(J14&gt;=95,"S",IF(J14&gt;=80,"A",IF(J14&gt;=60,"B",IF(J14&gt;=35,"C","D"))))</f>
        <v>D</v>
      </c>
      <c r="L14" s="136"/>
      <c r="M14" s="9"/>
      <c r="N14" s="9"/>
      <c r="O14" s="9"/>
      <c r="P14" s="9"/>
      <c r="Q14" s="9"/>
    </row>
    <row r="15" customFormat="false" ht="14.25" hidden="false" customHeight="true" outlineLevel="0" collapsed="false">
      <c r="A15" s="136" t="s">
        <v>730</v>
      </c>
      <c r="B15" s="156" t="s">
        <v>240</v>
      </c>
      <c r="C15" s="156" t="n">
        <v>1</v>
      </c>
      <c r="D15" s="157" t="s">
        <v>457</v>
      </c>
      <c r="E15" s="158"/>
      <c r="F15" s="158"/>
      <c r="G15" s="158"/>
      <c r="H15" s="158"/>
      <c r="I15" s="158"/>
      <c r="J15" s="156" t="n">
        <f aca="false">SUM(E15:I15)</f>
        <v>0</v>
      </c>
      <c r="K15" s="156" t="str">
        <f aca="false">IF(J15&gt;=95,"S",IF(J15&gt;=80,"A",IF(J15&gt;=60,"B",IF(J15&gt;=35,"C","D"))))</f>
        <v>D</v>
      </c>
      <c r="L15" s="136"/>
      <c r="M15" s="9"/>
      <c r="N15" s="9"/>
      <c r="O15" s="9"/>
      <c r="P15" s="9"/>
      <c r="Q15" s="9"/>
    </row>
    <row r="16" customFormat="false" ht="14.25" hidden="false" customHeight="true" outlineLevel="0" collapsed="false">
      <c r="A16" s="136" t="s">
        <v>730</v>
      </c>
      <c r="B16" s="156" t="s">
        <v>264</v>
      </c>
      <c r="C16" s="156" t="n">
        <v>1</v>
      </c>
      <c r="D16" s="157" t="s">
        <v>457</v>
      </c>
      <c r="E16" s="158"/>
      <c r="F16" s="158"/>
      <c r="G16" s="158"/>
      <c r="H16" s="158"/>
      <c r="I16" s="158"/>
      <c r="J16" s="156" t="n">
        <f aca="false">SUM(E16:I16)</f>
        <v>0</v>
      </c>
      <c r="K16" s="156" t="str">
        <f aca="false">IF(J16&gt;=95,"S",IF(J16&gt;=80,"A",IF(J16&gt;=60,"B",IF(J16&gt;=35,"C","D"))))</f>
        <v>D</v>
      </c>
      <c r="L16" s="136"/>
      <c r="M16" s="9"/>
      <c r="N16" s="9"/>
      <c r="O16" s="9"/>
      <c r="P16" s="9"/>
      <c r="Q16" s="9"/>
    </row>
    <row r="17" customFormat="false" ht="22.5" hidden="false" customHeight="true" outlineLevel="0" collapsed="false">
      <c r="A17" s="136" t="s">
        <v>730</v>
      </c>
      <c r="B17" s="156" t="s">
        <v>240</v>
      </c>
      <c r="C17" s="156" t="n">
        <v>2</v>
      </c>
      <c r="D17" s="157" t="s">
        <v>459</v>
      </c>
      <c r="E17" s="158"/>
      <c r="F17" s="158"/>
      <c r="G17" s="158"/>
      <c r="H17" s="158"/>
      <c r="I17" s="158"/>
      <c r="J17" s="156" t="n">
        <f aca="false">SUM(E17:I17)</f>
        <v>0</v>
      </c>
      <c r="K17" s="156" t="str">
        <f aca="false">IF(J17&gt;=95,"S",IF(J17&gt;=80,"A",IF(J17&gt;=60,"B",IF(J17&gt;=35,"C","D"))))</f>
        <v>D</v>
      </c>
      <c r="L17" s="136"/>
      <c r="M17" s="9"/>
      <c r="N17" s="9"/>
      <c r="O17" s="9"/>
      <c r="P17" s="9"/>
      <c r="Q17" s="9"/>
    </row>
    <row r="18" customFormat="false" ht="22.5" hidden="false" customHeight="true" outlineLevel="0" collapsed="false">
      <c r="A18" s="136" t="s">
        <v>730</v>
      </c>
      <c r="B18" s="156" t="s">
        <v>264</v>
      </c>
      <c r="C18" s="156" t="n">
        <v>2</v>
      </c>
      <c r="D18" s="157" t="s">
        <v>459</v>
      </c>
      <c r="E18" s="158"/>
      <c r="F18" s="158"/>
      <c r="G18" s="158"/>
      <c r="H18" s="158"/>
      <c r="I18" s="158"/>
      <c r="J18" s="156" t="n">
        <f aca="false">SUM(E18:I18)</f>
        <v>0</v>
      </c>
      <c r="K18" s="156" t="str">
        <f aca="false">IF(J18&gt;=95,"S",IF(J18&gt;=80,"A",IF(J18&gt;=60,"B",IF(J18&gt;=35,"C","D"))))</f>
        <v>D</v>
      </c>
      <c r="L18" s="136"/>
      <c r="M18" s="9"/>
      <c r="N18" s="9"/>
      <c r="O18" s="9"/>
      <c r="P18" s="9"/>
      <c r="Q18" s="9"/>
    </row>
    <row r="19" customFormat="false" ht="14.25" hidden="false" customHeight="true" outlineLevel="0" collapsed="false">
      <c r="A19" s="136" t="s">
        <v>730</v>
      </c>
      <c r="B19" s="156" t="s">
        <v>240</v>
      </c>
      <c r="C19" s="156" t="n">
        <v>3</v>
      </c>
      <c r="D19" s="157" t="s">
        <v>460</v>
      </c>
      <c r="E19" s="158"/>
      <c r="F19" s="158"/>
      <c r="G19" s="158"/>
      <c r="H19" s="158"/>
      <c r="I19" s="158"/>
      <c r="J19" s="156" t="n">
        <f aca="false">SUM(E19:I19)</f>
        <v>0</v>
      </c>
      <c r="K19" s="156" t="str">
        <f aca="false">IF(J19&gt;=95,"S",IF(J19&gt;=80,"A",IF(J19&gt;=60,"B",IF(J19&gt;=35,"C","D"))))</f>
        <v>D</v>
      </c>
      <c r="L19" s="136"/>
      <c r="M19" s="9"/>
      <c r="N19" s="9"/>
      <c r="O19" s="9"/>
      <c r="P19" s="9"/>
      <c r="Q19" s="9"/>
    </row>
    <row r="20" customFormat="false" ht="14.25" hidden="false" customHeight="true" outlineLevel="0" collapsed="false">
      <c r="A20" s="136" t="s">
        <v>730</v>
      </c>
      <c r="B20" s="156" t="s">
        <v>264</v>
      </c>
      <c r="C20" s="156" t="n">
        <v>3</v>
      </c>
      <c r="D20" s="157" t="s">
        <v>460</v>
      </c>
      <c r="E20" s="158"/>
      <c r="F20" s="158"/>
      <c r="G20" s="158"/>
      <c r="H20" s="158"/>
      <c r="I20" s="158"/>
      <c r="J20" s="156" t="n">
        <f aca="false">SUM(E20:I20)</f>
        <v>0</v>
      </c>
      <c r="K20" s="156" t="str">
        <f aca="false">IF(J20&gt;=95,"S",IF(J20&gt;=80,"A",IF(J20&gt;=60,"B",IF(J20&gt;=35,"C","D"))))</f>
        <v>D</v>
      </c>
      <c r="L20" s="136"/>
      <c r="M20" s="9"/>
      <c r="N20" s="9"/>
      <c r="O20" s="9"/>
      <c r="P20" s="9"/>
      <c r="Q20" s="9"/>
    </row>
    <row r="21" customFormat="false" ht="22.5" hidden="false" customHeight="true" outlineLevel="0" collapsed="false">
      <c r="A21" s="136" t="s">
        <v>730</v>
      </c>
      <c r="B21" s="156" t="s">
        <v>240</v>
      </c>
      <c r="C21" s="156" t="n">
        <v>4</v>
      </c>
      <c r="D21" s="157" t="s">
        <v>461</v>
      </c>
      <c r="E21" s="158"/>
      <c r="F21" s="158"/>
      <c r="G21" s="158"/>
      <c r="H21" s="158"/>
      <c r="I21" s="158"/>
      <c r="J21" s="156" t="n">
        <f aca="false">SUM(E21:I21)</f>
        <v>0</v>
      </c>
      <c r="K21" s="156" t="str">
        <f aca="false">IF(J21&gt;=95,"S",IF(J21&gt;=80,"A",IF(J21&gt;=60,"B",IF(J21&gt;=35,"C","D"))))</f>
        <v>D</v>
      </c>
      <c r="L21" s="136"/>
      <c r="M21" s="9"/>
      <c r="N21" s="9"/>
      <c r="O21" s="9"/>
      <c r="P21" s="9"/>
      <c r="Q21" s="9"/>
    </row>
    <row r="22" customFormat="false" ht="22.5" hidden="false" customHeight="true" outlineLevel="0" collapsed="false">
      <c r="A22" s="136" t="s">
        <v>730</v>
      </c>
      <c r="B22" s="156" t="s">
        <v>264</v>
      </c>
      <c r="C22" s="156" t="n">
        <v>4</v>
      </c>
      <c r="D22" s="157" t="s">
        <v>461</v>
      </c>
      <c r="E22" s="158"/>
      <c r="F22" s="158"/>
      <c r="G22" s="158"/>
      <c r="H22" s="158"/>
      <c r="I22" s="158"/>
      <c r="J22" s="156" t="n">
        <f aca="false">SUM(E22:I22)</f>
        <v>0</v>
      </c>
      <c r="K22" s="156" t="str">
        <f aca="false">IF(J22&gt;=95,"S",IF(J22&gt;=80,"A",IF(J22&gt;=60,"B",IF(J22&gt;=35,"C","D"))))</f>
        <v>D</v>
      </c>
      <c r="L22" s="136"/>
      <c r="M22" s="9"/>
      <c r="N22" s="9"/>
      <c r="O22" s="9"/>
      <c r="P22" s="9"/>
      <c r="Q22" s="9"/>
    </row>
    <row r="23" customFormat="false" ht="14.25" hidden="false" customHeight="true" outlineLevel="0" collapsed="false">
      <c r="A23" s="136" t="s">
        <v>730</v>
      </c>
      <c r="B23" s="156" t="s">
        <v>240</v>
      </c>
      <c r="C23" s="156" t="n">
        <v>5</v>
      </c>
      <c r="D23" s="157" t="s">
        <v>462</v>
      </c>
      <c r="E23" s="158"/>
      <c r="F23" s="158"/>
      <c r="G23" s="158"/>
      <c r="H23" s="158"/>
      <c r="I23" s="158"/>
      <c r="J23" s="156" t="n">
        <f aca="false">SUM(E23:I23)</f>
        <v>0</v>
      </c>
      <c r="K23" s="156" t="str">
        <f aca="false">IF(J23&gt;=95,"S",IF(J23&gt;=80,"A",IF(J23&gt;=60,"B",IF(J23&gt;=35,"C","D"))))</f>
        <v>D</v>
      </c>
      <c r="L23" s="136"/>
      <c r="M23" s="9"/>
      <c r="N23" s="9"/>
      <c r="O23" s="9"/>
      <c r="P23" s="9"/>
      <c r="Q23" s="9"/>
    </row>
    <row r="24" customFormat="false" ht="14.25" hidden="false" customHeight="true" outlineLevel="0" collapsed="false">
      <c r="A24" s="136" t="s">
        <v>730</v>
      </c>
      <c r="B24" s="156" t="s">
        <v>264</v>
      </c>
      <c r="C24" s="156" t="n">
        <v>5</v>
      </c>
      <c r="D24" s="157" t="s">
        <v>462</v>
      </c>
      <c r="E24" s="158"/>
      <c r="F24" s="158"/>
      <c r="G24" s="158"/>
      <c r="H24" s="158"/>
      <c r="I24" s="158"/>
      <c r="J24" s="156" t="n">
        <f aca="false">SUM(E24:I24)</f>
        <v>0</v>
      </c>
      <c r="K24" s="156" t="str">
        <f aca="false">IF(J24&gt;=95,"S",IF(J24&gt;=80,"A",IF(J24&gt;=60,"B",IF(J24&gt;=35,"C","D"))))</f>
        <v>D</v>
      </c>
      <c r="L24" s="136"/>
      <c r="M24" s="9"/>
      <c r="N24" s="9"/>
      <c r="O24" s="9"/>
      <c r="P24" s="9"/>
      <c r="Q24" s="9"/>
    </row>
  </sheetData>
  <mergeCells count="6">
    <mergeCell ref="N4:Q4"/>
    <mergeCell ref="P5:Q5"/>
    <mergeCell ref="P6:Q6"/>
    <mergeCell ref="P7:Q7"/>
    <mergeCell ref="P8:Q8"/>
    <mergeCell ref="P9:Q9"/>
  </mergeCells>
  <dataValidations count="4">
    <dataValidation allowBlank="true" errorStyle="stop" operator="between" showDropDown="false" showErrorMessage="false" showInputMessage="false" sqref="E5:E24" type="list">
      <formula1>"0,5,10"</formula1>
      <formula2>0</formula2>
    </dataValidation>
    <dataValidation allowBlank="true" errorStyle="stop" operator="between" showDropDown="false" showErrorMessage="false" showInputMessage="false" sqref="F5:F24" type="list">
      <formula1>"0,10,20,30,40"</formula1>
      <formula2>0</formula2>
    </dataValidation>
    <dataValidation allowBlank="true" errorStyle="stop" operator="between" showDropDown="false" showErrorMessage="false" showInputMessage="false" sqref="G5:H24" type="list">
      <formula1>"0,10,20"</formula1>
      <formula2>0</formula2>
    </dataValidation>
    <dataValidation allowBlank="true" errorStyle="stop" operator="between" showDropDown="false" showErrorMessage="false" showInputMessage="false" sqref="I5:I24" type="list">
      <formula1>"0,5,10"</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H28"/>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328125" defaultRowHeight="14.25" zeroHeight="false" outlineLevelRow="0" outlineLevelCol="0"/>
  <cols>
    <col collapsed="false" customWidth="true" hidden="false" outlineLevel="0" max="1" min="1" style="29" width="6"/>
    <col collapsed="false" customWidth="true" hidden="false" outlineLevel="0" max="2" min="2" style="29" width="20"/>
    <col collapsed="false" customWidth="true" hidden="false" outlineLevel="0" max="5" min="3" style="29" width="14"/>
    <col collapsed="false" customWidth="true" hidden="false" outlineLevel="0" max="6" min="6" style="29" width="30"/>
    <col collapsed="false" customWidth="true" hidden="false" outlineLevel="0" max="7" min="7" style="29" width="12"/>
    <col collapsed="false" customWidth="true" hidden="false" outlineLevel="0" max="8" min="8" style="29" width="24"/>
  </cols>
  <sheetData>
    <row r="4" customFormat="false" ht="25.5" hidden="false" customHeight="true" outlineLevel="0" collapsed="false">
      <c r="A4" s="56" t="s">
        <v>731</v>
      </c>
      <c r="B4" s="56" t="s">
        <v>732</v>
      </c>
      <c r="C4" s="56" t="s">
        <v>733</v>
      </c>
      <c r="D4" s="56" t="s">
        <v>734</v>
      </c>
      <c r="E4" s="56" t="s">
        <v>735</v>
      </c>
      <c r="F4" s="56" t="s">
        <v>736</v>
      </c>
      <c r="G4" s="56" t="s">
        <v>737</v>
      </c>
      <c r="H4" s="56" t="s">
        <v>738</v>
      </c>
    </row>
    <row r="5" customFormat="false" ht="14.25" hidden="false" customHeight="true" outlineLevel="0" collapsed="false">
      <c r="A5" s="136" t="s">
        <v>739</v>
      </c>
      <c r="B5" s="136" t="n">
        <f aca="false">COUNTIF(WP_상세!$H$5:$H$500,"Discrete")</f>
        <v>153</v>
      </c>
      <c r="C5" s="136" t="n">
        <f aca="false">$D$18</f>
        <v>46</v>
      </c>
      <c r="D5" s="160"/>
      <c r="E5" s="160" t="n">
        <v>1</v>
      </c>
      <c r="F5" s="161" t="s">
        <v>740</v>
      </c>
      <c r="G5" s="161" t="s">
        <v>741</v>
      </c>
      <c r="H5" s="160"/>
    </row>
    <row r="6" customFormat="false" ht="14.25" hidden="false" customHeight="true" outlineLevel="0" collapsed="false">
      <c r="A6" s="136" t="s">
        <v>742</v>
      </c>
      <c r="B6" s="136" t="n">
        <f aca="false">COUNTIF(WP_상세!$H$5:$H$500,"Discrete")</f>
        <v>153</v>
      </c>
      <c r="C6" s="136" t="n">
        <f aca="false">$D$18</f>
        <v>46</v>
      </c>
      <c r="D6" s="160"/>
      <c r="E6" s="160" t="n">
        <v>2</v>
      </c>
      <c r="F6" s="161" t="s">
        <v>743</v>
      </c>
      <c r="G6" s="161" t="s">
        <v>741</v>
      </c>
      <c r="H6" s="160"/>
    </row>
    <row r="7" customFormat="false" ht="14.25" hidden="false" customHeight="true" outlineLevel="0" collapsed="false">
      <c r="A7" s="136" t="s">
        <v>744</v>
      </c>
      <c r="B7" s="136" t="n">
        <f aca="false">COUNTIF(WP_상세!$H$5:$H$500,"Discrete")</f>
        <v>153</v>
      </c>
      <c r="C7" s="136" t="n">
        <f aca="false">$D$18</f>
        <v>46</v>
      </c>
      <c r="D7" s="160"/>
      <c r="E7" s="160" t="n">
        <v>2</v>
      </c>
      <c r="F7" s="160" t="s">
        <v>745</v>
      </c>
      <c r="G7" s="161" t="s">
        <v>741</v>
      </c>
      <c r="H7" s="161" t="s">
        <v>746</v>
      </c>
    </row>
    <row r="8" customFormat="false" ht="14.25" hidden="false" customHeight="true" outlineLevel="0" collapsed="false">
      <c r="A8" s="136" t="s">
        <v>747</v>
      </c>
      <c r="B8" s="136" t="n">
        <f aca="false">COUNTIF(WP_상세!$H$5:$H$500,"Discrete")</f>
        <v>153</v>
      </c>
      <c r="C8" s="136" t="n">
        <f aca="false">$D$18</f>
        <v>46</v>
      </c>
      <c r="D8" s="160"/>
      <c r="E8" s="160" t="n">
        <v>3</v>
      </c>
      <c r="F8" s="160" t="s">
        <v>748</v>
      </c>
      <c r="G8" s="161" t="s">
        <v>741</v>
      </c>
      <c r="H8" s="160"/>
    </row>
    <row r="9" customFormat="false" ht="14.25" hidden="false" customHeight="true" outlineLevel="0" collapsed="false">
      <c r="A9" s="136" t="s">
        <v>749</v>
      </c>
      <c r="B9" s="136" t="n">
        <f aca="false">COUNTIF(WP_상세!$H$5:$H$500,"Discrete")</f>
        <v>153</v>
      </c>
      <c r="C9" s="136" t="n">
        <f aca="false">$D$18</f>
        <v>46</v>
      </c>
      <c r="D9" s="160"/>
      <c r="E9" s="160" t="n">
        <v>3</v>
      </c>
      <c r="F9" s="160" t="s">
        <v>750</v>
      </c>
      <c r="G9" s="161" t="s">
        <v>741</v>
      </c>
      <c r="H9" s="160" t="s">
        <v>751</v>
      </c>
    </row>
    <row r="10" customFormat="false" ht="14.25" hidden="false" customHeight="true" outlineLevel="0" collapsed="false">
      <c r="A10" s="136" t="s">
        <v>752</v>
      </c>
      <c r="B10" s="136" t="n">
        <f aca="false">COUNTIF(WP_상세!$H$5:$H$500,"Discrete")</f>
        <v>153</v>
      </c>
      <c r="C10" s="136" t="n">
        <f aca="false">$D$18</f>
        <v>46</v>
      </c>
      <c r="D10" s="160"/>
      <c r="E10" s="160" t="n">
        <v>4</v>
      </c>
      <c r="F10" s="160" t="s">
        <v>753</v>
      </c>
      <c r="G10" s="161" t="s">
        <v>741</v>
      </c>
      <c r="H10" s="160"/>
    </row>
    <row r="11" customFormat="false" ht="14.25" hidden="false" customHeight="true" outlineLevel="0" collapsed="false">
      <c r="A11" s="136" t="s">
        <v>754</v>
      </c>
      <c r="B11" s="136" t="n">
        <f aca="false">COUNTIF(WP_상세!$H$5:$H$500,"Discrete")</f>
        <v>153</v>
      </c>
      <c r="C11" s="136" t="n">
        <f aca="false">$D$18</f>
        <v>46</v>
      </c>
      <c r="D11" s="160"/>
      <c r="E11" s="160" t="n">
        <v>4</v>
      </c>
      <c r="F11" s="161" t="s">
        <v>755</v>
      </c>
      <c r="G11" s="161" t="s">
        <v>741</v>
      </c>
      <c r="H11" s="160" t="s">
        <v>756</v>
      </c>
    </row>
    <row r="12" customFormat="false" ht="14.25" hidden="false" customHeight="true" outlineLevel="0" collapsed="false">
      <c r="A12" s="136" t="s">
        <v>757</v>
      </c>
      <c r="B12" s="136" t="n">
        <f aca="false">COUNTIF(WP_상세!$H$5:$H$500,"Discrete")</f>
        <v>153</v>
      </c>
      <c r="C12" s="136" t="n">
        <f aca="false">$D$18</f>
        <v>46</v>
      </c>
      <c r="D12" s="160"/>
      <c r="E12" s="160"/>
      <c r="F12" s="160"/>
      <c r="G12" s="160"/>
      <c r="H12" s="160"/>
    </row>
    <row r="13" customFormat="false" ht="14.25" hidden="false" customHeight="true" outlineLevel="0" collapsed="false">
      <c r="A13" s="136" t="s">
        <v>758</v>
      </c>
      <c r="B13" s="136" t="n">
        <f aca="false">COUNTIF(WP_상세!$H$5:$H$500,"Discrete")</f>
        <v>153</v>
      </c>
      <c r="C13" s="136" t="n">
        <f aca="false">$D$18</f>
        <v>46</v>
      </c>
      <c r="D13" s="160"/>
      <c r="E13" s="160"/>
      <c r="F13" s="160"/>
      <c r="G13" s="160"/>
      <c r="H13" s="160"/>
    </row>
    <row r="14" customFormat="false" ht="14.25" hidden="false" customHeight="true" outlineLevel="0" collapsed="false">
      <c r="A14" s="136" t="s">
        <v>759</v>
      </c>
      <c r="B14" s="136" t="n">
        <f aca="false">COUNTIF(WP_상세!$H$5:$H$500,"Discrete")</f>
        <v>153</v>
      </c>
      <c r="C14" s="136" t="n">
        <f aca="false">$D$18</f>
        <v>46</v>
      </c>
      <c r="D14" s="160"/>
      <c r="E14" s="160"/>
      <c r="F14" s="160"/>
      <c r="G14" s="160"/>
      <c r="H14" s="160"/>
    </row>
    <row r="15" customFormat="false" ht="14.25" hidden="false" customHeight="true" outlineLevel="0" collapsed="false">
      <c r="A15" s="136" t="s">
        <v>760</v>
      </c>
      <c r="B15" s="136" t="n">
        <f aca="false">COUNTIF(WP_상세!$H$5:$H$500,"Discrete")</f>
        <v>153</v>
      </c>
      <c r="C15" s="136" t="n">
        <f aca="false">$D$18</f>
        <v>46</v>
      </c>
      <c r="D15" s="160"/>
      <c r="E15" s="160"/>
      <c r="F15" s="160"/>
      <c r="G15" s="160"/>
      <c r="H15" s="160"/>
    </row>
    <row r="16" customFormat="false" ht="14.25" hidden="false" customHeight="true" outlineLevel="0" collapsed="false">
      <c r="A16" s="136" t="s">
        <v>761</v>
      </c>
      <c r="B16" s="136" t="n">
        <f aca="false">COUNTIF(WP_상세!$H$5:$H$500,"Discrete")</f>
        <v>153</v>
      </c>
      <c r="C16" s="136" t="n">
        <f aca="false">$D$18</f>
        <v>46</v>
      </c>
      <c r="D16" s="160"/>
      <c r="E16" s="160"/>
      <c r="F16" s="160"/>
      <c r="G16" s="160"/>
      <c r="H16" s="160"/>
    </row>
    <row r="17" customFormat="false" ht="14.25" hidden="false" customHeight="true" outlineLevel="0" collapsed="false">
      <c r="A17" s="9"/>
      <c r="B17" s="9"/>
      <c r="C17" s="9"/>
      <c r="D17" s="9"/>
      <c r="E17" s="9"/>
      <c r="F17" s="9"/>
      <c r="G17" s="9"/>
      <c r="H17" s="9"/>
    </row>
    <row r="18" customFormat="false" ht="15" hidden="false" customHeight="true" outlineLevel="0" collapsed="false">
      <c r="A18" s="9"/>
      <c r="B18" s="92" t="s">
        <v>762</v>
      </c>
      <c r="C18" s="9"/>
      <c r="D18" s="162" t="n">
        <f aca="false">ROUNDUP(COUNTIF(WP_상세!$H$5:$H$500,"Discrete")*0.3,0)</f>
        <v>46</v>
      </c>
      <c r="E18" s="9"/>
      <c r="F18" s="9"/>
      <c r="G18" s="9"/>
      <c r="H18" s="9"/>
    </row>
    <row r="19" customFormat="false" ht="14.25" hidden="false" customHeight="true" outlineLevel="0" collapsed="false">
      <c r="A19" s="9"/>
      <c r="B19" s="9"/>
      <c r="C19" s="9"/>
      <c r="D19" s="9"/>
      <c r="E19" s="9"/>
      <c r="F19" s="9"/>
      <c r="G19" s="9"/>
      <c r="H19" s="9"/>
    </row>
    <row r="20" customFormat="false" ht="14.25" hidden="false" customHeight="true" outlineLevel="0" collapsed="false">
      <c r="A20" s="9"/>
      <c r="B20" s="92" t="s">
        <v>763</v>
      </c>
      <c r="C20" s="9"/>
      <c r="D20" s="9"/>
      <c r="E20" s="9"/>
      <c r="F20" s="9"/>
      <c r="G20" s="9"/>
      <c r="H20" s="9"/>
    </row>
    <row r="21" customFormat="false" ht="27.75" hidden="false" customHeight="true" outlineLevel="0" collapsed="false">
      <c r="A21" s="9"/>
      <c r="B21" s="9" t="s">
        <v>193</v>
      </c>
      <c r="C21" s="163" t="s">
        <v>764</v>
      </c>
      <c r="D21" s="163"/>
      <c r="E21" s="163"/>
      <c r="F21" s="163"/>
      <c r="G21" s="163"/>
      <c r="H21" s="163"/>
    </row>
    <row r="22" customFormat="false" ht="27.75" hidden="false" customHeight="true" outlineLevel="0" collapsed="false">
      <c r="A22" s="9"/>
      <c r="B22" s="9" t="s">
        <v>193</v>
      </c>
      <c r="C22" s="163" t="s">
        <v>765</v>
      </c>
      <c r="D22" s="163"/>
      <c r="E22" s="163"/>
      <c r="F22" s="163"/>
      <c r="G22" s="163"/>
      <c r="H22" s="163"/>
    </row>
    <row r="23" customFormat="false" ht="27.75" hidden="false" customHeight="true" outlineLevel="0" collapsed="false">
      <c r="A23" s="9"/>
      <c r="B23" s="9" t="s">
        <v>193</v>
      </c>
      <c r="C23" s="163" t="s">
        <v>766</v>
      </c>
      <c r="D23" s="163"/>
      <c r="E23" s="163"/>
      <c r="F23" s="163"/>
      <c r="G23" s="163"/>
      <c r="H23" s="163"/>
    </row>
    <row r="24" customFormat="false" ht="14.25" hidden="false" customHeight="true" outlineLevel="0" collapsed="false">
      <c r="A24" s="9"/>
      <c r="B24" s="9"/>
      <c r="C24" s="9"/>
      <c r="D24" s="9"/>
      <c r="E24" s="9"/>
      <c r="F24" s="9"/>
      <c r="G24" s="9"/>
      <c r="H24" s="9"/>
    </row>
    <row r="25" customFormat="false" ht="16.5" hidden="false" customHeight="true" outlineLevel="0" collapsed="false">
      <c r="A25" s="9"/>
      <c r="B25" s="92" t="s">
        <v>767</v>
      </c>
      <c r="C25" s="9"/>
      <c r="D25" s="9"/>
      <c r="E25" s="9"/>
      <c r="F25" s="9"/>
      <c r="G25" s="9"/>
      <c r="H25" s="9"/>
    </row>
    <row r="26" customFormat="false" ht="27.75" hidden="false" customHeight="true" outlineLevel="0" collapsed="false">
      <c r="A26" s="9"/>
      <c r="B26" s="9" t="s">
        <v>193</v>
      </c>
      <c r="C26" s="163" t="s">
        <v>768</v>
      </c>
      <c r="D26" s="163"/>
      <c r="E26" s="163"/>
      <c r="F26" s="163"/>
      <c r="G26" s="163"/>
      <c r="H26" s="163"/>
    </row>
    <row r="27" customFormat="false" ht="27.75" hidden="false" customHeight="true" outlineLevel="0" collapsed="false">
      <c r="A27" s="9"/>
      <c r="B27" s="9" t="s">
        <v>193</v>
      </c>
      <c r="C27" s="163" t="s">
        <v>769</v>
      </c>
      <c r="D27" s="163"/>
      <c r="E27" s="163"/>
      <c r="F27" s="163"/>
      <c r="G27" s="163"/>
      <c r="H27" s="163"/>
    </row>
    <row r="28" customFormat="false" ht="27.75" hidden="false" customHeight="true" outlineLevel="0" collapsed="false">
      <c r="A28" s="9"/>
      <c r="B28" s="9" t="s">
        <v>193</v>
      </c>
      <c r="C28" s="163" t="s">
        <v>770</v>
      </c>
      <c r="D28" s="163"/>
      <c r="E28" s="163"/>
      <c r="F28" s="163"/>
      <c r="G28" s="163"/>
      <c r="H28" s="163"/>
    </row>
  </sheetData>
  <mergeCells count="6">
    <mergeCell ref="C21:H21"/>
    <mergeCell ref="C22:H22"/>
    <mergeCell ref="C23:H23"/>
    <mergeCell ref="C26:H26"/>
    <mergeCell ref="C27:H27"/>
    <mergeCell ref="C28:H28"/>
  </mergeCell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J14"/>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328125" defaultRowHeight="14.25" zeroHeight="false" outlineLevelRow="0" outlineLevelCol="0"/>
  <cols>
    <col collapsed="false" customWidth="true" hidden="false" outlineLevel="0" max="1" min="1" style="29" width="10"/>
    <col collapsed="false" customWidth="true" hidden="false" outlineLevel="0" max="3" min="2" style="29" width="12"/>
    <col collapsed="false" customWidth="true" hidden="false" outlineLevel="0" max="4" min="4" style="29" width="30"/>
    <col collapsed="false" customWidth="true" hidden="false" outlineLevel="0" max="6" min="5" style="29" width="16"/>
    <col collapsed="false" customWidth="true" hidden="false" outlineLevel="0" max="9" min="7" style="29" width="12"/>
    <col collapsed="false" customWidth="true" hidden="false" outlineLevel="0" max="10" min="10" style="29" width="20"/>
  </cols>
  <sheetData>
    <row r="4" customFormat="false" ht="25.5" hidden="false" customHeight="true" outlineLevel="0" collapsed="false">
      <c r="A4" s="56" t="s">
        <v>771</v>
      </c>
      <c r="B4" s="56" t="s">
        <v>772</v>
      </c>
      <c r="C4" s="56" t="s">
        <v>773</v>
      </c>
      <c r="D4" s="56" t="s">
        <v>774</v>
      </c>
      <c r="E4" s="56" t="s">
        <v>775</v>
      </c>
      <c r="F4" s="56" t="s">
        <v>776</v>
      </c>
      <c r="G4" s="56" t="s">
        <v>777</v>
      </c>
      <c r="H4" s="56" t="s">
        <v>778</v>
      </c>
      <c r="I4" s="56" t="s">
        <v>779</v>
      </c>
      <c r="J4" s="56" t="s">
        <v>10</v>
      </c>
    </row>
    <row r="5" customFormat="false" ht="14.25" hidden="false" customHeight="true" outlineLevel="0" collapsed="false">
      <c r="A5" s="156" t="s">
        <v>780</v>
      </c>
      <c r="B5" s="164" t="s">
        <v>781</v>
      </c>
      <c r="C5" s="161" t="s">
        <v>741</v>
      </c>
      <c r="D5" s="161" t="s">
        <v>782</v>
      </c>
      <c r="E5" s="160" t="s">
        <v>783</v>
      </c>
      <c r="F5" s="161" t="s">
        <v>784</v>
      </c>
      <c r="G5" s="161" t="s">
        <v>785</v>
      </c>
      <c r="H5" s="160" t="s">
        <v>781</v>
      </c>
      <c r="I5" s="160" t="n">
        <f aca="false">COUNTA($A$5:A5)</f>
        <v>1</v>
      </c>
      <c r="J5" s="160" t="s">
        <v>786</v>
      </c>
    </row>
    <row r="6" customFormat="false" ht="14.25" hidden="false" customHeight="true" outlineLevel="0" collapsed="false">
      <c r="A6" s="156" t="s">
        <v>787</v>
      </c>
      <c r="B6" s="160"/>
      <c r="C6" s="160"/>
      <c r="D6" s="160"/>
      <c r="E6" s="160"/>
      <c r="F6" s="161"/>
      <c r="G6" s="160"/>
      <c r="H6" s="160"/>
      <c r="I6" s="160" t="n">
        <f aca="false">COUNTA($A$5:A6)</f>
        <v>2</v>
      </c>
      <c r="J6" s="160"/>
    </row>
    <row r="7" customFormat="false" ht="14.25" hidden="false" customHeight="true" outlineLevel="0" collapsed="false">
      <c r="A7" s="156" t="s">
        <v>788</v>
      </c>
      <c r="B7" s="160"/>
      <c r="C7" s="160"/>
      <c r="D7" s="160"/>
      <c r="E7" s="160"/>
      <c r="F7" s="161"/>
      <c r="G7" s="160"/>
      <c r="H7" s="160"/>
      <c r="I7" s="160" t="n">
        <f aca="false">COUNTA($A$5:A7)</f>
        <v>3</v>
      </c>
      <c r="J7" s="160"/>
    </row>
    <row r="8" customFormat="false" ht="14.25" hidden="false" customHeight="true" outlineLevel="0" collapsed="false">
      <c r="A8" s="156" t="s">
        <v>789</v>
      </c>
      <c r="B8" s="160"/>
      <c r="C8" s="160"/>
      <c r="D8" s="160"/>
      <c r="E8" s="160"/>
      <c r="F8" s="161"/>
      <c r="G8" s="160"/>
      <c r="H8" s="160"/>
      <c r="I8" s="160" t="n">
        <f aca="false">COUNTA($A$5:A8)</f>
        <v>4</v>
      </c>
      <c r="J8" s="160"/>
    </row>
    <row r="9" customFormat="false" ht="14.25" hidden="false" customHeight="true" outlineLevel="0" collapsed="false">
      <c r="A9" s="156" t="s">
        <v>790</v>
      </c>
      <c r="B9" s="160"/>
      <c r="C9" s="160"/>
      <c r="D9" s="160"/>
      <c r="E9" s="160"/>
      <c r="F9" s="161"/>
      <c r="G9" s="160"/>
      <c r="H9" s="160"/>
      <c r="I9" s="160" t="n">
        <f aca="false">COUNTA($A$5:A9)</f>
        <v>5</v>
      </c>
      <c r="J9" s="160"/>
    </row>
    <row r="10" customFormat="false" ht="14.25" hidden="false" customHeight="true" outlineLevel="0" collapsed="false">
      <c r="A10" s="156" t="s">
        <v>791</v>
      </c>
      <c r="B10" s="160"/>
      <c r="C10" s="160"/>
      <c r="D10" s="160"/>
      <c r="E10" s="160"/>
      <c r="F10" s="161"/>
      <c r="G10" s="160"/>
      <c r="H10" s="160"/>
      <c r="I10" s="160" t="n">
        <f aca="false">COUNTA($A$5:A10)</f>
        <v>6</v>
      </c>
      <c r="J10" s="160"/>
    </row>
    <row r="11" customFormat="false" ht="14.25" hidden="false" customHeight="true" outlineLevel="0" collapsed="false">
      <c r="A11" s="156" t="s">
        <v>792</v>
      </c>
      <c r="B11" s="160"/>
      <c r="C11" s="160"/>
      <c r="D11" s="160"/>
      <c r="E11" s="160"/>
      <c r="F11" s="161"/>
      <c r="G11" s="160"/>
      <c r="H11" s="160"/>
      <c r="I11" s="160" t="n">
        <f aca="false">COUNTA($A$5:A11)</f>
        <v>7</v>
      </c>
      <c r="J11" s="160"/>
    </row>
    <row r="12" customFormat="false" ht="14.25" hidden="false" customHeight="true" outlineLevel="0" collapsed="false">
      <c r="A12" s="156" t="s">
        <v>793</v>
      </c>
      <c r="B12" s="160"/>
      <c r="C12" s="160"/>
      <c r="D12" s="160"/>
      <c r="E12" s="160"/>
      <c r="F12" s="161"/>
      <c r="G12" s="160"/>
      <c r="H12" s="160"/>
      <c r="I12" s="160" t="n">
        <f aca="false">COUNTA($A$5:A12)</f>
        <v>8</v>
      </c>
      <c r="J12" s="160"/>
    </row>
    <row r="13" customFormat="false" ht="14.25" hidden="false" customHeight="true" outlineLevel="0" collapsed="false">
      <c r="A13" s="156" t="s">
        <v>794</v>
      </c>
      <c r="B13" s="160"/>
      <c r="C13" s="160"/>
      <c r="D13" s="160"/>
      <c r="E13" s="160"/>
      <c r="F13" s="161"/>
      <c r="G13" s="160"/>
      <c r="H13" s="160"/>
      <c r="I13" s="160" t="n">
        <f aca="false">COUNTA($A$5:A13)</f>
        <v>9</v>
      </c>
      <c r="J13" s="160"/>
    </row>
    <row r="14" customFormat="false" ht="14.25" hidden="false" customHeight="true" outlineLevel="0" collapsed="false">
      <c r="A14" s="156" t="s">
        <v>795</v>
      </c>
      <c r="B14" s="160"/>
      <c r="C14" s="160"/>
      <c r="D14" s="160"/>
      <c r="E14" s="160"/>
      <c r="F14" s="161"/>
      <c r="G14" s="160"/>
      <c r="H14" s="160"/>
      <c r="I14" s="160" t="n">
        <f aca="false">COUNTA($A$5:A14)</f>
        <v>10</v>
      </c>
      <c r="J14" s="160"/>
    </row>
  </sheetData>
  <dataValidations count="1">
    <dataValidation allowBlank="true" errorStyle="stop" operator="between" showDropDown="false" showErrorMessage="false" showInputMessage="false" sqref="F5:F14" type="list">
      <formula1>"일정,원가,스코프,일정+원가,일정+스코프,원가+스코프,전체"</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F10"/>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ColWidth="8.6328125" defaultRowHeight="14.25" zeroHeight="false" outlineLevelRow="0" outlineLevelCol="0"/>
  <cols>
    <col collapsed="false" customWidth="true" hidden="false" outlineLevel="0" max="1" min="1" style="29" width="30"/>
    <col collapsed="false" customWidth="true" hidden="false" outlineLevel="0" max="3" min="2" style="29" width="12"/>
    <col collapsed="false" customWidth="true" hidden="false" outlineLevel="0" max="4" min="4" style="29" width="14"/>
    <col collapsed="false" customWidth="true" hidden="false" outlineLevel="0" max="5" min="5" style="29" width="12"/>
    <col collapsed="false" customWidth="true" hidden="false" outlineLevel="0" max="6" min="6" style="29" width="24"/>
  </cols>
  <sheetData>
    <row r="4" customFormat="false" ht="15" hidden="false" customHeight="true" outlineLevel="0" collapsed="false">
      <c r="A4" s="56" t="s">
        <v>796</v>
      </c>
      <c r="B4" s="56" t="s">
        <v>797</v>
      </c>
      <c r="C4" s="56" t="s">
        <v>311</v>
      </c>
      <c r="D4" s="56" t="s">
        <v>187</v>
      </c>
      <c r="E4" s="56" t="s">
        <v>798</v>
      </c>
      <c r="F4" s="56" t="s">
        <v>10</v>
      </c>
    </row>
    <row r="5" customFormat="false" ht="14.25" hidden="false" customHeight="true" outlineLevel="0" collapsed="false">
      <c r="A5" s="72" t="s">
        <v>799</v>
      </c>
      <c r="B5" s="123" t="n">
        <v>0.2</v>
      </c>
      <c r="C5" s="165" t="s">
        <v>340</v>
      </c>
      <c r="D5" s="165" t="s">
        <v>800</v>
      </c>
      <c r="E5" s="165"/>
      <c r="F5" s="166" t="s">
        <v>801</v>
      </c>
    </row>
    <row r="6" customFormat="false" ht="14.25" hidden="false" customHeight="true" outlineLevel="0" collapsed="false">
      <c r="A6" s="72" t="s">
        <v>802</v>
      </c>
      <c r="B6" s="123" t="n">
        <v>0.3</v>
      </c>
      <c r="C6" s="165" t="s">
        <v>803</v>
      </c>
      <c r="D6" s="165"/>
      <c r="E6" s="165"/>
      <c r="F6" s="106"/>
    </row>
    <row r="7" customFormat="false" ht="15" hidden="false" customHeight="true" outlineLevel="0" collapsed="false">
      <c r="A7" s="72" t="s">
        <v>804</v>
      </c>
      <c r="B7" s="123" t="n">
        <v>0.2</v>
      </c>
      <c r="C7" s="165" t="s">
        <v>803</v>
      </c>
      <c r="D7" s="165"/>
      <c r="E7" s="165"/>
      <c r="F7" s="106"/>
    </row>
    <row r="8" customFormat="false" ht="15" hidden="false" customHeight="true" outlineLevel="0" collapsed="false">
      <c r="A8" s="106" t="s">
        <v>805</v>
      </c>
      <c r="B8" s="123" t="n">
        <v>0.1</v>
      </c>
      <c r="C8" s="165" t="s">
        <v>340</v>
      </c>
      <c r="D8" s="165" t="s">
        <v>806</v>
      </c>
      <c r="E8" s="165"/>
      <c r="F8" s="106" t="s">
        <v>807</v>
      </c>
    </row>
    <row r="9" customFormat="false" ht="14.25" hidden="false" customHeight="true" outlineLevel="0" collapsed="false">
      <c r="A9" s="72" t="s">
        <v>808</v>
      </c>
      <c r="B9" s="123" t="n">
        <v>0.2</v>
      </c>
      <c r="C9" s="165" t="s">
        <v>803</v>
      </c>
      <c r="D9" s="165"/>
      <c r="E9" s="165"/>
      <c r="F9" s="106"/>
    </row>
    <row r="10" customFormat="false" ht="14.25" hidden="false" customHeight="true" outlineLevel="0" collapsed="false">
      <c r="A10" s="60" t="s">
        <v>544</v>
      </c>
      <c r="B10" s="143" t="n">
        <f aca="false">SUM(B5:B9)</f>
        <v>1</v>
      </c>
      <c r="C10" s="9"/>
      <c r="D10" s="9"/>
      <c r="E10" s="9"/>
      <c r="F10" s="9"/>
    </row>
  </sheetData>
  <dataValidations count="1">
    <dataValidation allowBlank="true" errorStyle="stop" operator="between" showDropDown="false" showErrorMessage="false" showInputMessage="false" sqref="C5:C9" type="list">
      <formula1>"미완료,진행중,완료"</formula1>
      <formula2>0</formula2>
    </dataValidation>
  </dataValidations>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4:N1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4" topLeftCell="A5" activePane="bottomLeft" state="frozen"/>
      <selection pane="topLeft" activeCell="A1" activeCellId="0" sqref="A1"/>
      <selection pane="bottomLeft" activeCell="A1" activeCellId="0" sqref="A1"/>
    </sheetView>
  </sheetViews>
  <sheetFormatPr defaultColWidth="8.6796875" defaultRowHeight="15" zeroHeight="false" outlineLevelRow="0" outlineLevelCol="0"/>
  <cols>
    <col collapsed="false" customWidth="true" hidden="false" outlineLevel="0" max="1" min="1" style="29" width="28"/>
    <col collapsed="false" customWidth="true" hidden="false" outlineLevel="0" max="2" min="2" style="29" width="12"/>
    <col collapsed="false" customWidth="true" hidden="false" outlineLevel="0" max="3" min="3" style="29" width="14"/>
    <col collapsed="false" customWidth="true" hidden="false" outlineLevel="0" max="4" min="4" style="29" width="16"/>
    <col collapsed="false" customWidth="true" hidden="false" outlineLevel="0" max="6" min="6" style="29" width="14"/>
    <col collapsed="false" customWidth="true" hidden="false" outlineLevel="0" max="7" min="7" style="29" width="16"/>
    <col collapsed="false" customWidth="true" hidden="false" outlineLevel="0" max="9" min="9" style="29" width="14"/>
    <col collapsed="false" customWidth="true" hidden="false" outlineLevel="0" max="10" min="10" style="29" width="10"/>
    <col collapsed="false" customWidth="true" hidden="false" outlineLevel="0" max="13" min="11" style="29" width="14"/>
  </cols>
  <sheetData>
    <row r="4" customFormat="false" ht="43.5" hidden="false" customHeight="true" outlineLevel="0" collapsed="false">
      <c r="A4" s="56" t="s">
        <v>809</v>
      </c>
      <c r="B4" s="56" t="s">
        <v>561</v>
      </c>
      <c r="C4" s="56" t="s">
        <v>810</v>
      </c>
      <c r="D4" s="56" t="s">
        <v>811</v>
      </c>
      <c r="E4" s="56" t="s">
        <v>812</v>
      </c>
      <c r="F4" s="56" t="s">
        <v>813</v>
      </c>
      <c r="G4" s="150" t="s">
        <v>701</v>
      </c>
      <c r="H4" s="56" t="s">
        <v>814</v>
      </c>
      <c r="I4" s="150" t="s">
        <v>815</v>
      </c>
      <c r="J4" s="56" t="s">
        <v>816</v>
      </c>
      <c r="K4" s="150" t="s">
        <v>700</v>
      </c>
      <c r="L4" s="150" t="s">
        <v>817</v>
      </c>
      <c r="M4" s="150" t="s">
        <v>143</v>
      </c>
      <c r="N4" s="56" t="s">
        <v>10</v>
      </c>
    </row>
    <row r="5" customFormat="false" ht="29.25" hidden="false" customHeight="true" outlineLevel="0" collapsed="false">
      <c r="A5" s="129" t="s">
        <v>818</v>
      </c>
      <c r="B5" s="72" t="s">
        <v>819</v>
      </c>
      <c r="C5" s="128" t="s">
        <v>262</v>
      </c>
      <c r="D5" s="130" t="n">
        <v>150000000</v>
      </c>
      <c r="E5" s="128" t="str">
        <f aca="false">IFERROR(IF(ISNUMBER(SEARCH("~",INDEX(CA_개요!$F$5:$F$33,MATCH(C5,CA_개요!$B$5:$B$33,0)))),MID(INDEX(CA_개요!$F$5:$F$33,MATCH(C5,CA_개요!$B$5:$B$33,0)),SEARCH("~",INDEX(CA_개요!$F$5:$F$33,MATCH(C5,CA_개요!$B$5:$B$33,0)))+1,20),INDEX(CA_개요!$F$5:$F$33,MATCH(C5,CA_개요!$B$5:$B$33,0))),"")</f>
        <v>Proto</v>
      </c>
      <c r="F5" s="167" t="n">
        <f aca="false">IFERROR(INDEX(CA_개요!$J$5:$J$33,MATCH(C5,CA_개요!$B$5:$B$33,0))/100,0)</f>
        <v>1</v>
      </c>
      <c r="G5" s="132" t="n">
        <f aca="false">D5*F5</f>
        <v>150000000</v>
      </c>
      <c r="H5" s="168" t="n">
        <v>142500000</v>
      </c>
      <c r="I5" s="132" t="n">
        <f aca="false">G5-H5</f>
        <v>7500000</v>
      </c>
      <c r="J5" s="167" t="n">
        <f aca="false">IFERROR(H5/D5,0)</f>
        <v>0.95</v>
      </c>
      <c r="K5" s="132" t="n">
        <f aca="false">IFERROR(IF(IFERROR(EVMS_대시보드!$N$4/가정!$C$31,0)&gt;=INDEX(가정!$C$46:$C$50,MATCH(E5,가정!$B$46:$B$50,0)),D5,0),0)</f>
        <v>150000000</v>
      </c>
      <c r="L5" s="132" t="n">
        <f aca="false">G5-K5</f>
        <v>0</v>
      </c>
      <c r="M5" s="167" t="n">
        <f aca="false">IFERROR(G5/K5,0)</f>
        <v>1</v>
      </c>
      <c r="N5" s="116" t="s">
        <v>820</v>
      </c>
    </row>
    <row r="6" customFormat="false" ht="29.25" hidden="false" customHeight="true" outlineLevel="0" collapsed="false">
      <c r="A6" s="129" t="s">
        <v>821</v>
      </c>
      <c r="B6" s="72" t="s">
        <v>819</v>
      </c>
      <c r="C6" s="128" t="s">
        <v>269</v>
      </c>
      <c r="D6" s="130" t="n">
        <v>80000000</v>
      </c>
      <c r="E6" s="128" t="str">
        <f aca="false">IFERROR(IF(ISNUMBER(SEARCH("~",INDEX(CA_개요!$F$5:$F$33,MATCH(C6,CA_개요!$B$5:$B$33,0)))),MID(INDEX(CA_개요!$F$5:$F$33,MATCH(C6,CA_개요!$B$5:$B$33,0)),SEARCH("~",INDEX(CA_개요!$F$5:$F$33,MATCH(C6,CA_개요!$B$5:$B$33,0)))+1,20),INDEX(CA_개요!$F$5:$F$33,MATCH(C6,CA_개요!$B$5:$B$33,0))),"")</f>
        <v>Proto</v>
      </c>
      <c r="F6" s="167" t="n">
        <f aca="false">IFERROR(INDEX(CA_개요!$J$5:$J$33,MATCH(C6,CA_개요!$B$5:$B$33,0))/100,0)</f>
        <v>1</v>
      </c>
      <c r="G6" s="132" t="n">
        <f aca="false">D6*F6</f>
        <v>80000000</v>
      </c>
      <c r="H6" s="168" t="n">
        <v>76000000</v>
      </c>
      <c r="I6" s="132" t="n">
        <f aca="false">G6-H6</f>
        <v>4000000</v>
      </c>
      <c r="J6" s="167" t="n">
        <f aca="false">IFERROR(H6/D6,0)</f>
        <v>0.95</v>
      </c>
      <c r="K6" s="132" t="n">
        <f aca="false">IFERROR(IF(IFERROR(EVMS_대시보드!$N$4/가정!$C$31,0)&gt;=INDEX(가정!$C$46:$C$50,MATCH(E6,가정!$B$46:$B$50,0)),D6,0),0)</f>
        <v>80000000</v>
      </c>
      <c r="L6" s="132" t="n">
        <f aca="false">G6-K6</f>
        <v>0</v>
      </c>
      <c r="M6" s="167" t="n">
        <f aca="false">IFERROR(G6/K6,0)</f>
        <v>1</v>
      </c>
      <c r="N6" s="129" t="s">
        <v>822</v>
      </c>
    </row>
    <row r="7" customFormat="false" ht="15" hidden="false" customHeight="true" outlineLevel="0" collapsed="false">
      <c r="A7" s="116" t="s">
        <v>823</v>
      </c>
      <c r="B7" s="72" t="s">
        <v>819</v>
      </c>
      <c r="C7" s="128" t="s">
        <v>206</v>
      </c>
      <c r="D7" s="130" t="n">
        <v>60000000</v>
      </c>
      <c r="E7" s="128" t="str">
        <f aca="false">IFERROR(IF(ISNUMBER(SEARCH("~",INDEX(CA_개요!$F$5:$F$33,MATCH(C7,CA_개요!$B$5:$B$33,0)))),MID(INDEX(CA_개요!$F$5:$F$33,MATCH(C7,CA_개요!$B$5:$B$33,0)),SEARCH("~",INDEX(CA_개요!$F$5:$F$33,MATCH(C7,CA_개요!$B$5:$B$33,0)))+1,20),INDEX(CA_개요!$F$5:$F$33,MATCH(C7,CA_개요!$B$5:$B$33,0))),"")</f>
        <v>P1</v>
      </c>
      <c r="F7" s="167" t="n">
        <f aca="false">IFERROR(INDEX(CA_개요!$J$5:$J$33,MATCH(C7,CA_개요!$B$5:$B$33,0))/100,0)</f>
        <v>0.95</v>
      </c>
      <c r="G7" s="132" t="n">
        <f aca="false">D7*F7</f>
        <v>57000000</v>
      </c>
      <c r="H7" s="168" t="n">
        <v>0</v>
      </c>
      <c r="I7" s="132" t="n">
        <f aca="false">G7-H7</f>
        <v>57000000</v>
      </c>
      <c r="J7" s="167" t="n">
        <f aca="false">IFERROR(H7/D7,0)</f>
        <v>0</v>
      </c>
      <c r="K7" s="132" t="n">
        <f aca="false">IFERROR(IF(IFERROR(EVMS_대시보드!$N$4/가정!$C$31,0)&gt;=INDEX(가정!$C$46:$C$50,MATCH(E7,가정!$B$46:$B$50,0)),D7,0),0)</f>
        <v>0</v>
      </c>
      <c r="L7" s="132" t="n">
        <f aca="false">G7-K7</f>
        <v>57000000</v>
      </c>
      <c r="M7" s="167" t="n">
        <f aca="false">IFERROR(G7/K7,0)</f>
        <v>0</v>
      </c>
      <c r="N7" s="116" t="s">
        <v>824</v>
      </c>
    </row>
    <row r="8" customFormat="false" ht="15" hidden="false" customHeight="true" outlineLevel="0" collapsed="false">
      <c r="A8" s="116" t="s">
        <v>825</v>
      </c>
      <c r="B8" s="72" t="s">
        <v>826</v>
      </c>
      <c r="C8" s="128" t="s">
        <v>294</v>
      </c>
      <c r="D8" s="130" t="n">
        <v>40000000</v>
      </c>
      <c r="E8" s="128" t="str">
        <f aca="false">IFERROR(IF(ISNUMBER(SEARCH("~",INDEX(CA_개요!$F$5:$F$33,MATCH(C8,CA_개요!$B$5:$B$33,0)))),MID(INDEX(CA_개요!$F$5:$F$33,MATCH(C8,CA_개요!$B$5:$B$33,0)),SEARCH("~",INDEX(CA_개요!$F$5:$F$33,MATCH(C8,CA_개요!$B$5:$B$33,0)))+1,20),INDEX(CA_개요!$F$5:$F$33,MATCH(C8,CA_개요!$B$5:$B$33,0))),"")</f>
        <v>M-Car</v>
      </c>
      <c r="F8" s="167" t="n">
        <f aca="false">IFERROR(INDEX(CA_개요!$J$5:$J$33,MATCH(C8,CA_개요!$B$5:$B$33,0))/100,0)</f>
        <v>1</v>
      </c>
      <c r="G8" s="132" t="n">
        <f aca="false">D8*F8</f>
        <v>40000000</v>
      </c>
      <c r="H8" s="168" t="n">
        <v>38000000</v>
      </c>
      <c r="I8" s="132" t="n">
        <f aca="false">G8-H8</f>
        <v>2000000</v>
      </c>
      <c r="J8" s="167" t="n">
        <f aca="false">IFERROR(H8/D8,0)</f>
        <v>0.95</v>
      </c>
      <c r="K8" s="132" t="n">
        <f aca="false">IFERROR(IF(IFERROR(EVMS_대시보드!$N$4/가정!$C$31,0)&gt;=INDEX(가정!$C$46:$C$50,MATCH(E8,가정!$B$46:$B$50,0)),D8,0),0)</f>
        <v>40000000</v>
      </c>
      <c r="L8" s="132" t="n">
        <f aca="false">G8-K8</f>
        <v>0</v>
      </c>
      <c r="M8" s="167" t="n">
        <f aca="false">IFERROR(G8/K8,0)</f>
        <v>1</v>
      </c>
      <c r="N8" s="129" t="s">
        <v>827</v>
      </c>
    </row>
    <row r="9" customFormat="false" ht="15" hidden="false" customHeight="true" outlineLevel="0" collapsed="false">
      <c r="A9" s="116" t="s">
        <v>828</v>
      </c>
      <c r="B9" s="72" t="s">
        <v>826</v>
      </c>
      <c r="C9" s="128" t="s">
        <v>298</v>
      </c>
      <c r="D9" s="130" t="n">
        <v>50000000</v>
      </c>
      <c r="E9" s="128" t="str">
        <f aca="false">IFERROR(IF(ISNUMBER(SEARCH("~",INDEX(CA_개요!$F$5:$F$33,MATCH(C9,CA_개요!$B$5:$B$33,0)))),MID(INDEX(CA_개요!$F$5:$F$33,MATCH(C9,CA_개요!$B$5:$B$33,0)),SEARCH("~",INDEX(CA_개요!$F$5:$F$33,MATCH(C9,CA_개요!$B$5:$B$33,0)))+1,20),INDEX(CA_개요!$F$5:$F$33,MATCH(C9,CA_개요!$B$5:$B$33,0))),"")</f>
        <v>P2</v>
      </c>
      <c r="F9" s="167" t="n">
        <f aca="false">IFERROR(INDEX(CA_개요!$J$5:$J$33,MATCH(C9,CA_개요!$B$5:$B$33,0))/100,0)</f>
        <v>0.425</v>
      </c>
      <c r="G9" s="132" t="n">
        <f aca="false">D9*F9</f>
        <v>21250000</v>
      </c>
      <c r="H9" s="168" t="n">
        <v>0</v>
      </c>
      <c r="I9" s="132" t="n">
        <f aca="false">G9-H9</f>
        <v>21250000</v>
      </c>
      <c r="J9" s="167" t="n">
        <f aca="false">IFERROR(H9/D9,0)</f>
        <v>0</v>
      </c>
      <c r="K9" s="132" t="n">
        <f aca="false">IFERROR(IF(IFERROR(EVMS_대시보드!$N$4/가정!$C$31,0)&gt;=INDEX(가정!$C$46:$C$50,MATCH(E9,가정!$B$46:$B$50,0)),D9,0),0)</f>
        <v>0</v>
      </c>
      <c r="L9" s="132" t="n">
        <f aca="false">G9-K9</f>
        <v>21250000</v>
      </c>
      <c r="M9" s="167" t="n">
        <f aca="false">IFERROR(G9/K9,0)</f>
        <v>0</v>
      </c>
      <c r="N9" s="129" t="s">
        <v>829</v>
      </c>
    </row>
    <row r="11" customFormat="false" ht="16.5" hidden="false" customHeight="true" outlineLevel="0" collapsed="false">
      <c r="A11" s="92" t="s">
        <v>830</v>
      </c>
      <c r="D11" s="154" t="n">
        <f aca="false">SUM(D5:D9)</f>
        <v>380000000</v>
      </c>
      <c r="G11" s="154" t="n">
        <f aca="false">SUM(G5:G9)</f>
        <v>348250000</v>
      </c>
      <c r="H11" s="154" t="n">
        <f aca="false">SUM(H5:H9)</f>
        <v>256500000</v>
      </c>
      <c r="I11" s="154" t="n">
        <f aca="false">SUM(I5:I9)</f>
        <v>91750000</v>
      </c>
      <c r="J11" s="169" t="n">
        <f aca="false">IFERROR(H11/D11,0)</f>
        <v>0.675</v>
      </c>
      <c r="K11" s="154" t="n">
        <f aca="false">SUM(K5:K9)</f>
        <v>270000000</v>
      </c>
      <c r="L11" s="154" t="n">
        <f aca="false">G11-K11</f>
        <v>78250000</v>
      </c>
      <c r="M11" s="169" t="n">
        <f aca="false">IFERROR(G11/K11,0)</f>
        <v>1.28981481481481</v>
      </c>
    </row>
  </sheetData>
  <printOptions headings="false" gridLines="false" gridLinesSet="true" horizontalCentered="false" verticalCentered="false"/>
  <pageMargins left="0.75" right="0.75" top="1" bottom="1"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docProps/app.xml><?xml version="1.0" encoding="utf-8"?>
<Properties xmlns="http://schemas.openxmlformats.org/officeDocument/2006/extended-properties" xmlns:vt="http://schemas.openxmlformats.org/officeDocument/2006/docPropsVTypes">
  <Template/>
  <TotalTime>0</TotalTime>
  <Application>LibreOffice/24.2.7.2$Linux_X86_64 LibreOffice_project/420$Build-2</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2026-08-28T19:30:41Z</dcterms:created>
  <dc:creator>openpyxl</dc:creator>
  <dc:description/>
  <dc:language>en-US</dc:language>
  <cp:lastModifiedBy>apple</cp:lastModifiedBy>
  <dcterms:modified xsi:type="dcterms:W3CDTF">2026-08-29T01:16:27Z</dcterms:modified>
  <cp:revision>0</cp:revision>
  <dc:subject/>
  <dc:title/>
</cp:coreProperties>
</file>

<file path=docProps/custom.xml><?xml version="1.0" encoding="utf-8"?>
<Properties xmlns="http://schemas.openxmlformats.org/officeDocument/2006/custom-properties" xmlns:vt="http://schemas.openxmlformats.org/officeDocument/2006/docPropsVTypes"/>
</file>