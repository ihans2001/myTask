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5.xml" ContentType="application/vnd.openxmlformats-officedocument.spreadsheetml.comments+xml"/>
  <Override PartName="/xl/drawings/drawing20.xml" ContentType="application/vnd.openxmlformats-officedocument.drawing+xml"/>
  <Override PartName="/xl/comments6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MyWork\BOM_SSoT\"/>
    </mc:Choice>
  </mc:AlternateContent>
  <bookViews>
    <workbookView xWindow="0" yWindow="-340" windowWidth="16380" windowHeight="8190" tabRatio="500" firstSheet="17" activeTab="24"/>
  </bookViews>
  <sheets>
    <sheet name="Tier역할변화" sheetId="41" r:id="rId1"/>
    <sheet name="wsList" sheetId="18" r:id="rId2"/>
    <sheet name="Encrypt" sheetId="19" r:id="rId3"/>
    <sheet name="SelfAudit_Guide" sheetId="26" r:id="rId4"/>
    <sheet name="TaskConfig" sheetId="17" r:id="rId5"/>
    <sheet name="SSoT" sheetId="1" r:id="rId6"/>
    <sheet name="LevelDepth" sheetId="2" r:id="rId7"/>
    <sheet name="LevelDepth_Name변형" sheetId="3" r:id="rId8"/>
    <sheet name="SSoT_변경이력" sheetId="4" r:id="rId9"/>
    <sheet name="인스턴스_통합_원본" sheetId="42" r:id="rId10"/>
    <sheet name="인스턴스_통합" sheetId="39" r:id="rId11"/>
    <sheet name="인스턴스 종합현황" sheetId="14" r:id="rId12"/>
    <sheet name="인스턴스_SAMPLE" sheetId="16" r:id="rId13"/>
    <sheet name="SAMPLE_변경이력" sheetId="10" r:id="rId14"/>
    <sheet name="유지보수_SAMPLE_함수단위" sheetId="7" r:id="rId15"/>
    <sheet name="유지보수_SAMPLE_펌웨어단위" sheetId="8" r:id="rId16"/>
    <sheet name="인스턴스_목록" sheetId="9" r:id="rId17"/>
    <sheet name="베이스라인_계보" sheetId="11" r:id="rId18"/>
    <sheet name="예외처리_가이드" sheetId="12" r:id="rId19"/>
    <sheet name="스냅샷_보관" sheetId="13" r:id="rId20"/>
    <sheet name="범례_사용법" sheetId="15" r:id="rId21"/>
    <sheet name="TaskConfig_Seed" sheetId="20" state="veryHidden" r:id="rId22"/>
    <sheet name="IntegrityAuditLog" sheetId="22" state="veryHidden" r:id="rId23"/>
    <sheet name="IntegrityAuditResult" sheetId="23" r:id="rId24"/>
    <sheet name="릴리즈준비점검" sheetId="27" r:id="rId25"/>
    <sheet name="SW재사용지표관리" sheetId="28" r:id="rId26"/>
    <sheet name="SUP9_이슈현황" sheetId="29" r:id="rId27"/>
    <sheet name="SUP9_재발결함" sheetId="30" r:id="rId28"/>
    <sheet name="SUP1_QA체크리스트" sheetId="31" r:id="rId29"/>
    <sheet name="MAN3_마일스톤리스크로그" sheetId="32" r:id="rId30"/>
    <sheet name="MAN5_리스크레지스터" sheetId="33" r:id="rId31"/>
    <sheet name="REU2_재사용심사이력" sheetId="34" r:id="rId32"/>
    <sheet name="SWE_검증현황" sheetId="35" r:id="rId33"/>
    <sheet name="변경관리_매트릭스" sheetId="36" r:id="rId34"/>
    <sheet name="IntegrityHighlightLog" sheetId="24" state="veryHidden" r:id="rId35"/>
    <sheet name="NoteBackupLog" sheetId="25" state="veryHidden" r:id="rId36"/>
  </sheets>
  <functionGroups builtInGroupCount="18"/>
  <definedNames>
    <definedName name="_xlnm._FilterDatabase" localSheetId="32" hidden="1">SWE_검증현황!$A$4:$F$4</definedName>
  </definedNames>
  <calcPr calcId="152511"/>
</workbook>
</file>

<file path=xl/calcChain.xml><?xml version="1.0" encoding="utf-8"?>
<calcChain xmlns="http://schemas.openxmlformats.org/spreadsheetml/2006/main">
  <c r="B11" i="27" l="1"/>
  <c r="B10" i="27"/>
  <c r="B9" i="27"/>
  <c r="B8" i="27"/>
  <c r="D6" i="14" l="1"/>
  <c r="E6" i="14"/>
  <c r="F6" i="14"/>
  <c r="D7" i="14"/>
  <c r="E7" i="14"/>
  <c r="F7" i="14"/>
  <c r="D8" i="14"/>
  <c r="E8" i="14"/>
  <c r="F8" i="14"/>
  <c r="D9" i="14"/>
  <c r="E9" i="14"/>
  <c r="F9" i="14"/>
  <c r="D10" i="14"/>
  <c r="E10" i="14"/>
  <c r="F10" i="14"/>
  <c r="D11" i="14"/>
  <c r="E11" i="14"/>
  <c r="F11" i="14"/>
  <c r="E5" i="14"/>
  <c r="F5" i="14"/>
  <c r="D5" i="14"/>
  <c r="B13" i="27" l="1"/>
  <c r="B11" i="14"/>
  <c r="B10" i="14"/>
  <c r="B9" i="14"/>
  <c r="B8" i="14"/>
  <c r="B7" i="14"/>
  <c r="B6" i="14"/>
  <c r="B5" i="14"/>
  <c r="B6" i="4"/>
  <c r="B5" i="4"/>
  <c r="G11" i="3"/>
  <c r="F11" i="3"/>
  <c r="E11" i="3"/>
  <c r="C11" i="3"/>
  <c r="A11" i="3"/>
  <c r="G10" i="3"/>
  <c r="F10" i="3"/>
  <c r="E10" i="3"/>
  <c r="D10" i="3"/>
  <c r="A10" i="3"/>
  <c r="G9" i="3"/>
  <c r="F9" i="3"/>
  <c r="D9" i="3"/>
  <c r="C9" i="3"/>
  <c r="A9" i="3"/>
  <c r="G8" i="3"/>
  <c r="F8" i="3"/>
  <c r="E8" i="3"/>
  <c r="C8" i="3"/>
  <c r="A8" i="3"/>
  <c r="G7" i="3"/>
  <c r="F7" i="3"/>
  <c r="E7" i="3"/>
  <c r="D7" i="3"/>
  <c r="A7" i="3"/>
  <c r="G6" i="3"/>
  <c r="F6" i="3"/>
  <c r="E6" i="3"/>
  <c r="C6" i="3"/>
  <c r="A6" i="3"/>
  <c r="G5" i="3"/>
  <c r="F5" i="3"/>
  <c r="E5" i="3"/>
  <c r="D5" i="3"/>
  <c r="A5" i="3"/>
  <c r="B11" i="2"/>
  <c r="B11" i="3" s="1"/>
  <c r="D11" i="3" s="1"/>
  <c r="B10" i="2"/>
  <c r="B10" i="3" s="1"/>
  <c r="C10" i="3" s="1"/>
  <c r="B9" i="2"/>
  <c r="B9" i="3" s="1"/>
  <c r="E9" i="3" s="1"/>
  <c r="B8" i="2"/>
  <c r="B8" i="3" s="1"/>
  <c r="D8" i="3" s="1"/>
  <c r="B7" i="2"/>
  <c r="B7" i="3" s="1"/>
  <c r="C7" i="3" s="1"/>
  <c r="B6" i="2"/>
  <c r="B6" i="3" s="1"/>
  <c r="D6" i="3" s="1"/>
  <c r="B5" i="2"/>
  <c r="B5" i="3" s="1"/>
  <c r="C5" i="3" s="1"/>
  <c r="C11" i="1"/>
  <c r="C11" i="14" s="1"/>
  <c r="C10" i="1"/>
  <c r="C10" i="14" s="1"/>
  <c r="C9" i="1"/>
  <c r="C9" i="14" s="1"/>
  <c r="C8" i="1"/>
  <c r="C8" i="14" s="1"/>
  <c r="C7" i="1"/>
  <c r="C7" i="14" s="1"/>
  <c r="C6" i="1"/>
  <c r="C6" i="14" s="1"/>
  <c r="C5" i="1"/>
  <c r="C5" i="4" s="1"/>
  <c r="C6" i="4" l="1"/>
  <c r="C5" i="14"/>
</calcChain>
</file>

<file path=xl/comments1.xml><?xml version="1.0" encoding="utf-8"?>
<comments xmlns="http://schemas.openxmlformats.org/spreadsheetml/2006/main">
  <authors>
    <author>apple</author>
  </authors>
  <commentList>
    <comment ref="B57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PSIRT(Product Security Incident Response Team, </t>
        </r>
        <r>
          <rPr>
            <sz val="9"/>
            <color indexed="81"/>
            <rFont val="돋움"/>
            <family val="3"/>
            <charset val="129"/>
          </rPr>
          <t>제품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자사가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>·</t>
        </r>
        <r>
          <rPr>
            <sz val="9"/>
            <color indexed="81"/>
            <rFont val="돋움"/>
            <family val="3"/>
            <charset val="129"/>
          </rPr>
          <t>생산하여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제품</t>
        </r>
        <r>
          <rPr>
            <sz val="9"/>
            <color indexed="81"/>
            <rFont val="Tahoma"/>
            <family val="2"/>
          </rPr>
          <t xml:space="preserve">(HW/SW, ECU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취약점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영향도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패치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대응을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전담하는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조직입니다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기업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내부</t>
        </r>
        <r>
          <rPr>
            <sz val="9"/>
            <color indexed="81"/>
            <rFont val="Tahoma"/>
            <family val="2"/>
          </rPr>
          <t xml:space="preserve"> IT </t>
        </r>
        <r>
          <rPr>
            <sz val="9"/>
            <color indexed="81"/>
            <rFont val="돋움"/>
            <family val="3"/>
            <charset val="129"/>
          </rPr>
          <t>인프라를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(CSIRT)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시장에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출하된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제품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자체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수명주기를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관리한다는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핵심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차이점입니다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구분</t>
        </r>
        <r>
          <rPr>
            <sz val="9"/>
            <color indexed="81"/>
            <rFont val="Tahoma"/>
            <family val="2"/>
          </rPr>
          <t xml:space="preserve">                 CSIRT (</t>
        </r>
        <r>
          <rPr>
            <sz val="9"/>
            <color indexed="81"/>
            <rFont val="돋움"/>
            <family val="3"/>
            <charset val="129"/>
          </rPr>
          <t>사내</t>
        </r>
        <r>
          <rPr>
            <sz val="9"/>
            <color indexed="81"/>
            <rFont val="Tahoma"/>
            <family val="2"/>
          </rPr>
          <t xml:space="preserve"> IT </t>
        </r>
        <r>
          <rPr>
            <sz val="9"/>
            <color indexed="81"/>
            <rFont val="돋움"/>
            <family val="3"/>
            <charset val="129"/>
          </rPr>
          <t>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)                               PSIRT (</t>
        </r>
        <r>
          <rPr>
            <sz val="9"/>
            <color indexed="81"/>
            <rFont val="돋움"/>
            <family val="3"/>
            <charset val="129"/>
          </rPr>
          <t>제품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</t>
        </r>
        <r>
          <rPr>
            <sz val="9"/>
            <color indexed="81"/>
            <rFont val="Tahoma"/>
            <family val="2"/>
          </rPr>
          <t xml:space="preserve">         </t>
        </r>
        <r>
          <rPr>
            <sz val="9"/>
            <color indexed="81"/>
            <rFont val="돋움"/>
            <family val="3"/>
            <charset val="129"/>
          </rPr>
          <t>사내</t>
        </r>
        <r>
          <rPr>
            <sz val="9"/>
            <color indexed="81"/>
            <rFont val="Tahoma"/>
            <family val="2"/>
          </rPr>
          <t xml:space="preserve"> PC, </t>
        </r>
        <r>
          <rPr>
            <sz val="9"/>
            <color indexed="81"/>
            <rFont val="돋움"/>
            <family val="3"/>
            <charset val="129"/>
          </rPr>
          <t>내부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네트워크</t>
        </r>
        <r>
          <rPr>
            <sz val="9"/>
            <color indexed="81"/>
            <rFont val="Tahoma"/>
            <family val="2"/>
          </rPr>
          <t>, ERP/</t>
        </r>
        <r>
          <rPr>
            <sz val="9"/>
            <color indexed="81"/>
            <rFont val="돋움"/>
            <family val="3"/>
            <charset val="129"/>
          </rPr>
          <t>메일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서버</t>
        </r>
        <r>
          <rPr>
            <sz val="9"/>
            <color indexed="81"/>
            <rFont val="Tahoma"/>
            <family val="2"/>
          </rPr>
          <t xml:space="preserve">            </t>
        </r>
        <r>
          <rPr>
            <sz val="9"/>
            <color indexed="81"/>
            <rFont val="돋움"/>
            <family val="3"/>
            <charset val="129"/>
          </rPr>
          <t>자사가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판매한</t>
        </r>
        <r>
          <rPr>
            <sz val="9"/>
            <color indexed="81"/>
            <rFont val="Tahoma"/>
            <family val="2"/>
          </rPr>
          <t xml:space="preserve"> ECU, </t>
        </r>
        <r>
          <rPr>
            <sz val="9"/>
            <color indexed="81"/>
            <rFont val="돋움"/>
            <family val="3"/>
            <charset val="129"/>
          </rPr>
          <t>차량용</t>
        </r>
        <r>
          <rPr>
            <sz val="9"/>
            <color indexed="81"/>
            <rFont val="Tahoma"/>
            <family val="2"/>
          </rPr>
          <t xml:space="preserve"> SW, </t>
        </r>
        <r>
          <rPr>
            <sz val="9"/>
            <color indexed="81"/>
            <rFont val="돋움"/>
            <family val="3"/>
            <charset val="129"/>
          </rPr>
          <t>부품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단품
주요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목적</t>
        </r>
        <r>
          <rPr>
            <sz val="9"/>
            <color indexed="81"/>
            <rFont val="Tahoma"/>
            <family val="2"/>
          </rPr>
          <t xml:space="preserve">         </t>
        </r>
        <r>
          <rPr>
            <sz val="9"/>
            <color indexed="81"/>
            <rFont val="돋움"/>
            <family val="3"/>
            <charset val="129"/>
          </rPr>
          <t>사내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사내망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방지</t>
        </r>
        <r>
          <rPr>
            <sz val="9"/>
            <color indexed="81"/>
            <rFont val="Tahoma"/>
            <family val="2"/>
          </rPr>
          <t xml:space="preserve">                </t>
        </r>
        <r>
          <rPr>
            <sz val="9"/>
            <color indexed="81"/>
            <rFont val="돋움"/>
            <family val="3"/>
            <charset val="129"/>
          </rPr>
          <t>제품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취약점</t>
        </r>
        <r>
          <rPr>
            <sz val="9"/>
            <color indexed="81"/>
            <rFont val="Tahoma"/>
            <family val="2"/>
          </rPr>
          <t xml:space="preserve">(CVE) </t>
        </r>
        <r>
          <rPr>
            <sz val="9"/>
            <color indexed="81"/>
            <rFont val="돋움"/>
            <family val="3"/>
            <charset val="129"/>
          </rPr>
          <t>해소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수습
주요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고객</t>
        </r>
        <r>
          <rPr>
            <sz val="9"/>
            <color indexed="81"/>
            <rFont val="Tahoma"/>
            <family val="2"/>
          </rPr>
          <t xml:space="preserve">         </t>
        </r>
        <r>
          <rPr>
            <sz val="9"/>
            <color indexed="81"/>
            <rFont val="돋움"/>
            <family val="3"/>
            <charset val="129"/>
          </rPr>
          <t>사내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임직원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IT </t>
        </r>
        <r>
          <rPr>
            <sz val="9"/>
            <color indexed="81"/>
            <rFont val="돋움"/>
            <family val="3"/>
            <charset val="129"/>
          </rPr>
          <t>관리자</t>
        </r>
        <r>
          <rPr>
            <sz val="9"/>
            <color indexed="81"/>
            <rFont val="Tahoma"/>
            <family val="2"/>
          </rPr>
          <t xml:space="preserve">                              </t>
        </r>
        <r>
          <rPr>
            <sz val="9"/>
            <color indexed="81"/>
            <rFont val="돋움"/>
            <family val="3"/>
            <charset val="129"/>
          </rPr>
          <t>자동차</t>
        </r>
        <r>
          <rPr>
            <sz val="9"/>
            <color indexed="81"/>
            <rFont val="Tahoma"/>
            <family val="2"/>
          </rPr>
          <t xml:space="preserve"> OEM, </t>
        </r>
        <r>
          <rPr>
            <sz val="9"/>
            <color indexed="81"/>
            <rFont val="돋움"/>
            <family val="3"/>
            <charset val="129"/>
          </rPr>
          <t>외부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연구원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사용자
자동차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산업</t>
        </r>
        <r>
          <rPr>
            <sz val="9"/>
            <color indexed="81"/>
            <rFont val="Tahoma"/>
            <family val="2"/>
          </rPr>
          <t>(ISO/SAE 21434)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PSIRT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핵심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역할
</t>
        </r>
        <r>
          <rPr>
            <sz val="9"/>
            <color indexed="81"/>
            <rFont val="Tahoma"/>
            <family val="2"/>
          </rPr>
          <t xml:space="preserve">1. </t>
        </r>
        <r>
          <rPr>
            <sz val="9"/>
            <color indexed="81"/>
            <rFont val="돋움"/>
            <family val="3"/>
            <charset val="129"/>
          </rPr>
          <t>취약점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운영</t>
        </r>
        <r>
          <rPr>
            <sz val="9"/>
            <color indexed="81"/>
            <rFont val="Tahoma"/>
            <family val="2"/>
          </rPr>
          <t xml:space="preserve"> (Vulnerability Ingestion)  
    NVD(</t>
        </r>
        <r>
          <rPr>
            <sz val="9"/>
            <color indexed="81"/>
            <rFont val="돋움"/>
            <family val="3"/>
            <charset val="129"/>
          </rPr>
          <t>미국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국립취약점</t>
        </r>
        <r>
          <rPr>
            <sz val="9"/>
            <color indexed="81"/>
            <rFont val="Tahoma"/>
            <family val="2"/>
          </rPr>
          <t xml:space="preserve">DB), </t>
        </r>
        <r>
          <rPr>
            <sz val="9"/>
            <color indexed="81"/>
            <rFont val="돋움"/>
            <family val="3"/>
            <charset val="129"/>
          </rPr>
          <t>오픈소스</t>
        </r>
        <r>
          <rPr>
            <sz val="9"/>
            <color indexed="81"/>
            <rFont val="Tahoma"/>
            <family val="2"/>
          </rPr>
          <t xml:space="preserve"> CVE, </t>
        </r>
        <r>
          <rPr>
            <sz val="9"/>
            <color indexed="81"/>
            <rFont val="돋움"/>
            <family val="3"/>
            <charset val="129"/>
          </rPr>
          <t>외부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연구원</t>
        </r>
        <r>
          <rPr>
            <sz val="9"/>
            <color indexed="81"/>
            <rFont val="Tahoma"/>
            <family val="2"/>
          </rPr>
          <t>, OEM</t>
        </r>
        <r>
          <rPr>
            <sz val="9"/>
            <color indexed="81"/>
            <rFont val="돋움"/>
            <family val="3"/>
            <charset val="129"/>
          </rPr>
          <t>으로부터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자사</t>
        </r>
        <r>
          <rPr>
            <sz val="9"/>
            <color indexed="81"/>
            <rFont val="Tahoma"/>
            <family val="2"/>
          </rPr>
          <t xml:space="preserve"> SW </t>
        </r>
        <r>
          <rPr>
            <sz val="9"/>
            <color indexed="81"/>
            <rFont val="돋움"/>
            <family val="3"/>
            <charset val="129"/>
          </rPr>
          <t>모듈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취약점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수신</t>
        </r>
        <r>
          <rPr>
            <sz val="9"/>
            <color indexed="81"/>
            <rFont val="Tahoma"/>
            <family val="2"/>
          </rPr>
          <t xml:space="preserve"> (VDP </t>
        </r>
        <r>
          <rPr>
            <sz val="9"/>
            <color indexed="81"/>
            <rFont val="돋움"/>
            <family val="3"/>
            <charset val="129"/>
          </rPr>
          <t>채널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운영</t>
        </r>
        <r>
          <rPr>
            <sz val="9"/>
            <color indexed="81"/>
            <rFont val="Tahoma"/>
            <family val="2"/>
          </rPr>
          <t xml:space="preserve">)
2. </t>
        </r>
        <r>
          <rPr>
            <sz val="9"/>
            <color indexed="81"/>
            <rFont val="돋움"/>
            <family val="3"/>
            <charset val="129"/>
          </rPr>
          <t>영향도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(Triage &amp; Risk Assessment)
    </t>
        </r>
        <r>
          <rPr>
            <sz val="9"/>
            <color indexed="81"/>
            <rFont val="돋움"/>
            <family val="3"/>
            <charset val="129"/>
          </rPr>
          <t>제보된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취약점이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자사</t>
        </r>
        <r>
          <rPr>
            <sz val="9"/>
            <color indexed="81"/>
            <rFont val="Tahoma"/>
            <family val="2"/>
          </rPr>
          <t xml:space="preserve"> ECU </t>
        </r>
        <r>
          <rPr>
            <sz val="9"/>
            <color indexed="81"/>
            <rFont val="돋움"/>
            <family val="3"/>
            <charset val="129"/>
          </rPr>
          <t>환경에서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가능한지</t>
        </r>
        <r>
          <rPr>
            <sz val="9"/>
            <color indexed="81"/>
            <rFont val="Tahoma"/>
            <family val="2"/>
          </rPr>
          <t xml:space="preserve">(Exploitability) </t>
        </r>
        <r>
          <rPr>
            <sz val="9"/>
            <color indexed="81"/>
            <rFont val="돋움"/>
            <family val="3"/>
            <charset val="129"/>
          </rPr>
          <t>분석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CVSS </t>
        </r>
        <r>
          <rPr>
            <sz val="9"/>
            <color indexed="81"/>
            <rFont val="돋움"/>
            <family val="3"/>
            <charset val="129"/>
          </rPr>
          <t>위험도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점수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산정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패치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전달</t>
        </r>
        <r>
          <rPr>
            <sz val="9"/>
            <color indexed="81"/>
            <rFont val="Tahoma"/>
            <family val="2"/>
          </rPr>
          <t xml:space="preserve"> (Remediation &amp; Patching)
    SW </t>
        </r>
        <r>
          <rPr>
            <sz val="9"/>
            <color indexed="81"/>
            <rFont val="돋움"/>
            <family val="3"/>
            <charset val="129"/>
          </rPr>
          <t>개발팀과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핫픽스</t>
        </r>
        <r>
          <rPr>
            <sz val="9"/>
            <color indexed="81"/>
            <rFont val="Tahoma"/>
            <family val="2"/>
          </rPr>
          <t xml:space="preserve">(Hotfix)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테스트</t>
        </r>
        <r>
          <rPr>
            <sz val="9"/>
            <color indexed="81"/>
            <rFont val="Tahoma"/>
            <family val="2"/>
          </rPr>
          <t xml:space="preserve">(Regression Test) </t>
        </r>
        <r>
          <rPr>
            <sz val="9"/>
            <color indexed="81"/>
            <rFont val="돋움"/>
            <family val="3"/>
            <charset val="129"/>
          </rPr>
          <t xml:space="preserve">수행
</t>
        </r>
        <r>
          <rPr>
            <sz val="9"/>
            <color indexed="81"/>
            <rFont val="Tahoma"/>
            <family val="2"/>
          </rPr>
          <t xml:space="preserve">4. OEM </t>
        </r>
        <r>
          <rPr>
            <sz val="9"/>
            <color indexed="81"/>
            <rFont val="돋움"/>
            <family val="3"/>
            <charset val="129"/>
          </rPr>
          <t>통지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공조</t>
        </r>
        <r>
          <rPr>
            <sz val="9"/>
            <color indexed="81"/>
            <rFont val="Tahoma"/>
            <family val="2"/>
          </rPr>
          <t xml:space="preserve"> (Disclosure &amp; Reporting)
    OEM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취약점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공유</t>
        </r>
        <r>
          <rPr>
            <sz val="9"/>
            <color indexed="81"/>
            <rFont val="Tahoma"/>
            <family val="2"/>
          </rPr>
          <t xml:space="preserve">, OTA </t>
        </r>
        <r>
          <rPr>
            <sz val="9"/>
            <color indexed="81"/>
            <rFont val="돋움"/>
            <family val="3"/>
            <charset val="129"/>
          </rPr>
          <t>배포용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패치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패키지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전달
양산</t>
        </r>
        <r>
          <rPr>
            <sz val="9"/>
            <color indexed="81"/>
            <rFont val="Tahoma"/>
            <family val="2"/>
          </rPr>
          <t xml:space="preserve">(SOP)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년간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운행되는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특성상</t>
        </r>
        <r>
          <rPr>
            <sz val="9"/>
            <color indexed="81"/>
            <rFont val="Tahoma"/>
            <family val="2"/>
          </rPr>
          <t>, Tier 1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PSIRT </t>
        </r>
        <r>
          <rPr>
            <sz val="9"/>
            <color indexed="81"/>
            <rFont val="돋움"/>
            <family val="3"/>
            <charset val="129"/>
          </rPr>
          <t>구축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여부는</t>
        </r>
        <r>
          <rPr>
            <sz val="9"/>
            <color indexed="81"/>
            <rFont val="Tahoma"/>
            <family val="2"/>
          </rPr>
          <t xml:space="preserve"> OEM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부품사를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검증하는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항목입니다</t>
        </r>
        <r>
          <rPr>
            <sz val="9"/>
            <color indexed="81"/>
            <rFont val="Tahoma"/>
            <family val="2"/>
          </rPr>
          <t>.</t>
        </r>
      </text>
    </comment>
    <comment ref="B92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Data Flow Diagram(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흐름도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2.xml><?xml version="1.0" encoding="utf-8"?>
<comments xmlns="http://schemas.openxmlformats.org/spreadsheetml/2006/main">
  <authors>
    <author>apple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암호화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노랑색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</text>
    </comment>
  </commentList>
</comments>
</file>

<file path=xl/comments3.xml><?xml version="1.0" encoding="utf-8"?>
<comments xmlns="http://schemas.openxmlformats.org/spreadsheetml/2006/main">
  <authors>
    <author>apple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 xml:space="preserve">apple:
SW-ID </t>
        </r>
        <r>
          <rPr>
            <b/>
            <sz val="9"/>
            <color indexed="81"/>
            <rFont val="돋움"/>
            <family val="3"/>
            <charset val="129"/>
          </rPr>
          <t>작성에서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강제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접두어는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2</t>
        </r>
        <r>
          <rPr>
            <b/>
            <sz val="9"/>
            <color indexed="81"/>
            <rFont val="돋움"/>
            <family val="3"/>
            <charset val="129"/>
          </rPr>
          <t>가지</t>
        </r>
        <r>
          <rPr>
            <b/>
            <sz val="9"/>
            <color indexed="81"/>
            <rFont val="Tahoma"/>
            <family val="2"/>
          </rPr>
          <t>(SWC, SWU)</t>
        </r>
        <r>
          <rPr>
            <sz val="9"/>
            <color indexed="81"/>
            <rFont val="Tahoma"/>
            <family val="2"/>
          </rPr>
          <t xml:space="preserve">
SWC - </t>
        </r>
        <r>
          <rPr>
            <sz val="9"/>
            <color indexed="81"/>
            <rFont val="돋움"/>
            <family val="3"/>
            <charset val="129"/>
          </rPr>
          <t>단위함수이지만</t>
        </r>
        <r>
          <rPr>
            <sz val="9"/>
            <color indexed="81"/>
            <rFont val="Tahoma"/>
            <family val="2"/>
          </rPr>
          <t xml:space="preserve">, 
SWU - </t>
        </r>
        <r>
          <rPr>
            <sz val="9"/>
            <color indexed="81"/>
            <rFont val="돋움"/>
            <family val="3"/>
            <charset val="129"/>
          </rPr>
          <t>단위함수로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종속성이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강하여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제어기에게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낮음
</t>
        </r>
        <r>
          <rPr>
            <sz val="9"/>
            <color indexed="81"/>
            <rFont val="Tahoma"/>
            <family val="2"/>
          </rPr>
          <t xml:space="preserve">                                  SWC (Component)                                                                                                                              SWU (Unit)
</t>
        </r>
        <r>
          <rPr>
            <sz val="9"/>
            <color indexed="81"/>
            <rFont val="돋움"/>
            <family val="3"/>
            <charset val="129"/>
          </rPr>
          <t>의미</t>
        </r>
        <r>
          <rPr>
            <sz val="9"/>
            <color indexed="81"/>
            <rFont val="Tahoma"/>
            <family val="2"/>
          </rPr>
          <t xml:space="preserve">                            </t>
        </r>
        <r>
          <rPr>
            <sz val="9"/>
            <color indexed="81"/>
            <rFont val="돋움"/>
            <family val="3"/>
            <charset val="129"/>
          </rPr>
          <t>인터페이스를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구조적으로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독립된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빌딩블록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때부터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데서도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만든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 xml:space="preserve">        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맥락에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종속된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자리에서만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
결정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시점</t>
        </r>
        <r>
          <rPr>
            <sz val="9"/>
            <color indexed="81"/>
            <rFont val="Tahoma"/>
            <family val="2"/>
          </rPr>
          <t xml:space="preserve">                     </t>
        </r>
        <r>
          <rPr>
            <sz val="9"/>
            <color indexed="81"/>
            <rFont val="돋움"/>
            <family val="3"/>
            <charset val="129"/>
          </rPr>
          <t>만들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설계자의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의도</t>
        </r>
        <r>
          <rPr>
            <sz val="9"/>
            <color indexed="81"/>
            <rFont val="Tahoma"/>
            <family val="2"/>
          </rPr>
          <t xml:space="preserve">)                                                                                                                       </t>
        </r>
        <r>
          <rPr>
            <sz val="9"/>
            <color indexed="81"/>
            <rFont val="돋움"/>
            <family val="3"/>
            <charset val="129"/>
          </rPr>
          <t>만들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설계자의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의도</t>
        </r>
        <r>
          <rPr>
            <sz val="9"/>
            <color indexed="81"/>
            <rFont val="Tahoma"/>
            <family val="2"/>
          </rPr>
          <t>)
"</t>
        </r>
        <r>
          <rPr>
            <sz val="9"/>
            <color indexed="81"/>
            <rFont val="돋움"/>
            <family val="3"/>
            <charset val="129"/>
          </rPr>
          <t>실제로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재사용되는가</t>
        </r>
        <r>
          <rPr>
            <sz val="9"/>
            <color indexed="81"/>
            <rFont val="Tahoma"/>
            <family val="2"/>
          </rPr>
          <t xml:space="preserve">"    </t>
        </r>
        <r>
          <rPr>
            <sz val="9"/>
            <color indexed="81"/>
            <rFont val="돋움"/>
            <family val="3"/>
            <charset val="129"/>
          </rPr>
          <t>결과일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접두어를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원인이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아님</t>
        </r>
        <r>
          <rPr>
            <sz val="9"/>
            <color indexed="81"/>
            <rFont val="Tahoma"/>
            <family val="2"/>
          </rPr>
          <t xml:space="preserve">                                                                                             </t>
        </r>
        <r>
          <rPr>
            <sz val="9"/>
            <color indexed="81"/>
            <rFont val="돋움"/>
            <family val="3"/>
            <charset val="129"/>
          </rPr>
          <t>결과일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뿐
접두어는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설계했는가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나타내는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것이지</t>
        </r>
        <r>
          <rPr>
            <sz val="9"/>
            <color indexed="81"/>
            <rFont val="Tahoma"/>
            <family val="2"/>
          </rPr>
          <t>, "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군데서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있는가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나타내는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아닙니다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후자는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이미</t>
        </r>
        <r>
          <rPr>
            <sz val="9"/>
            <color indexed="81"/>
            <rFont val="Tahoma"/>
            <family val="2"/>
          </rPr>
          <t xml:space="preserve"> SW</t>
        </r>
        <r>
          <rPr>
            <sz val="9"/>
            <color indexed="81"/>
            <rFont val="돋움"/>
            <family val="3"/>
            <charset val="129"/>
          </rPr>
          <t>재사용지표관리</t>
        </r>
        <r>
          <rPr>
            <sz val="9"/>
            <color indexed="81"/>
            <rFont val="Tahoma"/>
            <family val="2"/>
          </rPr>
          <t>(REU.2)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별도로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사후에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추적하는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보시면</t>
        </r>
        <r>
          <rPr>
            <sz val="9"/>
            <color indexed="81"/>
            <rFont val="Tahoma"/>
            <family val="2"/>
          </rPr>
          <t>, "</t>
        </r>
        <r>
          <rPr>
            <sz val="9"/>
            <color indexed="81"/>
            <rFont val="돋움"/>
            <family val="3"/>
            <charset val="129"/>
          </rPr>
          <t>재사용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SWC"</t>
        </r>
        <r>
          <rPr>
            <sz val="9"/>
            <color indexed="81"/>
            <rFont val="돋움"/>
            <family val="3"/>
            <charset val="129"/>
          </rPr>
          <t>나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우연히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재사용된</t>
        </r>
        <r>
          <rPr>
            <sz val="9"/>
            <color indexed="81"/>
            <rFont val="Tahoma"/>
            <family val="2"/>
          </rPr>
          <t xml:space="preserve"> SWU"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만났을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혼란스러워지십니다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발견
말씀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덕분에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짚이는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>, "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건수와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접두어가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심하게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어긋나면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경고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규칙이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없습니다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예를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>: 
SWU_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시작하는데</t>
        </r>
        <r>
          <rPr>
            <sz val="9"/>
            <color indexed="81"/>
            <rFont val="Tahoma"/>
            <family val="2"/>
          </rPr>
          <t xml:space="preserve"> SW</t>
        </r>
        <r>
          <rPr>
            <sz val="9"/>
            <color indexed="81"/>
            <rFont val="돋움"/>
            <family val="3"/>
            <charset val="129"/>
          </rPr>
          <t>재사용지표관리상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제어기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수가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개씩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애초에</t>
        </r>
        <r>
          <rPr>
            <sz val="9"/>
            <color indexed="81"/>
            <rFont val="Tahoma"/>
            <family val="2"/>
          </rPr>
          <t xml:space="preserve"> SWC_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설계했어야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했다는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신호일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있습니다
</t>
        </r>
        <r>
          <rPr>
            <sz val="9"/>
            <color indexed="81"/>
            <rFont val="Tahoma"/>
            <family val="2"/>
          </rPr>
          <t>SWC_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년째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제어기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곳에서만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컴포넌트로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분리해둔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재검토할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신호일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
이건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규칙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위반→즉시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조치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보다는</t>
        </r>
        <r>
          <rPr>
            <sz val="9"/>
            <color indexed="81"/>
            <rFont val="Tahoma"/>
            <family val="2"/>
          </rPr>
          <t xml:space="preserve"> **</t>
        </r>
        <r>
          <rPr>
            <sz val="9"/>
            <color indexed="81"/>
            <rFont val="돋움"/>
            <family val="3"/>
            <charset val="129"/>
          </rPr>
          <t>참고용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경고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권고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수준</t>
        </r>
        <r>
          <rPr>
            <sz val="9"/>
            <color indexed="81"/>
            <rFont val="Tahoma"/>
            <family val="2"/>
          </rPr>
          <t>)**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보입니다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접두어를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되니</t>
        </r>
        <r>
          <rPr>
            <sz val="9"/>
            <color indexed="81"/>
            <rFont val="Tahoma"/>
            <family val="2"/>
          </rPr>
          <t xml:space="preserve"> SWU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바꿔라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강제하면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설계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앞으로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재사용될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</t>
        </r>
        <r>
          <rPr>
            <sz val="9"/>
            <color indexed="81"/>
            <rFont val="Tahoma"/>
            <family val="2"/>
          </rPr>
          <t xml:space="preserve"> SWC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지워버리는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부작용이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있으니까요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정리하면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접두어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종류가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맞고</t>
        </r>
        <r>
          <rPr>
            <sz val="9"/>
            <color indexed="81"/>
            <rFont val="Tahoma"/>
            <family val="2"/>
          </rPr>
          <t>, "</t>
        </r>
        <r>
          <rPr>
            <sz val="9"/>
            <color indexed="81"/>
            <rFont val="돋움"/>
            <family val="3"/>
            <charset val="129"/>
          </rPr>
          <t>재사용되는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 xml:space="preserve"> vs </t>
        </r>
        <r>
          <rPr>
            <sz val="9"/>
            <color indexed="81"/>
            <rFont val="돋움"/>
            <family val="3"/>
            <charset val="129"/>
          </rPr>
          <t>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이분법은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원인과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결과가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뒤바뀐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이해입니다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정확히는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재사용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설계된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 xml:space="preserve">(SWC) vs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맥락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설계된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(SWU)"</t>
        </r>
        <r>
          <rPr>
            <sz val="9"/>
            <color indexed="81"/>
            <rFont val="돋움"/>
            <family val="3"/>
            <charset val="129"/>
          </rPr>
          <t>이고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따라오거나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별개의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관찰값입니다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혹시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발견한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접두어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실제재사용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불일치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경고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규칙을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신규로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만들어볼까요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아니면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정리로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충분하신가요</t>
        </r>
        <r>
          <rPr>
            <sz val="9"/>
            <color indexed="81"/>
            <rFont val="Tahoma"/>
            <family val="2"/>
          </rPr>
          <t>?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SWC_mbedtls'.CVE_ref 현재값('None')이 변경이력 최신값('CVE-2026-01234 (예시)', 2026-06-15)과 다릅니다. UpdateSSoTFromChangeLog 매크로 실행 필요.</t>
        </r>
      </text>
    </comment>
  </commentList>
</comments>
</file>

<file path=xl/comments4.xml><?xml version="1.0" encoding="utf-8"?>
<comments xmlns="http://schemas.openxmlformats.org/spreadsheetml/2006/main">
  <authors>
    <author>apple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전파대상수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전파대상을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함
</t>
        </r>
      </text>
    </comment>
  </commentList>
</comments>
</file>

<file path=xl/comments5.xml><?xml version="1.0" encoding="utf-8"?>
<comments xmlns="http://schemas.openxmlformats.org/spreadsheetml/2006/main">
  <authors>
    <author>apple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해시</t>
        </r>
        <r>
          <rPr>
            <sz val="9"/>
            <color indexed="81"/>
            <rFont val="Tahoma"/>
            <family val="2"/>
          </rPr>
          <t>(File Hash)</t>
        </r>
        <r>
          <rPr>
            <sz val="9"/>
            <color indexed="81"/>
            <rFont val="돋움"/>
            <family val="3"/>
            <charset val="129"/>
          </rPr>
          <t>란
파일의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입력받아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길이의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문자열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다이제스트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변환하는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단방향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결과값입니다</t>
        </r>
        <r>
          <rPr>
            <sz val="9"/>
            <color indexed="81"/>
            <rFont val="Tahoma"/>
            <family val="2"/>
          </rPr>
          <t xml:space="preserve">. 
SSoT </t>
        </r>
        <r>
          <rPr>
            <sz val="9"/>
            <color indexed="81"/>
            <rFont val="돋움"/>
            <family val="3"/>
            <charset val="129"/>
          </rPr>
          <t>문서</t>
        </r>
        <r>
          <rPr>
            <sz val="9"/>
            <color indexed="81"/>
            <rFont val="Tahoma"/>
            <family val="2"/>
          </rPr>
          <t>(§4.2, §5.3)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베이스라인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스냅샷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무결성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증명용으로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핵심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특성
특성</t>
        </r>
        <r>
          <rPr>
            <sz val="9"/>
            <color indexed="81"/>
            <rFont val="Tahoma"/>
            <family val="2"/>
          </rPr>
          <t xml:space="preserve">             </t>
        </r>
        <r>
          <rPr>
            <sz val="9"/>
            <color indexed="81"/>
            <rFont val="돋움"/>
            <family val="3"/>
            <charset val="129"/>
          </rPr>
          <t>설명
고정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길이</t>
        </r>
        <r>
          <rPr>
            <sz val="9"/>
            <color indexed="81"/>
            <rFont val="Tahoma"/>
            <family val="2"/>
          </rPr>
          <t xml:space="preserve">      </t>
        </r>
        <r>
          <rPr>
            <sz val="9"/>
            <color indexed="81"/>
            <rFont val="돋움"/>
            <family val="3"/>
            <charset val="129"/>
          </rPr>
          <t>파일이</t>
        </r>
        <r>
          <rPr>
            <sz val="9"/>
            <color indexed="81"/>
            <rFont val="Tahoma"/>
            <family val="2"/>
          </rPr>
          <t xml:space="preserve"> 1KB</t>
        </r>
        <r>
          <rPr>
            <sz val="9"/>
            <color indexed="81"/>
            <rFont val="돋움"/>
            <family val="3"/>
            <charset val="129"/>
          </rPr>
          <t>든</t>
        </r>
        <r>
          <rPr>
            <sz val="9"/>
            <color indexed="81"/>
            <rFont val="Tahoma"/>
            <family val="2"/>
          </rPr>
          <t xml:space="preserve"> 1GB</t>
        </r>
        <r>
          <rPr>
            <sz val="9"/>
            <color indexed="81"/>
            <rFont val="돋움"/>
            <family val="3"/>
            <charset val="129"/>
          </rPr>
          <t>든</t>
        </r>
        <r>
          <rPr>
            <sz val="9"/>
            <color indexed="81"/>
            <rFont val="Tahoma"/>
            <family val="2"/>
          </rPr>
          <t xml:space="preserve"> SHA-256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진수</t>
        </r>
        <r>
          <rPr>
            <sz val="9"/>
            <color indexed="81"/>
            <rFont val="Tahoma"/>
            <family val="2"/>
          </rPr>
          <t>(256</t>
        </r>
        <r>
          <rPr>
            <sz val="9"/>
            <color indexed="81"/>
            <rFont val="돋움"/>
            <family val="3"/>
            <charset val="129"/>
          </rPr>
          <t>비트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출력
결정성</t>
        </r>
        <r>
          <rPr>
            <sz val="9"/>
            <color indexed="81"/>
            <rFont val="Tahoma"/>
            <family val="2"/>
          </rPr>
          <t xml:space="preserve">         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해시값
눈사태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효과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돋움"/>
            <family val="3"/>
            <charset val="129"/>
          </rPr>
          <t>파일에서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비트만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해시값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완전히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달라짐
단방향성</t>
        </r>
        <r>
          <rPr>
            <sz val="9"/>
            <color indexed="81"/>
            <rFont val="Tahoma"/>
            <family val="2"/>
          </rPr>
          <t xml:space="preserve">       </t>
        </r>
        <r>
          <rPr>
            <sz val="9"/>
            <color indexed="81"/>
            <rFont val="돋움"/>
            <family val="3"/>
            <charset val="129"/>
          </rPr>
          <t>해시값만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없음
충돌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저항성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해시값을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확률이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사실상</t>
        </r>
        <r>
          <rPr>
            <sz val="9"/>
            <color indexed="81"/>
            <rFont val="Tahoma"/>
            <family val="2"/>
          </rPr>
          <t xml:space="preserve"> 0(SHA-256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문서에서의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용도</t>
        </r>
        <r>
          <rPr>
            <sz val="9"/>
            <color indexed="81"/>
            <rFont val="Tahoma"/>
            <family val="2"/>
          </rPr>
          <t xml:space="preserve"> (§4.2 </t>
        </r>
        <r>
          <rPr>
            <sz val="9"/>
            <color indexed="81"/>
            <rFont val="돋움"/>
            <family val="3"/>
            <charset val="129"/>
          </rPr>
          <t>베이스라인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스냅샷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베이스라인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스냅샷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스냅샷</t>
        </r>
        <r>
          <rPr>
            <sz val="9"/>
            <color indexed="81"/>
            <rFont val="Tahoma"/>
            <family val="2"/>
          </rPr>
          <t>_</t>
        </r>
        <r>
          <rPr>
            <sz val="9"/>
            <color indexed="81"/>
            <rFont val="돋움"/>
            <family val="3"/>
            <charset val="129"/>
          </rPr>
          <t>보관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두면</t>
        </r>
        <r>
          <rPr>
            <sz val="9"/>
            <color indexed="81"/>
            <rFont val="Tahoma"/>
            <family val="2"/>
          </rPr>
          <t xml:space="preserve">:
1) </t>
        </r>
        <r>
          <rPr>
            <sz val="9"/>
            <color indexed="81"/>
            <rFont val="돋움"/>
            <family val="3"/>
            <charset val="129"/>
          </rPr>
          <t>위변조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탐지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나중에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비교</t>
        </r>
        <r>
          <rPr>
            <sz val="9"/>
            <color indexed="81"/>
            <rFont val="Tahoma"/>
            <family val="2"/>
          </rPr>
          <t xml:space="preserve"> —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파일이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실수든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고의든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수정된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것
</t>
        </r>
        <r>
          <rPr>
            <sz val="9"/>
            <color indexed="81"/>
            <rFont val="Tahoma"/>
            <family val="2"/>
          </rPr>
          <t xml:space="preserve">2) CRA </t>
        </r>
        <r>
          <rPr>
            <sz val="9"/>
            <color indexed="81"/>
            <rFont val="돋움"/>
            <family val="3"/>
            <charset val="129"/>
          </rPr>
          <t>문서보관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충족</t>
        </r>
        <r>
          <rPr>
            <sz val="9"/>
            <color indexed="81"/>
            <rFont val="Tahoma"/>
            <family val="2"/>
          </rPr>
          <t>: "10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시점의</t>
        </r>
        <r>
          <rPr>
            <sz val="9"/>
            <color indexed="81"/>
            <rFont val="Tahoma"/>
            <family val="2"/>
          </rPr>
          <t xml:space="preserve"> SBOM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이것이었다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암호학적으로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증명하는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근거가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됨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원본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──</t>
        </r>
        <r>
          <rPr>
            <sz val="9"/>
            <color indexed="81"/>
            <rFont val="Tahoma"/>
            <family val="2"/>
          </rPr>
          <t xml:space="preserve">[SHA-256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돋움"/>
            <family val="3"/>
            <charset val="129"/>
          </rPr>
          <t>──▶</t>
        </r>
        <r>
          <rPr>
            <sz val="9"/>
            <color indexed="81"/>
            <rFont val="Tahoma"/>
            <family val="2"/>
          </rPr>
          <t xml:space="preserve"> sha256:8801f3a9...5ef
      (</t>
        </r>
        <r>
          <rPr>
            <sz val="9"/>
            <color indexed="81"/>
            <rFont val="돋움"/>
            <family val="3"/>
            <charset val="129"/>
          </rPr>
          <t>수정됨</t>
        </r>
        <r>
          <rPr>
            <sz val="9"/>
            <color indexed="81"/>
            <rFont val="Tahoma"/>
            <family val="2"/>
          </rPr>
          <t xml:space="preserve">)
    </t>
        </r>
        <r>
          <rPr>
            <sz val="9"/>
            <color indexed="81"/>
            <rFont val="돋움"/>
            <family val="3"/>
            <charset val="129"/>
          </rPr>
          <t>원본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──</t>
        </r>
        <r>
          <rPr>
            <sz val="9"/>
            <color indexed="81"/>
            <rFont val="Tahoma"/>
            <family val="2"/>
          </rPr>
          <t xml:space="preserve">[SHA-256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돋움"/>
            <family val="3"/>
            <charset val="129"/>
          </rPr>
          <t>──▶</t>
        </r>
        <r>
          <rPr>
            <sz val="9"/>
            <color indexed="81"/>
            <rFont val="Tahoma"/>
            <family val="2"/>
          </rPr>
          <t xml:space="preserve"> sha256:2c74e1b0...a13   </t>
        </r>
        <r>
          <rPr>
            <sz val="9"/>
            <color indexed="81"/>
            <rFont val="돋움"/>
            <family val="3"/>
            <charset val="129"/>
          </rPr>
          <t>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완전히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>
  <authors>
    <author>apple</author>
  </authors>
  <commentList>
    <comment ref="A1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PURL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CPE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소프트웨어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SBOM(</t>
        </r>
        <r>
          <rPr>
            <sz val="9"/>
            <color indexed="81"/>
            <rFont val="돋움"/>
            <family val="3"/>
            <charset val="129"/>
          </rPr>
          <t>소프트웨어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명세서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분야에서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소프트웨어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라이브러리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패키지</t>
        </r>
        <r>
          <rPr>
            <sz val="9"/>
            <color indexed="81"/>
            <rFont val="Tahoma"/>
            <family val="2"/>
          </rPr>
          <t xml:space="preserve">, OS, </t>
        </r>
        <r>
          <rPr>
            <sz val="9"/>
            <color indexed="81"/>
            <rFont val="돋움"/>
            <family val="3"/>
            <charset val="129"/>
          </rPr>
          <t>제품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대표적인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표준식별자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규칙입니다</t>
        </r>
        <r>
          <rPr>
            <sz val="9"/>
            <color indexed="81"/>
            <rFont val="Tahoma"/>
            <family val="2"/>
          </rPr>
          <t xml:space="preserve">.  </t>
        </r>
        <r>
          <rPr>
            <sz val="9"/>
            <color indexed="81"/>
            <rFont val="돋움"/>
            <family val="3"/>
            <charset val="129"/>
          </rPr>
          <t>소프트웨어가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다양해지면서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패키지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버전인가</t>
        </r>
        <r>
          <rPr>
            <sz val="9"/>
            <color indexed="81"/>
            <rFont val="Tahoma"/>
            <family val="2"/>
          </rPr>
          <t>?"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명확히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취약점</t>
        </r>
        <r>
          <rPr>
            <sz val="9"/>
            <color indexed="81"/>
            <rFont val="Tahoma"/>
            <family val="2"/>
          </rPr>
          <t xml:space="preserve">(CVE) </t>
        </r>
        <r>
          <rPr>
            <sz val="9"/>
            <color indexed="81"/>
            <rFont val="돋움"/>
            <family val="3"/>
            <charset val="129"/>
          </rPr>
          <t>탐지나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라이선스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발생하므로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사용합니다</t>
        </r>
        <r>
          <rPr>
            <sz val="9"/>
            <color indexed="81"/>
            <rFont val="Tahoma"/>
            <family val="2"/>
          </rPr>
          <t xml:space="preserve">.
1. PURL (Package URL)
  </t>
        </r>
        <r>
          <rPr>
            <sz val="9"/>
            <color indexed="81"/>
            <rFont val="돋움"/>
            <family val="3"/>
            <charset val="129"/>
          </rPr>
          <t>오픈소스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생태계</t>
        </r>
        <r>
          <rPr>
            <sz val="9"/>
            <color indexed="81"/>
            <rFont val="Tahoma"/>
            <family val="2"/>
          </rPr>
          <t xml:space="preserve">(npm, PyPI, Maven, Cargo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패키지를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탈중앙화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표준입니다</t>
        </r>
        <r>
          <rPr>
            <sz val="9"/>
            <color indexed="81"/>
            <rFont val="Tahoma"/>
            <family val="2"/>
          </rPr>
          <t xml:space="preserve">.  
  </t>
        </r>
        <r>
          <rPr>
            <sz val="9"/>
            <color indexed="81"/>
            <rFont val="돋움"/>
            <family val="3"/>
            <charset val="129"/>
          </rPr>
          <t>특징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패키지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매니저의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메타데이터를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기반으로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</t>
        </r>
        <r>
          <rPr>
            <sz val="9"/>
            <color indexed="81"/>
            <rFont val="Tahoma"/>
            <family val="2"/>
          </rPr>
          <t>(Scheme)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규칙적으로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소스가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명확합니다</t>
        </r>
        <r>
          <rPr>
            <sz val="9"/>
            <color indexed="81"/>
            <rFont val="Tahoma"/>
            <family val="2"/>
          </rPr>
          <t xml:space="preserve">.  
  </t>
        </r>
        <r>
          <rPr>
            <sz val="9"/>
            <color indexed="81"/>
            <rFont val="돋움"/>
            <family val="3"/>
            <charset val="129"/>
          </rPr>
          <t>주용도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오픈소스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라이브러리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의존성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컴포넌트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</t>
        </r>
        <r>
          <rPr>
            <sz val="9"/>
            <color indexed="81"/>
            <rFont val="Tahoma"/>
            <family val="2"/>
          </rPr>
          <t xml:space="preserve">  
  </t>
        </r>
        <r>
          <rPr>
            <sz val="9"/>
            <color indexed="81"/>
            <rFont val="돋움"/>
            <family val="3"/>
            <charset val="129"/>
          </rPr>
          <t>구조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예시</t>
        </r>
        <r>
          <rPr>
            <sz val="9"/>
            <color indexed="81"/>
            <rFont val="Tahoma"/>
            <family val="2"/>
          </rPr>
          <t>:
     pkg:npm/lodash@4.17.21 (npm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lodash </t>
        </r>
        <r>
          <rPr>
            <sz val="9"/>
            <color indexed="81"/>
            <rFont val="돋움"/>
            <family val="3"/>
            <charset val="129"/>
          </rPr>
          <t>패키지</t>
        </r>
        <r>
          <rPr>
            <sz val="9"/>
            <color indexed="81"/>
            <rFont val="Tahoma"/>
            <family val="2"/>
          </rPr>
          <t xml:space="preserve"> 4.17.21 </t>
        </r>
        <r>
          <rPr>
            <sz val="9"/>
            <color indexed="81"/>
            <rFont val="돋움"/>
            <family val="3"/>
            <charset val="129"/>
          </rPr>
          <t>버전</t>
        </r>
        <r>
          <rPr>
            <sz val="9"/>
            <color indexed="81"/>
            <rFont val="Tahoma"/>
            <family val="2"/>
          </rPr>
          <t>)   
     pkg:pypi/requests@2.26.0 (PyPI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requests </t>
        </r>
        <r>
          <rPr>
            <sz val="9"/>
            <color indexed="81"/>
            <rFont val="돋움"/>
            <family val="3"/>
            <charset val="129"/>
          </rPr>
          <t>패키지</t>
        </r>
        <r>
          <rPr>
            <sz val="9"/>
            <color indexed="81"/>
            <rFont val="Tahoma"/>
            <family val="2"/>
          </rPr>
          <t xml:space="preserve">)
     pkg:golang/[github.com/gin-gonic/gin@v1.7.0](https://github.com/gin-gonic/gin@v1.7.0)
2. CPE (Common Platform Enumeration)
  </t>
        </r>
        <r>
          <rPr>
            <sz val="9"/>
            <color indexed="81"/>
            <rFont val="돋움"/>
            <family val="3"/>
            <charset val="129"/>
          </rPr>
          <t>미국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국립표준기술연구소</t>
        </r>
        <r>
          <rPr>
            <sz val="9"/>
            <color indexed="81"/>
            <rFont val="Tahoma"/>
            <family val="2"/>
          </rPr>
          <t>(NIST)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MITRE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관리하는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하드웨어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운영체제</t>
        </r>
        <r>
          <rPr>
            <sz val="9"/>
            <color indexed="81"/>
            <rFont val="Tahoma"/>
            <family val="2"/>
          </rPr>
          <t xml:space="preserve">(OS), </t>
        </r>
        <r>
          <rPr>
            <sz val="9"/>
            <color indexed="81"/>
            <rFont val="돋움"/>
            <family val="3"/>
            <charset val="129"/>
          </rPr>
          <t>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애플리케이션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중앙집중식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표기법입니다</t>
        </r>
        <r>
          <rPr>
            <sz val="9"/>
            <color indexed="81"/>
            <rFont val="Tahoma"/>
            <family val="2"/>
          </rPr>
          <t xml:space="preserve">.  
  </t>
        </r>
        <r>
          <rPr>
            <sz val="9"/>
            <color indexed="81"/>
            <rFont val="돋움"/>
            <family val="3"/>
            <charset val="129"/>
          </rPr>
          <t>특징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취약점</t>
        </r>
        <r>
          <rPr>
            <sz val="9"/>
            <color indexed="81"/>
            <rFont val="Tahoma"/>
            <family val="2"/>
          </rPr>
          <t xml:space="preserve"> DB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NVD(National Vulnerability Database)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CVE </t>
        </r>
        <r>
          <rPr>
            <sz val="9"/>
            <color indexed="81"/>
            <rFont val="돋움"/>
            <family val="3"/>
            <charset val="129"/>
          </rPr>
          <t>취약점과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매핑되는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핵심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식별자입니다</t>
        </r>
        <r>
          <rPr>
            <sz val="9"/>
            <color indexed="81"/>
            <rFont val="Tahoma"/>
            <family val="2"/>
          </rPr>
          <t xml:space="preserve">.  
  </t>
        </r>
        <r>
          <rPr>
            <sz val="9"/>
            <color indexed="81"/>
            <rFont val="돋움"/>
            <family val="3"/>
            <charset val="129"/>
          </rPr>
          <t>주용도</t>
        </r>
        <r>
          <rPr>
            <sz val="9"/>
            <color indexed="81"/>
            <rFont val="Tahoma"/>
            <family val="2"/>
          </rPr>
          <t xml:space="preserve">: OS, </t>
        </r>
        <r>
          <rPr>
            <sz val="9"/>
            <color indexed="81"/>
            <rFont val="돋움"/>
            <family val="3"/>
            <charset val="129"/>
          </rPr>
          <t>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소프트웨어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펌웨어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시스템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CVE </t>
        </r>
        <r>
          <rPr>
            <sz val="9"/>
            <color indexed="81"/>
            <rFont val="돋움"/>
            <family val="3"/>
            <charset val="129"/>
          </rPr>
          <t>취약점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조회</t>
        </r>
        <r>
          <rPr>
            <sz val="9"/>
            <color indexed="81"/>
            <rFont val="Tahoma"/>
            <family val="2"/>
          </rPr>
          <t xml:space="preserve">  
  </t>
        </r>
        <r>
          <rPr>
            <sz val="9"/>
            <color indexed="81"/>
            <rFont val="돋움"/>
            <family val="3"/>
            <charset val="129"/>
          </rPr>
          <t>구조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예시</t>
        </r>
        <r>
          <rPr>
            <sz val="9"/>
            <color indexed="81"/>
            <rFont val="Tahoma"/>
            <family val="2"/>
          </rPr>
          <t xml:space="preserve">:
     cpe:2.3:a:apache:http_server:2.4.41:*:*:*:*:*:*:* (Apache HTTP Server 2.4.41)
     cpe:2.3:o:canonical:ubuntu_linux:20.04:*:*:*:lts:*:*:*
3.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비교</t>
        </r>
        <r>
          <rPr>
            <sz val="9"/>
            <color indexed="81"/>
            <rFont val="Tahoma"/>
            <family val="2"/>
          </rPr>
          <t xml:space="preserve">: PURL (Package URL) vs CPE (Common Platform Enumeration)
   </t>
        </r>
        <r>
          <rPr>
            <sz val="9"/>
            <color indexed="81"/>
            <rFont val="돋움"/>
            <family val="3"/>
            <charset val="129"/>
          </rPr>
          <t>구분</t>
        </r>
        <r>
          <rPr>
            <sz val="9"/>
            <color indexed="81"/>
            <rFont val="Tahoma"/>
            <family val="2"/>
          </rPr>
          <t xml:space="preserve">           PURL (Package URL)                              CPE (Common Platform Enumeration)
   </t>
        </r>
        <r>
          <rPr>
            <sz val="9"/>
            <color indexed="81"/>
            <rFont val="돋움"/>
            <family val="3"/>
            <charset val="129"/>
          </rPr>
          <t>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탈중앙화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패키지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레지스트리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기반</t>
        </r>
        <r>
          <rPr>
            <sz val="9"/>
            <color indexed="81"/>
            <rFont val="Tahoma"/>
            <family val="2"/>
          </rPr>
          <t xml:space="preserve">)          </t>
        </r>
        <r>
          <rPr>
            <sz val="9"/>
            <color indexed="81"/>
            <rFont val="돋움"/>
            <family val="3"/>
            <charset val="129"/>
          </rPr>
          <t>중앙집중식</t>
        </r>
        <r>
          <rPr>
            <sz val="9"/>
            <color indexed="81"/>
            <rFont val="Tahoma"/>
            <family val="2"/>
          </rPr>
          <t xml:space="preserve"> (NIST NVD </t>
        </r>
        <r>
          <rPr>
            <sz val="9"/>
            <color indexed="81"/>
            <rFont val="돋움"/>
            <family val="3"/>
            <charset val="129"/>
          </rPr>
          <t>관리</t>
        </r>
        <r>
          <rPr>
            <sz val="9"/>
            <color indexed="81"/>
            <rFont val="Tahoma"/>
            <family val="2"/>
          </rPr>
          <t xml:space="preserve">)
   </t>
        </r>
        <r>
          <rPr>
            <sz val="9"/>
            <color indexed="81"/>
            <rFont val="돋움"/>
            <family val="3"/>
            <charset val="129"/>
          </rPr>
          <t>강점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오픈소스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라이브러리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빌드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패키지</t>
        </r>
        <r>
          <rPr>
            <sz val="9"/>
            <color indexed="81"/>
            <rFont val="Tahoma"/>
            <family val="2"/>
          </rPr>
          <t xml:space="preserve">     OS, </t>
        </r>
        <r>
          <rPr>
            <sz val="9"/>
            <color indexed="81"/>
            <rFont val="돋움"/>
            <family val="3"/>
            <charset val="129"/>
          </rPr>
          <t>펌웨어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상용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단독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프로그램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돋움"/>
            <family val="3"/>
            <charset val="129"/>
          </rPr>
          <t>취약점</t>
        </r>
        <r>
          <rPr>
            <sz val="9"/>
            <color indexed="81"/>
            <rFont val="Tahoma"/>
            <family val="2"/>
          </rPr>
          <t xml:space="preserve"> DB   OSV.dev, GitHub Advisory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                   NIST NVD (CVE </t>
        </r>
        <r>
          <rPr>
            <sz val="9"/>
            <color indexed="81"/>
            <rFont val="돋움"/>
            <family val="3"/>
            <charset val="129"/>
          </rPr>
          <t>연동</t>
        </r>
        <r>
          <rPr>
            <sz val="9"/>
            <color indexed="81"/>
            <rFont val="Tahoma"/>
            <family val="2"/>
          </rPr>
          <t xml:space="preserve">)
  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시점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빌드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용이</t>
        </r>
        <r>
          <rPr>
            <sz val="9"/>
            <color indexed="81"/>
            <rFont val="Tahoma"/>
            <family val="2"/>
          </rPr>
          <t xml:space="preserve">                    NVD </t>
        </r>
        <r>
          <rPr>
            <sz val="9"/>
            <color indexed="81"/>
            <rFont val="돋움"/>
            <family val="3"/>
            <charset val="129"/>
          </rPr>
          <t>등록에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현대</t>
        </r>
        <r>
          <rPr>
            <sz val="9"/>
            <color indexed="81"/>
            <rFont val="Tahoma"/>
            <family val="2"/>
          </rPr>
          <t xml:space="preserve"> SBOM </t>
        </r>
        <r>
          <rPr>
            <sz val="9"/>
            <color indexed="81"/>
            <rFont val="돋움"/>
            <family val="3"/>
            <charset val="129"/>
          </rPr>
          <t>체계에서는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빌드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오픈소스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의존성은</t>
        </r>
        <r>
          <rPr>
            <sz val="9"/>
            <color indexed="81"/>
            <rFont val="Tahoma"/>
            <family val="2"/>
          </rPr>
          <t xml:space="preserve"> PURL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기록하고</t>
        </r>
        <r>
          <rPr>
            <sz val="9"/>
            <color indexed="81"/>
            <rFont val="Tahoma"/>
            <family val="2"/>
          </rPr>
          <t xml:space="preserve">, NVD </t>
        </r>
        <r>
          <rPr>
            <sz val="9"/>
            <color indexed="81"/>
            <rFont val="돋움"/>
            <family val="3"/>
            <charset val="129"/>
          </rPr>
          <t>기반의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취약점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데이터베이스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스캔을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이를</t>
        </r>
        <r>
          <rPr>
            <sz val="9"/>
            <color indexed="81"/>
            <rFont val="Tahoma"/>
            <family val="2"/>
          </rPr>
          <t xml:space="preserve"> CPE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매핑하여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혼용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상호보완하는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사용합니다</t>
        </r>
        <r>
          <rPr>
            <sz val="9"/>
            <color indexed="81"/>
            <rFont val="Tahoma"/>
            <family val="2"/>
          </rPr>
          <t xml:space="preserve">.  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SCA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Software Composition Analysis(</t>
        </r>
        <r>
          <rPr>
            <sz val="9"/>
            <color indexed="81"/>
            <rFont val="돋움"/>
            <family val="3"/>
            <charset val="129"/>
          </rPr>
          <t>소프트웨어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분석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<sst xmlns="http://schemas.openxmlformats.org/spreadsheetml/2006/main" count="2060" uniqueCount="1133">
  <si>
    <t>SW_ID</t>
  </si>
  <si>
    <t>SW_name</t>
  </si>
  <si>
    <t>level_depth</t>
  </si>
  <si>
    <t>origin</t>
  </si>
  <si>
    <t>supplier</t>
  </si>
  <si>
    <t>license</t>
  </si>
  <si>
    <t>PURL_CPE</t>
  </si>
  <si>
    <t>patch_ref</t>
  </si>
  <si>
    <t>CVE_ref</t>
  </si>
  <si>
    <t>internal_vuln_id</t>
  </si>
  <si>
    <t>SWC_mbedtls</t>
  </si>
  <si>
    <t>mbedTLS</t>
  </si>
  <si>
    <t>OSS</t>
  </si>
  <si>
    <t>Arm Mbed</t>
  </si>
  <si>
    <t>Apache-2.0</t>
  </si>
  <si>
    <t>pkg:github/Mbed-TLS/mbedtls@3.5.1</t>
  </si>
  <si>
    <t>SWU_mbedtls_entropy_patch</t>
  </si>
  <si>
    <t>mbedTLS Entropy Patch</t>
  </si>
  <si>
    <t>self-modified-OSS</t>
  </si>
  <si>
    <t>self</t>
  </si>
  <si>
    <t>Apache-2.0 (inherited)</t>
  </si>
  <si>
    <t>patches/mbedtls_entropy_v1.patch</t>
  </si>
  <si>
    <t>SWC_vcu_app</t>
  </si>
  <si>
    <t>VCU Application</t>
  </si>
  <si>
    <t>Proprietary</t>
  </si>
  <si>
    <t>SWU_torque_ctrl</t>
  </si>
  <si>
    <t>Torque Control Function</t>
  </si>
  <si>
    <t>INT-VULN-0022</t>
  </si>
  <si>
    <t>SWU_torque_ctrl_subfunc</t>
  </si>
  <si>
    <t>Torque Control Sub-Function</t>
  </si>
  <si>
    <t>SWC_can_stack</t>
  </si>
  <si>
    <t>Vector CANstack</t>
  </si>
  <si>
    <t>third-party</t>
  </si>
  <si>
    <t>Vector Informatik</t>
  </si>
  <si>
    <t>Commercial-EULA</t>
  </si>
  <si>
    <t>cpe:2.3:a:vector:canstack:5.10</t>
  </si>
  <si>
    <t>SWU_watchdog_hotfix</t>
  </si>
  <si>
    <t>Watchdog Hotfix Function</t>
  </si>
  <si>
    <t>L1</t>
  </si>
  <si>
    <t>L2</t>
  </si>
  <si>
    <t>L3</t>
  </si>
  <si>
    <t>L4</t>
  </si>
  <si>
    <t>L5</t>
  </si>
  <si>
    <t>2024-01-10</t>
  </si>
  <si>
    <t>2026-06-15</t>
  </si>
  <si>
    <t>controller_id</t>
  </si>
  <si>
    <t>phase</t>
  </si>
  <si>
    <t>baseline_id</t>
  </si>
  <si>
    <t>baseline_status</t>
  </si>
  <si>
    <t>version</t>
  </si>
  <si>
    <t>CM_registration_id</t>
  </si>
  <si>
    <t>CR_id</t>
  </si>
  <si>
    <t>CCB_approval_id</t>
  </si>
  <si>
    <t>reflection_status</t>
  </si>
  <si>
    <t>reflection_action</t>
  </si>
  <si>
    <t>linked_issue_id</t>
  </si>
  <si>
    <t>checksum</t>
  </si>
  <si>
    <t>detection_source</t>
  </si>
  <si>
    <t>last_reviewed_at</t>
  </si>
  <si>
    <t>safety_relevant_flag</t>
  </si>
  <si>
    <t>swe1_ref_id</t>
  </si>
  <si>
    <t>vuln_status</t>
  </si>
  <si>
    <t>vuln_resolved_at</t>
  </si>
  <si>
    <t>vuln_verification_ref</t>
  </si>
  <si>
    <t>ICCU</t>
  </si>
  <si>
    <t>BL-260722-01</t>
  </si>
  <si>
    <t>formally_baselined</t>
  </si>
  <si>
    <t>3.5.1</t>
  </si>
  <si>
    <t>SVN-r10432</t>
  </si>
  <si>
    <t>CCB-2026-014</t>
  </si>
  <si>
    <t>sha256:9f2a...e01</t>
  </si>
  <si>
    <t>sca_detected</t>
  </si>
  <si>
    <t>2026-07-20</t>
  </si>
  <si>
    <t>FALSE</t>
  </si>
  <si>
    <t>2026-07-05</t>
  </si>
  <si>
    <t>TR-2026-0455</t>
  </si>
  <si>
    <t>1.0</t>
  </si>
  <si>
    <t>SVN-r10440</t>
  </si>
  <si>
    <t>CR-2026-0341</t>
  </si>
  <si>
    <t>CCB-2026-015</t>
  </si>
  <si>
    <t>sha256:77bb...220</t>
  </si>
  <si>
    <t>declared</t>
  </si>
  <si>
    <t>TRUE</t>
  </si>
  <si>
    <t>SWE1-UNIT-07</t>
  </si>
  <si>
    <t>VCU</t>
  </si>
  <si>
    <t>BL-260722-02</t>
  </si>
  <si>
    <t>2.4.0</t>
  </si>
  <si>
    <t>SVN-r10498</t>
  </si>
  <si>
    <t>CCB-2026-012</t>
  </si>
  <si>
    <t>sha256:44aa...9c1</t>
  </si>
  <si>
    <t>1.3</t>
  </si>
  <si>
    <t>SVN-r10501</t>
  </si>
  <si>
    <t>CR-2026-0298</t>
  </si>
  <si>
    <t>CCB-2026-013</t>
  </si>
  <si>
    <t>sha256:8801...5ef</t>
  </si>
  <si>
    <t>SWE1-UNIT-12</t>
  </si>
  <si>
    <t>5.10</t>
  </si>
  <si>
    <t>sha256:0fe3...aa4</t>
  </si>
  <si>
    <t>BL-260721-01</t>
  </si>
  <si>
    <t>pending_retro_approval</t>
  </si>
  <si>
    <t>1.0.1</t>
  </si>
  <si>
    <t>SVN-r10512</t>
  </si>
  <si>
    <t>ISSUE-2026-0099</t>
  </si>
  <si>
    <t>sha256:3d90...11c</t>
  </si>
  <si>
    <t>2026-07-21</t>
  </si>
  <si>
    <t>BMS</t>
  </si>
  <si>
    <t>R&amp;D</t>
  </si>
  <si>
    <t>3.4.0</t>
  </si>
  <si>
    <t>SVN-r10120</t>
  </si>
  <si>
    <t>sha256:2b6e...c40</t>
  </si>
  <si>
    <t>2026-07-15</t>
  </si>
  <si>
    <t>SVN-r11020</t>
  </si>
  <si>
    <t>CR-2026-0512</t>
  </si>
  <si>
    <t>CCB-2026-031</t>
  </si>
  <si>
    <t>ISSUE-2026-0142</t>
  </si>
  <si>
    <t>BL-260810-01</t>
  </si>
  <si>
    <t>1.4</t>
  </si>
  <si>
    <t>sha256:5a1c...7e2</t>
  </si>
  <si>
    <t>2026-08-10</t>
  </si>
  <si>
    <t>2.5.0</t>
  </si>
  <si>
    <t>sha256:d92e...11a</t>
  </si>
  <si>
    <t>instance_name</t>
  </si>
  <si>
    <t>schema_type</t>
  </si>
  <si>
    <t>file_path</t>
  </si>
  <si>
    <t>sheet_name</t>
  </si>
  <si>
    <t>last_modified_at</t>
  </si>
  <si>
    <t>last_synced_at</t>
  </si>
  <si>
    <t>sync_status</t>
  </si>
  <si>
    <t>2026-07-22 10:00</t>
  </si>
  <si>
    <t>3</t>
  </si>
  <si>
    <t>2026-07-22 11:30</t>
  </si>
  <si>
    <t>derived_from_baseline_id</t>
  </si>
  <si>
    <t>derived_from_controller_id</t>
  </si>
  <si>
    <t>BL-260801-01</t>
  </si>
  <si>
    <t>MCU</t>
  </si>
  <si>
    <t>2026-08-01</t>
  </si>
  <si>
    <t>-</t>
  </si>
  <si>
    <t>C:\SSoT\snapshots\SSoT_snapshot_BL-260722-01_20260722.xlsx</t>
  </si>
  <si>
    <t>2026-07-22</t>
  </si>
  <si>
    <t>sha256:aa11...9f0</t>
  </si>
  <si>
    <t>2036-07-22</t>
  </si>
  <si>
    <t>L1 / L2 / L3 / L4 / L5</t>
  </si>
  <si>
    <t>SSoT</t>
  </si>
  <si>
    <t>self / OSS / third-party / self-modified-OSS</t>
  </si>
  <si>
    <t>formally_baselined / pending_retro_approval</t>
  </si>
  <si>
    <t>CR_id / CCB_approval_id</t>
  </si>
  <si>
    <t>declared / sca_detected / both</t>
  </si>
  <si>
    <t>safety_relevant_flag / swe1_ref_id</t>
  </si>
  <si>
    <t>vuln_resolved_at / vuln_verification_ref</t>
  </si>
  <si>
    <t>CTRL_1</t>
    <phoneticPr fontId="2" type="noConversion"/>
  </si>
  <si>
    <t>CTRL_1</t>
    <phoneticPr fontId="2" type="noConversion"/>
  </si>
  <si>
    <t>CTRL_1</t>
  </si>
  <si>
    <t>TaskNo</t>
  </si>
  <si>
    <t>TaskName</t>
  </si>
  <si>
    <t>SubTemplateFile</t>
  </si>
  <si>
    <t>SrcSheet</t>
  </si>
  <si>
    <t>TargetSheet</t>
  </si>
  <si>
    <t>Columns</t>
  </si>
  <si>
    <t>SW BOM(Tree)</t>
  </si>
  <si>
    <t>SW_BOM_template.xlsm</t>
  </si>
  <si>
    <t>SW_BOM</t>
  </si>
  <si>
    <t>SW_ID,SW_name,level_depth,origin</t>
  </si>
  <si>
    <t>LevelDepth</t>
  </si>
  <si>
    <t>SW_ID,L1,L2,L3,L4,L5</t>
  </si>
  <si>
    <t>SW Release</t>
  </si>
  <si>
    <t>SW_Release_template.xlsm</t>
  </si>
  <si>
    <t>Release</t>
  </si>
  <si>
    <t>SW_ID,controller_id,phase,baseline_id,baseline_status,version</t>
  </si>
  <si>
    <t>SW CM</t>
  </si>
  <si>
    <t>SW_CM_template.xlsm</t>
  </si>
  <si>
    <t>CM</t>
  </si>
  <si>
    <t>SW_ID,controller_id,CM_registration_id,CR_id,CCB_approval_id,reflection_status</t>
  </si>
  <si>
    <t>SW Architecturing</t>
  </si>
  <si>
    <t>SW_Architecturing_template.xlsm</t>
  </si>
  <si>
    <t>Architecture</t>
  </si>
  <si>
    <t>SW_ID,SW_name,level_depth,origin,supplier</t>
  </si>
  <si>
    <t>SW_ID,SW_name,L1,L2,L3,L4,L5</t>
  </si>
  <si>
    <t>SW FMEA</t>
  </si>
  <si>
    <t>SW_FMEA_template.xlsm</t>
  </si>
  <si>
    <t>FMEA</t>
  </si>
  <si>
    <t>SW_ID,SW_name</t>
  </si>
  <si>
    <t>FTA/DFA</t>
  </si>
  <si>
    <t>FTA_DFA_template.xlsm</t>
  </si>
  <si>
    <t>FTA_DFA</t>
  </si>
  <si>
    <t>Preliminary slot 1</t>
  </si>
  <si>
    <t>Preliminary_slot_template.xlsm</t>
  </si>
  <si>
    <t>Slot1</t>
  </si>
  <si>
    <t>Preliminary slot 2</t>
  </si>
  <si>
    <t>Slot2</t>
  </si>
  <si>
    <r>
      <t xml:space="preserve"> </t>
    </r>
    <r>
      <rPr>
        <sz val="11"/>
        <color rgb="FFFF0000"/>
        <rFont val="나눔고딕"/>
        <family val="3"/>
        <charset val="129"/>
      </rPr>
      <t>※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오픈된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엑셀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파일만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대상으로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선택</t>
    </r>
    <r>
      <rPr>
        <sz val="11"/>
        <color rgb="FFFF0000"/>
        <rFont val="Times New Roman"/>
        <family val="1"/>
      </rPr>
      <t xml:space="preserve"> (</t>
    </r>
    <r>
      <rPr>
        <sz val="11"/>
        <color rgb="FFFF0000"/>
        <rFont val="나눔고딕"/>
        <family val="3"/>
        <charset val="129"/>
      </rPr>
      <t>선택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디폴트는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현재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파일</t>
    </r>
    <r>
      <rPr>
        <sz val="11"/>
        <color rgb="FFFF0000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</si>
  <si>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나눔고딕</t>
    </r>
  </si>
  <si>
    <t>Times New Roman</t>
  </si>
  <si>
    <t>fullPath</t>
  </si>
  <si>
    <r>
      <t>(</t>
    </r>
    <r>
      <rPr>
        <sz val="10"/>
        <color theme="1"/>
        <rFont val="나눔고딕"/>
        <family val="3"/>
        <charset val="129"/>
      </rPr>
      <t>미적용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</si>
  <si>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번호</t>
    </r>
  </si>
  <si>
    <r>
      <rPr>
        <sz val="10"/>
        <color theme="1"/>
        <rFont val="나눔고딕"/>
        <family val="3"/>
        <charset val="129"/>
      </rPr>
      <t>워크시트</t>
    </r>
  </si>
  <si>
    <r>
      <rPr>
        <sz val="10"/>
        <color theme="1"/>
        <rFont val="나눔고딕"/>
        <family val="3"/>
        <charset val="129"/>
      </rPr>
      <t>설명</t>
    </r>
  </si>
  <si>
    <r>
      <rPr>
        <sz val="10"/>
        <color theme="1"/>
        <rFont val="나눔고딕"/>
        <family val="3"/>
        <charset val="129"/>
      </rPr>
      <t>비고</t>
    </r>
  </si>
  <si>
    <t>wsList</t>
  </si>
  <si>
    <r>
      <rPr>
        <sz val="10"/>
        <color theme="1"/>
        <rFont val="나눔고딕"/>
        <family val="3"/>
        <charset val="129"/>
      </rPr>
      <t>내비게이션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시트</t>
    </r>
  </si>
  <si>
    <t>Encrypt</t>
  </si>
  <si>
    <r>
      <rPr>
        <sz val="10"/>
        <color theme="1"/>
        <rFont val="나눔고딕"/>
        <family val="3"/>
        <charset val="129"/>
      </rPr>
      <t>워크시트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암호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설정</t>
    </r>
  </si>
  <si>
    <t>Variant</t>
    <phoneticPr fontId="10" type="noConversion"/>
  </si>
  <si>
    <t>Boolean</t>
    <phoneticPr fontId="10" type="noConversion"/>
  </si>
  <si>
    <t>No</t>
    <phoneticPr fontId="10" type="noConversion"/>
  </si>
  <si>
    <t>Sheets</t>
    <phoneticPr fontId="10" type="noConversion"/>
  </si>
  <si>
    <t>Encrypt</t>
    <phoneticPr fontId="10" type="noConversion"/>
  </si>
  <si>
    <t>InputColorRGB</t>
  </si>
  <si>
    <t>ForceFullLock_NoException</t>
  </si>
  <si>
    <t>UserInterfaceOnly</t>
  </si>
  <si>
    <r>
      <rPr>
        <b/>
        <sz val="10"/>
        <color rgb="FFFFFFFF"/>
        <rFont val="나눔고딕"/>
        <family val="3"/>
        <charset val="129"/>
      </rPr>
      <t>파라미터명</t>
    </r>
  </si>
  <si>
    <r>
      <rPr>
        <b/>
        <sz val="10"/>
        <color rgb="FFFFFFFF"/>
        <rFont val="나눔고딕"/>
        <family val="3"/>
        <charset val="129"/>
      </rPr>
      <t>타입</t>
    </r>
  </si>
  <si>
    <r>
      <rPr>
        <b/>
        <sz val="10"/>
        <color rgb="FFFFFFFF"/>
        <rFont val="나눔고딕"/>
        <family val="3"/>
        <charset val="129"/>
      </rPr>
      <t>기본값</t>
    </r>
  </si>
  <si>
    <r>
      <rPr>
        <b/>
        <sz val="10"/>
        <color rgb="FFFFFFFF"/>
        <rFont val="나눔고딕"/>
        <family val="3"/>
        <charset val="129"/>
      </rPr>
      <t>필수여부</t>
    </r>
  </si>
  <si>
    <r>
      <rPr>
        <b/>
        <sz val="10"/>
        <color rgb="FFFFFFFF"/>
        <rFont val="나눔고딕"/>
        <family val="3"/>
        <charset val="129"/>
      </rPr>
      <t>기능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설명</t>
    </r>
  </si>
  <si>
    <r>
      <rPr>
        <b/>
        <sz val="10"/>
        <color rgb="FFFFFFFF"/>
        <rFont val="나눔고딕"/>
        <family val="3"/>
        <charset val="129"/>
      </rPr>
      <t>사용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예시</t>
    </r>
  </si>
  <si>
    <t>ws</t>
  </si>
  <si>
    <t>Worksheet</t>
  </si>
  <si>
    <r>
      <t>(</t>
    </r>
    <r>
      <rPr>
        <sz val="10"/>
        <rFont val="나눔고딕"/>
        <family val="3"/>
        <charset val="129"/>
      </rPr>
      <t>필수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</si>
  <si>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처리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워크시트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객체</t>
    </r>
  </si>
  <si>
    <t>wsProtect_template(Worksheets("TARA_Report"))</t>
  </si>
  <si>
    <t>Password</t>
  </si>
  <si>
    <t>String</t>
  </si>
  <si>
    <t>Const</t>
    <phoneticPr fontId="10" type="noConversion"/>
  </si>
  <si>
    <r>
      <rPr>
        <sz val="10"/>
        <rFont val="나눔고딕"/>
        <family val="3"/>
        <charset val="129"/>
      </rPr>
      <t>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보호</t>
    </r>
    <r>
      <rPr>
        <sz val="10"/>
        <rFont val="Times New Roman"/>
        <family val="1"/>
      </rPr>
      <t xml:space="preserve">(Unprotect </t>
    </r>
    <r>
      <rPr>
        <sz val="10"/>
        <rFont val="나눔고딕"/>
        <family val="3"/>
        <charset val="129"/>
      </rPr>
      <t>포함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암호</t>
    </r>
  </si>
  <si>
    <t>Password:="MyPwd2026"</t>
  </si>
  <si>
    <t>InputColorRGB</t>
    <phoneticPr fontId="10" type="noConversion"/>
  </si>
  <si>
    <t>Variant</t>
  </si>
  <si>
    <t>Empty</t>
  </si>
  <si>
    <r>
      <rPr>
        <sz val="10"/>
        <rFont val="나눔고딕"/>
        <family val="3"/>
        <charset val="129"/>
      </rPr>
      <t>선택</t>
    </r>
  </si>
  <si>
    <r>
      <rPr>
        <sz val="10"/>
        <rFont val="나눔고딕"/>
        <family val="3"/>
        <charset val="129"/>
      </rPr>
      <t>입력셀로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인식할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채우기색의</t>
    </r>
    <r>
      <rPr>
        <sz val="10"/>
        <rFont val="Times New Roman"/>
        <family val="1"/>
      </rPr>
      <t xml:space="preserve"> RGB Long</t>
    </r>
    <r>
      <rPr>
        <sz val="10"/>
        <rFont val="나눔고딕"/>
        <family val="3"/>
        <charset val="129"/>
      </rPr>
      <t>값</t>
    </r>
    <r>
      <rPr>
        <sz val="10"/>
        <rFont val="Times New Roman"/>
        <family val="1"/>
      </rPr>
      <t>. Empty</t>
    </r>
    <r>
      <rPr>
        <sz val="10"/>
        <rFont val="나눔고딕"/>
        <family val="3"/>
        <charset val="129"/>
      </rPr>
      <t>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생략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기존</t>
    </r>
    <r>
      <rPr>
        <sz val="10"/>
        <rFont val="Times New Roman"/>
        <family val="1"/>
      </rPr>
      <t xml:space="preserve"> Locked </t>
    </r>
    <r>
      <rPr>
        <sz val="10"/>
        <rFont val="나눔고딕"/>
        <family val="3"/>
        <charset val="129"/>
      </rPr>
      <t>상태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유지</t>
    </r>
    <r>
      <rPr>
        <sz val="10"/>
        <rFont val="Times New Roman"/>
        <family val="1"/>
      </rPr>
      <t xml:space="preserve">). </t>
    </r>
    <r>
      <rPr>
        <sz val="10"/>
        <rFont val="나눔고딕"/>
        <family val="3"/>
        <charset val="129"/>
      </rPr>
      <t>노란색</t>
    </r>
    <r>
      <rPr>
        <sz val="10"/>
        <rFont val="Times New Roman"/>
        <family val="1"/>
      </rPr>
      <t>(255,255,0)</t>
    </r>
    <r>
      <rPr>
        <sz val="10"/>
        <rFont val="나눔고딕"/>
        <family val="3"/>
        <charset val="129"/>
      </rPr>
      <t>은</t>
    </r>
    <r>
      <rPr>
        <sz val="10"/>
        <rFont val="Times New Roman"/>
        <family val="1"/>
      </rPr>
      <t xml:space="preserve"> 65535</t>
    </r>
  </si>
  <si>
    <t>InputColorRGB:=65535</t>
  </si>
  <si>
    <t>Boolean</t>
  </si>
  <si>
    <t>False</t>
  </si>
  <si>
    <t>ForceFullLock_NoException:=True</t>
  </si>
  <si>
    <t>UserInterfaceOnly:=True</t>
  </si>
  <si>
    <t>AllowFormatting:=True</t>
  </si>
  <si>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삽입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(2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>)</t>
    </r>
  </si>
  <si>
    <t>AllowInserting:=False</t>
  </si>
  <si>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삭제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(2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>)</t>
    </r>
  </si>
  <si>
    <t>AllowDeleting:=False</t>
  </si>
  <si>
    <r>
      <rPr>
        <sz val="10"/>
        <rFont val="나눔고딕"/>
        <family val="3"/>
        <charset val="129"/>
      </rPr>
      <t>정렬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</si>
  <si>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AllowSorting:=True</t>
  </si>
  <si>
    <r>
      <rPr>
        <sz val="10"/>
        <rFont val="나눔고딕"/>
        <family val="3"/>
        <charset val="129"/>
      </rPr>
      <t>자동필터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</si>
  <si>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AllowFiltering:=True</t>
  </si>
  <si>
    <t>True</t>
  </si>
  <si>
    <r>
      <rPr>
        <sz val="10"/>
        <rFont val="나눔고딕"/>
        <family val="3"/>
        <charset val="129"/>
      </rPr>
      <t>일반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도형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텍스트박스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이미지</t>
    </r>
    <r>
      <rPr>
        <sz val="10"/>
        <rFont val="Times New Roman"/>
        <family val="1"/>
      </rPr>
      <t xml:space="preserve">, AutoShape)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. </t>
    </r>
    <r>
      <rPr>
        <sz val="10"/>
        <rFont val="나눔고딕"/>
        <family val="3"/>
        <charset val="129"/>
      </rPr>
      <t>폼컨트롤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매크로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버튼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값과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무관하게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항상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처리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고정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되어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클릭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</si>
  <si>
    <t>LockShapes:=False</t>
  </si>
  <si>
    <r>
      <rPr>
        <sz val="10"/>
        <rFont val="나눔고딕"/>
        <family val="3"/>
        <charset val="129"/>
      </rPr>
      <t>임베디드</t>
    </r>
    <r>
      <rPr>
        <sz val="10"/>
        <rFont val="Times New Roman"/>
        <family val="1"/>
      </rPr>
      <t xml:space="preserve"> OLE </t>
    </r>
    <r>
      <rPr>
        <sz val="10"/>
        <rFont val="나눔고딕"/>
        <family val="3"/>
        <charset val="129"/>
      </rPr>
      <t>개체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삽입된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</si>
  <si>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LockOLEObjects:=True</t>
  </si>
  <si>
    <r>
      <t>LevelDepth_Name</t>
    </r>
    <r>
      <rPr>
        <sz val="10"/>
        <color theme="1"/>
        <rFont val="나눔고딕"/>
        <family val="3"/>
        <charset val="129"/>
      </rPr>
      <t>변형</t>
    </r>
  </si>
  <si>
    <r>
      <t>SSoT_</t>
    </r>
    <r>
      <rPr>
        <sz val="10"/>
        <color theme="1"/>
        <rFont val="나눔고딕"/>
        <family val="3"/>
        <charset val="129"/>
      </rPr>
      <t>변경이력</t>
    </r>
  </si>
  <si>
    <r>
      <rPr>
        <sz val="10"/>
        <color theme="1"/>
        <rFont val="나눔고딕"/>
        <family val="3"/>
        <charset val="129"/>
      </rPr>
      <t>인스턴스</t>
    </r>
    <r>
      <rPr>
        <sz val="10"/>
        <color theme="1"/>
        <rFont val="Times New Roman"/>
        <family val="1"/>
      </rPr>
      <t>_</t>
    </r>
    <r>
      <rPr>
        <sz val="10"/>
        <color theme="1"/>
        <rFont val="나눔고딕"/>
        <family val="3"/>
        <charset val="129"/>
      </rPr>
      <t>통합</t>
    </r>
  </si>
  <si>
    <r>
      <rPr>
        <sz val="10"/>
        <color theme="1"/>
        <rFont val="나눔고딕"/>
        <family val="3"/>
        <charset val="129"/>
      </rPr>
      <t>인스턴스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종합현황</t>
    </r>
  </si>
  <si>
    <r>
      <rPr>
        <sz val="10"/>
        <color theme="1"/>
        <rFont val="나눔고딕"/>
        <family val="3"/>
        <charset val="129"/>
      </rPr>
      <t>인스턴스</t>
    </r>
    <r>
      <rPr>
        <sz val="10"/>
        <color theme="1"/>
        <rFont val="Times New Roman"/>
        <family val="1"/>
      </rPr>
      <t>_SAMPLE</t>
    </r>
  </si>
  <si>
    <r>
      <rPr>
        <sz val="10"/>
        <color theme="1"/>
        <rFont val="나눔고딕"/>
        <family val="3"/>
        <charset val="129"/>
      </rPr>
      <t>유지보수</t>
    </r>
    <r>
      <rPr>
        <sz val="10"/>
        <color theme="1"/>
        <rFont val="Times New Roman"/>
        <family val="1"/>
      </rPr>
      <t>_SAMPLE_</t>
    </r>
    <r>
      <rPr>
        <sz val="10"/>
        <color theme="1"/>
        <rFont val="나눔고딕"/>
        <family val="3"/>
        <charset val="129"/>
      </rPr>
      <t>함수단위</t>
    </r>
  </si>
  <si>
    <r>
      <rPr>
        <sz val="10"/>
        <color theme="1"/>
        <rFont val="나눔고딕"/>
        <family val="3"/>
        <charset val="129"/>
      </rPr>
      <t>유지보수</t>
    </r>
    <r>
      <rPr>
        <sz val="10"/>
        <color theme="1"/>
        <rFont val="Times New Roman"/>
        <family val="1"/>
      </rPr>
      <t>_SAMPLE_</t>
    </r>
    <r>
      <rPr>
        <sz val="10"/>
        <color theme="1"/>
        <rFont val="나눔고딕"/>
        <family val="3"/>
        <charset val="129"/>
      </rPr>
      <t>펌웨어단위</t>
    </r>
  </si>
  <si>
    <r>
      <rPr>
        <sz val="10"/>
        <color theme="1"/>
        <rFont val="나눔고딕"/>
        <family val="3"/>
        <charset val="129"/>
      </rPr>
      <t>인스턴스</t>
    </r>
    <r>
      <rPr>
        <sz val="10"/>
        <color theme="1"/>
        <rFont val="Times New Roman"/>
        <family val="1"/>
      </rPr>
      <t>_</t>
    </r>
    <r>
      <rPr>
        <sz val="10"/>
        <color theme="1"/>
        <rFont val="나눔고딕"/>
        <family val="3"/>
        <charset val="129"/>
      </rPr>
      <t>목록</t>
    </r>
  </si>
  <si>
    <r>
      <t>SAMPLE_</t>
    </r>
    <r>
      <rPr>
        <sz val="10"/>
        <color theme="1"/>
        <rFont val="나눔고딕"/>
        <family val="3"/>
        <charset val="129"/>
      </rPr>
      <t>변경이력</t>
    </r>
  </si>
  <si>
    <r>
      <rPr>
        <sz val="10"/>
        <color theme="1"/>
        <rFont val="나눔고딕"/>
        <family val="3"/>
        <charset val="129"/>
      </rPr>
      <t>베이스라인</t>
    </r>
    <r>
      <rPr>
        <sz val="10"/>
        <color theme="1"/>
        <rFont val="Times New Roman"/>
        <family val="1"/>
      </rPr>
      <t>_</t>
    </r>
    <r>
      <rPr>
        <sz val="10"/>
        <color theme="1"/>
        <rFont val="나눔고딕"/>
        <family val="3"/>
        <charset val="129"/>
      </rPr>
      <t>계보</t>
    </r>
  </si>
  <si>
    <r>
      <rPr>
        <sz val="10"/>
        <color theme="1"/>
        <rFont val="나눔고딕"/>
        <family val="3"/>
        <charset val="129"/>
      </rPr>
      <t>예외처리</t>
    </r>
    <r>
      <rPr>
        <sz val="10"/>
        <color theme="1"/>
        <rFont val="Times New Roman"/>
        <family val="1"/>
      </rPr>
      <t>_</t>
    </r>
    <r>
      <rPr>
        <sz val="10"/>
        <color theme="1"/>
        <rFont val="나눔고딕"/>
        <family val="3"/>
        <charset val="129"/>
      </rPr>
      <t>가이드</t>
    </r>
  </si>
  <si>
    <r>
      <rPr>
        <sz val="10"/>
        <color theme="1"/>
        <rFont val="나눔고딕"/>
        <family val="3"/>
        <charset val="129"/>
      </rPr>
      <t>스냅샷</t>
    </r>
    <r>
      <rPr>
        <sz val="10"/>
        <color theme="1"/>
        <rFont val="Times New Roman"/>
        <family val="1"/>
      </rPr>
      <t>_</t>
    </r>
    <r>
      <rPr>
        <sz val="10"/>
        <color theme="1"/>
        <rFont val="나눔고딕"/>
        <family val="3"/>
        <charset val="129"/>
      </rPr>
      <t>보관</t>
    </r>
  </si>
  <si>
    <r>
      <rPr>
        <sz val="10"/>
        <color theme="1"/>
        <rFont val="나눔고딕"/>
        <family val="3"/>
        <charset val="129"/>
      </rPr>
      <t>범례</t>
    </r>
    <r>
      <rPr>
        <sz val="10"/>
        <color theme="1"/>
        <rFont val="Times New Roman"/>
        <family val="1"/>
      </rPr>
      <t>_</t>
    </r>
    <r>
      <rPr>
        <sz val="10"/>
        <color theme="1"/>
        <rFont val="나눔고딕"/>
        <family val="3"/>
        <charset val="129"/>
      </rPr>
      <t>사용법</t>
    </r>
  </si>
  <si>
    <r>
      <rPr>
        <sz val="9"/>
        <color theme="1"/>
        <rFont val="나눔고딕"/>
        <family val="3"/>
        <charset val="129"/>
      </rPr>
      <t>인스턴스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통합</t>
    </r>
  </si>
  <si>
    <r>
      <t>SSoT_</t>
    </r>
    <r>
      <rPr>
        <sz val="9"/>
        <color theme="1"/>
        <rFont val="나눔고딕"/>
        <family val="3"/>
        <charset val="129"/>
      </rPr>
      <t>변경이력</t>
    </r>
  </si>
  <si>
    <r>
      <rPr>
        <sz val="9"/>
        <color theme="1"/>
        <rFont val="나눔고딕"/>
        <family val="3"/>
        <charset val="129"/>
      </rPr>
      <t>변경이력</t>
    </r>
  </si>
  <si>
    <r>
      <t>SW_ID,</t>
    </r>
    <r>
      <rPr>
        <sz val="9"/>
        <color theme="1"/>
        <rFont val="나눔고딕"/>
        <family val="3"/>
        <charset val="129"/>
      </rPr>
      <t>필드명</t>
    </r>
    <r>
      <rPr>
        <sz val="9"/>
        <color theme="1"/>
        <rFont val="Times New Roman"/>
        <family val="1"/>
      </rPr>
      <t>,</t>
    </r>
    <r>
      <rPr>
        <sz val="9"/>
        <color theme="1"/>
        <rFont val="나눔고딕"/>
        <family val="3"/>
        <charset val="129"/>
      </rPr>
      <t>이전값</t>
    </r>
    <r>
      <rPr>
        <sz val="9"/>
        <color theme="1"/>
        <rFont val="Times New Roman"/>
        <family val="1"/>
      </rPr>
      <t>,</t>
    </r>
    <r>
      <rPr>
        <sz val="9"/>
        <color theme="1"/>
        <rFont val="나눔고딕"/>
        <family val="3"/>
        <charset val="129"/>
      </rPr>
      <t>신규값</t>
    </r>
    <r>
      <rPr>
        <sz val="9"/>
        <color theme="1"/>
        <rFont val="Times New Roman"/>
        <family val="1"/>
      </rPr>
      <t>,</t>
    </r>
    <r>
      <rPr>
        <sz val="9"/>
        <color theme="1"/>
        <rFont val="나눔고딕"/>
        <family val="3"/>
        <charset val="129"/>
      </rPr>
      <t>갱신일</t>
    </r>
  </si>
  <si>
    <r>
      <t>LevelDepth_Name</t>
    </r>
    <r>
      <rPr>
        <sz val="9"/>
        <color theme="1"/>
        <rFont val="나눔고딕"/>
        <family val="3"/>
        <charset val="129"/>
      </rPr>
      <t>변형</t>
    </r>
  </si>
  <si>
    <r>
      <rPr>
        <sz val="10"/>
        <color rgb="FF0000FF"/>
        <rFont val="나눔고딕"/>
        <family val="3"/>
        <charset val="129"/>
      </rPr>
      <t>○</t>
    </r>
  </si>
  <si>
    <r>
      <rPr>
        <i/>
        <sz val="9"/>
        <color rgb="FF5F5E5A"/>
        <rFont val="나눔고딕"/>
        <family val="3"/>
        <charset val="129"/>
      </rPr>
      <t>※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각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행마다</t>
    </r>
    <r>
      <rPr>
        <i/>
        <sz val="9"/>
        <color rgb="FF5F5E5A"/>
        <rFont val="Times New Roman"/>
        <family val="1"/>
      </rPr>
      <t xml:space="preserve"> L1~L5 </t>
    </r>
    <r>
      <rPr>
        <i/>
        <sz val="9"/>
        <color rgb="FF5F5E5A"/>
        <rFont val="나눔고딕"/>
        <family val="3"/>
        <charset val="129"/>
      </rPr>
      <t>중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해당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계층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열에만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○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표시</t>
    </r>
    <r>
      <rPr>
        <i/>
        <sz val="9"/>
        <color rgb="FF5F5E5A"/>
        <rFont val="Times New Roman"/>
        <family val="1"/>
      </rPr>
      <t>(</t>
    </r>
    <r>
      <rPr>
        <i/>
        <sz val="9"/>
        <color rgb="FF5F5E5A"/>
        <rFont val="나눔고딕"/>
        <family val="3"/>
        <charset val="129"/>
      </rPr>
      <t>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행에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하나만</t>
    </r>
    <r>
      <rPr>
        <i/>
        <sz val="9"/>
        <color rgb="FF5F5E5A"/>
        <rFont val="Times New Roman"/>
        <family val="1"/>
      </rPr>
      <t>). SW_name</t>
    </r>
    <r>
      <rPr>
        <i/>
        <sz val="9"/>
        <color rgb="FF5F5E5A"/>
        <rFont val="나눔고딕"/>
        <family val="3"/>
        <charset val="129"/>
      </rPr>
      <t>은</t>
    </r>
    <r>
      <rPr>
        <i/>
        <sz val="9"/>
        <color rgb="FF5F5E5A"/>
        <rFont val="Times New Roman"/>
        <family val="1"/>
      </rPr>
      <t xml:space="preserve"> SSoT </t>
    </r>
    <r>
      <rPr>
        <i/>
        <sz val="9"/>
        <color rgb="FF5F5E5A"/>
        <rFont val="나눔고딕"/>
        <family val="3"/>
        <charset val="129"/>
      </rPr>
      <t>시트에서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자동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조회됩니다</t>
    </r>
    <r>
      <rPr>
        <i/>
        <sz val="9"/>
        <color rgb="FF5F5E5A"/>
        <rFont val="Times New Roman"/>
        <family val="1"/>
      </rPr>
      <t xml:space="preserve">. </t>
    </r>
    <r>
      <rPr>
        <i/>
        <sz val="9"/>
        <color rgb="FF5F5E5A"/>
        <rFont val="나눔고딕"/>
        <family val="3"/>
        <charset val="129"/>
      </rPr>
      <t>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시트의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○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표시가</t>
    </r>
    <r>
      <rPr>
        <i/>
        <sz val="9"/>
        <color rgb="FF5F5E5A"/>
        <rFont val="Times New Roman"/>
        <family val="1"/>
      </rPr>
      <t xml:space="preserve"> SSoT</t>
    </r>
    <r>
      <rPr>
        <i/>
        <sz val="9"/>
        <color rgb="FF5F5E5A"/>
        <rFont val="나눔고딕"/>
        <family val="3"/>
        <charset val="129"/>
      </rPr>
      <t>의</t>
    </r>
    <r>
      <rPr>
        <i/>
        <sz val="9"/>
        <color rgb="FF5F5E5A"/>
        <rFont val="Times New Roman"/>
        <family val="1"/>
      </rPr>
      <t xml:space="preserve"> level_depth </t>
    </r>
    <r>
      <rPr>
        <i/>
        <sz val="9"/>
        <color rgb="FF5F5E5A"/>
        <rFont val="나눔고딕"/>
        <family val="3"/>
        <charset val="129"/>
      </rPr>
      <t>열로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자동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반영됩니다</t>
    </r>
    <r>
      <rPr>
        <i/>
        <sz val="9"/>
        <color rgb="FF5F5E5A"/>
        <rFont val="Times New Roman"/>
        <family val="1"/>
      </rPr>
      <t>.</t>
    </r>
  </si>
  <si>
    <r>
      <rPr>
        <i/>
        <sz val="9"/>
        <color rgb="FF5F5E5A"/>
        <rFont val="나눔고딕"/>
        <family val="3"/>
        <charset val="129"/>
      </rPr>
      <t>※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시트는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전부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수식입니다</t>
    </r>
    <r>
      <rPr>
        <i/>
        <sz val="9"/>
        <color rgb="FF5F5E5A"/>
        <rFont val="Times New Roman"/>
        <family val="1"/>
      </rPr>
      <t>(</t>
    </r>
    <r>
      <rPr>
        <i/>
        <sz val="9"/>
        <color rgb="FF5F5E5A"/>
        <rFont val="나눔고딕"/>
        <family val="3"/>
        <charset val="129"/>
      </rPr>
      <t>입력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금지</t>
    </r>
    <r>
      <rPr>
        <i/>
        <sz val="9"/>
        <color rgb="FF5F5E5A"/>
        <rFont val="Times New Roman"/>
        <family val="1"/>
      </rPr>
      <t xml:space="preserve">). 'LevelDepth' </t>
    </r>
    <r>
      <rPr>
        <i/>
        <sz val="9"/>
        <color rgb="FF5F5E5A"/>
        <rFont val="나눔고딕"/>
        <family val="3"/>
        <charset val="129"/>
      </rPr>
      <t>시트의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○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표시를</t>
    </r>
    <r>
      <rPr>
        <i/>
        <sz val="9"/>
        <color rgb="FF5F5E5A"/>
        <rFont val="Times New Roman"/>
        <family val="1"/>
      </rPr>
      <t xml:space="preserve"> SW_name</t>
    </r>
    <r>
      <rPr>
        <i/>
        <sz val="9"/>
        <color rgb="FF5F5E5A"/>
        <rFont val="나눔고딕"/>
        <family val="3"/>
        <charset val="129"/>
      </rPr>
      <t>으로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치환해서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보여주는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가독성용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변형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뷰입니다</t>
    </r>
    <r>
      <rPr>
        <i/>
        <sz val="9"/>
        <color rgb="FF5F5E5A"/>
        <rFont val="Times New Roman"/>
        <family val="1"/>
      </rPr>
      <t>.</t>
    </r>
  </si>
  <si>
    <r>
      <rPr>
        <b/>
        <sz val="10"/>
        <rFont val="나눔고딕"/>
        <family val="3"/>
        <charset val="129"/>
      </rPr>
      <t>필드명</t>
    </r>
  </si>
  <si>
    <r>
      <rPr>
        <b/>
        <sz val="10"/>
        <rFont val="나눔고딕"/>
        <family val="3"/>
        <charset val="129"/>
      </rPr>
      <t>이전값</t>
    </r>
  </si>
  <si>
    <r>
      <rPr>
        <b/>
        <sz val="10"/>
        <rFont val="나눔고딕"/>
        <family val="3"/>
        <charset val="129"/>
      </rPr>
      <t>신규값</t>
    </r>
  </si>
  <si>
    <r>
      <rPr>
        <b/>
        <sz val="10"/>
        <rFont val="나눔고딕"/>
        <family val="3"/>
        <charset val="129"/>
      </rPr>
      <t>갱신일</t>
    </r>
  </si>
  <si>
    <r>
      <rPr>
        <b/>
        <sz val="10"/>
        <rFont val="나눔고딕"/>
        <family val="3"/>
        <charset val="129"/>
      </rPr>
      <t>출처</t>
    </r>
  </si>
  <si>
    <r>
      <t>(</t>
    </r>
    <r>
      <rPr>
        <sz val="10"/>
        <color rgb="FF0000FF"/>
        <rFont val="나눔고딕"/>
        <family val="3"/>
        <charset val="129"/>
      </rPr>
      <t>신규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등록</t>
    </r>
    <r>
      <rPr>
        <sz val="10"/>
        <color rgb="FF0000FF"/>
        <rFont val="Times New Roman"/>
        <family val="1"/>
      </rPr>
      <t>)</t>
    </r>
  </si>
  <si>
    <r>
      <rPr>
        <sz val="10"/>
        <color rgb="FF0000FF"/>
        <rFont val="나눔고딕"/>
        <family val="3"/>
        <charset val="129"/>
      </rPr>
      <t>최초</t>
    </r>
    <r>
      <rPr>
        <sz val="10"/>
        <color rgb="FF0000FF"/>
        <rFont val="Times New Roman"/>
        <family val="1"/>
      </rPr>
      <t xml:space="preserve"> SSoT </t>
    </r>
    <r>
      <rPr>
        <sz val="10"/>
        <color rgb="FF0000FF"/>
        <rFont val="나눔고딕"/>
        <family val="3"/>
        <charset val="129"/>
      </rPr>
      <t>등록</t>
    </r>
  </si>
  <si>
    <r>
      <t>CVE-2026-01234 (</t>
    </r>
    <r>
      <rPr>
        <sz val="10"/>
        <color rgb="FF0000FF"/>
        <rFont val="나눔고딕"/>
        <family val="3"/>
        <charset val="129"/>
      </rPr>
      <t>예시</t>
    </r>
    <r>
      <rPr>
        <sz val="10"/>
        <color rgb="FF0000FF"/>
        <rFont val="Times New Roman"/>
        <family val="1"/>
      </rPr>
      <t>)</t>
    </r>
  </si>
  <si>
    <r>
      <t xml:space="preserve">NVD </t>
    </r>
    <r>
      <rPr>
        <sz val="10"/>
        <color rgb="FF0000FF"/>
        <rFont val="나눔고딕"/>
        <family val="3"/>
        <charset val="129"/>
      </rPr>
      <t>공지</t>
    </r>
  </si>
  <si>
    <r>
      <rPr>
        <i/>
        <sz val="9"/>
        <color rgb="FF5F5E5A"/>
        <rFont val="나눔고딕"/>
        <family val="3"/>
        <charset val="129"/>
      </rPr>
      <t>※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시트는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행을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누적만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합니다</t>
    </r>
    <r>
      <rPr>
        <i/>
        <sz val="9"/>
        <color rgb="FF5F5E5A"/>
        <rFont val="Times New Roman"/>
        <family val="1"/>
      </rPr>
      <t>(</t>
    </r>
    <r>
      <rPr>
        <i/>
        <sz val="9"/>
        <color rgb="FF5F5E5A"/>
        <rFont val="나눔고딕"/>
        <family val="3"/>
        <charset val="129"/>
      </rPr>
      <t>수정</t>
    </r>
    <r>
      <rPr>
        <i/>
        <sz val="9"/>
        <color rgb="FF5F5E5A"/>
        <rFont val="Times New Roman"/>
        <family val="1"/>
      </rPr>
      <t>/</t>
    </r>
    <r>
      <rPr>
        <i/>
        <sz val="9"/>
        <color rgb="FF5F5E5A"/>
        <rFont val="나눔고딕"/>
        <family val="3"/>
        <charset val="129"/>
      </rPr>
      <t>삭제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금지</t>
    </r>
    <r>
      <rPr>
        <i/>
        <sz val="9"/>
        <color rgb="FF5F5E5A"/>
        <rFont val="Times New Roman"/>
        <family val="1"/>
      </rPr>
      <t>). SW_name/level_depth</t>
    </r>
    <r>
      <rPr>
        <i/>
        <sz val="9"/>
        <color rgb="FF5F5E5A"/>
        <rFont val="나눔고딕"/>
        <family val="3"/>
        <charset val="129"/>
      </rPr>
      <t>는</t>
    </r>
    <r>
      <rPr>
        <i/>
        <sz val="9"/>
        <color rgb="FF5F5E5A"/>
        <rFont val="Times New Roman"/>
        <family val="1"/>
      </rPr>
      <t xml:space="preserve"> SSoT</t>
    </r>
    <r>
      <rPr>
        <i/>
        <sz val="9"/>
        <color rgb="FF5F5E5A"/>
        <rFont val="나눔고딕"/>
        <family val="3"/>
        <charset val="129"/>
      </rPr>
      <t>를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조회하는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수식입니다</t>
    </r>
    <r>
      <rPr>
        <i/>
        <sz val="9"/>
        <color rgb="FF5F5E5A"/>
        <rFont val="Times New Roman"/>
        <family val="1"/>
      </rPr>
      <t xml:space="preserve">. </t>
    </r>
    <r>
      <rPr>
        <i/>
        <sz val="9"/>
        <color rgb="FF5F5E5A"/>
        <rFont val="나눔고딕"/>
        <family val="3"/>
        <charset val="129"/>
      </rPr>
      <t>각</t>
    </r>
    <r>
      <rPr>
        <i/>
        <sz val="9"/>
        <color rgb="FF5F5E5A"/>
        <rFont val="Times New Roman"/>
        <family val="1"/>
      </rPr>
      <t xml:space="preserve"> SW_ID×</t>
    </r>
    <r>
      <rPr>
        <i/>
        <sz val="9"/>
        <color rgb="FF5F5E5A"/>
        <rFont val="나눔고딕"/>
        <family val="3"/>
        <charset val="129"/>
      </rPr>
      <t>필드명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조합의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최신</t>
    </r>
    <r>
      <rPr>
        <i/>
        <sz val="9"/>
        <color rgb="FF5F5E5A"/>
        <rFont val="Times New Roman"/>
        <family val="1"/>
      </rPr>
      <t>(</t>
    </r>
    <r>
      <rPr>
        <i/>
        <sz val="9"/>
        <color rgb="FF5F5E5A"/>
        <rFont val="나눔고딕"/>
        <family val="3"/>
        <charset val="129"/>
      </rPr>
      <t>갱신일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기준</t>
    </r>
    <r>
      <rPr>
        <i/>
        <sz val="9"/>
        <color rgb="FF5F5E5A"/>
        <rFont val="Times New Roman"/>
        <family val="1"/>
      </rPr>
      <t xml:space="preserve">) </t>
    </r>
    <r>
      <rPr>
        <i/>
        <sz val="9"/>
        <color rgb="FF5F5E5A"/>
        <rFont val="나눔고딕"/>
        <family val="3"/>
        <charset val="129"/>
      </rPr>
      <t>행을</t>
    </r>
    <r>
      <rPr>
        <i/>
        <sz val="9"/>
        <color rgb="FF5F5E5A"/>
        <rFont val="Times New Roman"/>
        <family val="1"/>
      </rPr>
      <t xml:space="preserve"> SSoT </t>
    </r>
    <r>
      <rPr>
        <i/>
        <sz val="9"/>
        <color rgb="FF5F5E5A"/>
        <rFont val="나눔고딕"/>
        <family val="3"/>
        <charset val="129"/>
      </rPr>
      <t>해당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필드에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반영하려면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아래</t>
    </r>
    <r>
      <rPr>
        <i/>
        <sz val="9"/>
        <color rgb="FF5F5E5A"/>
        <rFont val="Times New Roman"/>
        <family val="1"/>
      </rPr>
      <t xml:space="preserve"> VBA </t>
    </r>
    <r>
      <rPr>
        <i/>
        <sz val="9"/>
        <color rgb="FF5F5E5A"/>
        <rFont val="나눔고딕"/>
        <family val="3"/>
        <charset val="129"/>
      </rPr>
      <t>매크로</t>
    </r>
    <r>
      <rPr>
        <i/>
        <sz val="9"/>
        <color rgb="FF5F5E5A"/>
        <rFont val="Times New Roman"/>
        <family val="1"/>
      </rPr>
      <t>(UpdateSSoTFromChangeLog)</t>
    </r>
    <r>
      <rPr>
        <i/>
        <sz val="9"/>
        <color rgb="FF5F5E5A"/>
        <rFont val="나눔고딕"/>
        <family val="3"/>
        <charset val="129"/>
      </rPr>
      <t>를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사용하세요</t>
    </r>
    <r>
      <rPr>
        <i/>
        <sz val="9"/>
        <color rgb="FF5F5E5A"/>
        <rFont val="Times New Roman"/>
        <family val="1"/>
      </rPr>
      <t>.</t>
    </r>
  </si>
  <si>
    <r>
      <rPr>
        <sz val="10"/>
        <color rgb="FF0000FF"/>
        <rFont val="나눔고딕"/>
        <family val="3"/>
        <charset val="129"/>
      </rPr>
      <t>생산</t>
    </r>
  </si>
  <si>
    <r>
      <rPr>
        <sz val="10"/>
        <color rgb="FF0000FF"/>
        <rFont val="나눔고딕"/>
        <family val="3"/>
        <charset val="129"/>
      </rPr>
      <t>반영완료</t>
    </r>
  </si>
  <si>
    <r>
      <rPr>
        <sz val="10"/>
        <color rgb="FF0000FF"/>
        <rFont val="나눔고딕"/>
        <family val="3"/>
        <charset val="129"/>
      </rPr>
      <t>조치완료</t>
    </r>
  </si>
  <si>
    <r>
      <rPr>
        <sz val="10"/>
        <color rgb="FF0000FF"/>
        <rFont val="나눔고딕"/>
        <family val="3"/>
        <charset val="129"/>
      </rPr>
      <t>검증완료</t>
    </r>
  </si>
  <si>
    <r>
      <rPr>
        <sz val="10"/>
        <color rgb="FF0000FF"/>
        <rFont val="나눔고딕"/>
        <family val="3"/>
        <charset val="129"/>
      </rPr>
      <t>조치중</t>
    </r>
  </si>
  <si>
    <r>
      <rPr>
        <sz val="10"/>
        <color rgb="FF0000FF"/>
        <rFont val="나눔고딕"/>
        <family val="3"/>
        <charset val="129"/>
      </rPr>
      <t>부분반영</t>
    </r>
  </si>
  <si>
    <r>
      <rPr>
        <sz val="10"/>
        <color rgb="FF0000FF"/>
        <rFont val="나눔고딕"/>
        <family val="3"/>
        <charset val="129"/>
      </rPr>
      <t>소급</t>
    </r>
    <r>
      <rPr>
        <sz val="10"/>
        <color rgb="FF0000FF"/>
        <rFont val="Times New Roman"/>
        <family val="1"/>
      </rPr>
      <t xml:space="preserve"> CR/CCB </t>
    </r>
    <r>
      <rPr>
        <sz val="10"/>
        <color rgb="FF0000FF"/>
        <rFont val="나눔고딕"/>
        <family val="3"/>
        <charset val="129"/>
      </rPr>
      <t>승인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절차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진행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중</t>
    </r>
    <r>
      <rPr>
        <sz val="10"/>
        <color rgb="FF0000FF"/>
        <rFont val="Times New Roman"/>
        <family val="1"/>
      </rPr>
      <t xml:space="preserve"> (ISSUE-2026-0099 </t>
    </r>
    <r>
      <rPr>
        <sz val="10"/>
        <color rgb="FF0000FF"/>
        <rFont val="나눔고딕"/>
        <family val="3"/>
        <charset val="129"/>
      </rPr>
      <t>참조</t>
    </r>
    <r>
      <rPr>
        <sz val="10"/>
        <color rgb="FF0000FF"/>
        <rFont val="Times New Roman"/>
        <family val="1"/>
      </rPr>
      <t>)</t>
    </r>
  </si>
  <si>
    <r>
      <t>BL-260610-01</t>
    </r>
    <r>
      <rPr>
        <sz val="10"/>
        <color rgb="FF0000FF"/>
        <rFont val="나눔고딕"/>
        <family val="3"/>
        <charset val="129"/>
      </rPr>
      <t>→</t>
    </r>
    <r>
      <rPr>
        <sz val="10"/>
        <color rgb="FF0000FF"/>
        <rFont val="Times New Roman"/>
        <family val="1"/>
      </rPr>
      <t>BL-260702-01</t>
    </r>
    <r>
      <rPr>
        <sz val="10"/>
        <color rgb="FF0000FF"/>
        <rFont val="나눔고딕"/>
        <family val="3"/>
        <charset val="129"/>
      </rPr>
      <t>→</t>
    </r>
    <r>
      <rPr>
        <sz val="10"/>
        <color rgb="FF0000FF"/>
        <rFont val="Times New Roman"/>
        <family val="1"/>
      </rPr>
      <t>BL-260715-01</t>
    </r>
  </si>
  <si>
    <r>
      <rPr>
        <sz val="10"/>
        <color rgb="FF0000FF"/>
        <rFont val="나눔고딕"/>
        <family val="3"/>
        <charset val="129"/>
      </rPr>
      <t>미조치</t>
    </r>
  </si>
  <si>
    <r>
      <rPr>
        <i/>
        <sz val="9"/>
        <color rgb="FF5F5E5A"/>
        <rFont val="나눔고딕"/>
        <family val="3"/>
        <charset val="129"/>
      </rPr>
      <t>※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시트는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입력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대상이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아닙니다</t>
    </r>
    <r>
      <rPr>
        <i/>
        <sz val="9"/>
        <color rgb="FF5F5E5A"/>
        <rFont val="Times New Roman"/>
        <family val="1"/>
      </rPr>
      <t>. SW_name/level_depth</t>
    </r>
    <r>
      <rPr>
        <i/>
        <sz val="9"/>
        <color rgb="FF5F5E5A"/>
        <rFont val="나눔고딕"/>
        <family val="3"/>
        <charset val="129"/>
      </rPr>
      <t>는</t>
    </r>
    <r>
      <rPr>
        <i/>
        <sz val="9"/>
        <color rgb="FF5F5E5A"/>
        <rFont val="Times New Roman"/>
        <family val="1"/>
      </rPr>
      <t xml:space="preserve"> SSoT </t>
    </r>
    <r>
      <rPr>
        <i/>
        <sz val="9"/>
        <color rgb="FF5F5E5A"/>
        <rFont val="나눔고딕"/>
        <family val="3"/>
        <charset val="129"/>
      </rPr>
      <t>조회</t>
    </r>
    <r>
      <rPr>
        <i/>
        <sz val="9"/>
        <color rgb="FF5F5E5A"/>
        <rFont val="Times New Roman"/>
        <family val="1"/>
      </rPr>
      <t xml:space="preserve">, </t>
    </r>
    <r>
      <rPr>
        <i/>
        <sz val="9"/>
        <color rgb="FF5F5E5A"/>
        <rFont val="나눔고딕"/>
        <family val="3"/>
        <charset val="129"/>
      </rPr>
      <t>제어기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열은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인스턴스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시트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참조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수식입니다</t>
    </r>
    <r>
      <rPr>
        <i/>
        <sz val="9"/>
        <color rgb="FF5F5E5A"/>
        <rFont val="Times New Roman"/>
        <family val="1"/>
      </rPr>
      <t xml:space="preserve">. </t>
    </r>
    <r>
      <rPr>
        <i/>
        <sz val="9"/>
        <color rgb="FF5F5E5A"/>
        <rFont val="나눔고딕"/>
        <family val="3"/>
        <charset val="129"/>
      </rPr>
      <t>제어기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열을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오른쪽으로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계속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추가해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확장합니다</t>
    </r>
    <r>
      <rPr>
        <i/>
        <sz val="9"/>
        <color rgb="FF5F5E5A"/>
        <rFont val="Times New Roman"/>
        <family val="1"/>
      </rPr>
      <t>.</t>
    </r>
  </si>
  <si>
    <r>
      <rPr>
        <b/>
        <sz val="10"/>
        <rFont val="나눔고딕"/>
        <family val="3"/>
        <charset val="129"/>
      </rPr>
      <t>적용차종</t>
    </r>
  </si>
  <si>
    <r>
      <rPr>
        <sz val="10"/>
        <color rgb="FF0000FF"/>
        <rFont val="나눔고딕"/>
        <family val="3"/>
        <charset val="129"/>
      </rPr>
      <t>아반떼</t>
    </r>
    <r>
      <rPr>
        <sz val="10"/>
        <color rgb="FF0000FF"/>
        <rFont val="Times New Roman"/>
        <family val="1"/>
      </rPr>
      <t xml:space="preserve"> CN7</t>
    </r>
  </si>
  <si>
    <r>
      <rPr>
        <sz val="10"/>
        <color rgb="FF0000FF"/>
        <rFont val="나눔고딕"/>
        <family val="3"/>
        <charset val="129"/>
      </rPr>
      <t>쏘나타</t>
    </r>
    <r>
      <rPr>
        <sz val="10"/>
        <color rgb="FF0000FF"/>
        <rFont val="Times New Roman"/>
        <family val="1"/>
      </rPr>
      <t xml:space="preserve"> DN8</t>
    </r>
  </si>
  <si>
    <r>
      <rPr>
        <sz val="10"/>
        <color rgb="FF0000FF"/>
        <rFont val="나눔고딕"/>
        <family val="3"/>
        <charset val="129"/>
      </rPr>
      <t>미반영</t>
    </r>
  </si>
  <si>
    <r>
      <rPr>
        <sz val="10"/>
        <color rgb="FF0000FF"/>
        <rFont val="나눔고딕"/>
        <family val="3"/>
        <charset val="129"/>
      </rPr>
      <t>쏘나타</t>
    </r>
    <r>
      <rPr>
        <sz val="10"/>
        <color rgb="FF0000FF"/>
        <rFont val="Times New Roman"/>
        <family val="1"/>
      </rPr>
      <t xml:space="preserve"> DN8</t>
    </r>
    <r>
      <rPr>
        <sz val="10"/>
        <color rgb="FF0000FF"/>
        <rFont val="나눔고딕"/>
        <family val="3"/>
        <charset val="129"/>
      </rPr>
      <t>용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검증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일정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지연</t>
    </r>
    <r>
      <rPr>
        <sz val="10"/>
        <color rgb="FF0000FF"/>
        <rFont val="Times New Roman"/>
        <family val="1"/>
      </rPr>
      <t xml:space="preserve"> — 2026-09 </t>
    </r>
    <r>
      <rPr>
        <sz val="10"/>
        <color rgb="FF0000FF"/>
        <rFont val="나눔고딕"/>
        <family val="3"/>
        <charset val="129"/>
      </rPr>
      <t>배포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예정</t>
    </r>
  </si>
  <si>
    <r>
      <rPr>
        <b/>
        <sz val="10"/>
        <rFont val="나눔고딕"/>
        <family val="3"/>
        <charset val="129"/>
      </rPr>
      <t>타펌웨어</t>
    </r>
    <r>
      <rPr>
        <b/>
        <sz val="10"/>
        <rFont val="Times New Roman"/>
        <family val="1"/>
      </rPr>
      <t>_</t>
    </r>
    <r>
      <rPr>
        <b/>
        <sz val="10"/>
        <rFont val="나눔고딕"/>
        <family val="3"/>
        <charset val="129"/>
      </rPr>
      <t>적용여부</t>
    </r>
  </si>
  <si>
    <r>
      <rPr>
        <b/>
        <sz val="10"/>
        <rFont val="나눔고딕"/>
        <family val="3"/>
        <charset val="129"/>
      </rPr>
      <t>적용범위</t>
    </r>
  </si>
  <si>
    <r>
      <t>BL-260810-02(</t>
    </r>
    <r>
      <rPr>
        <sz val="10"/>
        <color rgb="FF0000FF"/>
        <rFont val="나눔고딕"/>
        <family val="3"/>
        <charset val="129"/>
      </rPr>
      <t>쏘나타</t>
    </r>
    <r>
      <rPr>
        <sz val="10"/>
        <color rgb="FF0000FF"/>
        <rFont val="Times New Roman"/>
        <family val="1"/>
      </rPr>
      <t xml:space="preserve"> DN8), BL-260812-01(</t>
    </r>
    <r>
      <rPr>
        <sz val="10"/>
        <color rgb="FF0000FF"/>
        <rFont val="나눔고딕"/>
        <family val="3"/>
        <charset val="129"/>
      </rPr>
      <t>투싼</t>
    </r>
    <r>
      <rPr>
        <sz val="10"/>
        <color rgb="FF0000FF"/>
        <rFont val="Times New Roman"/>
        <family val="1"/>
      </rPr>
      <t xml:space="preserve"> NX4)</t>
    </r>
  </si>
  <si>
    <r>
      <rPr>
        <i/>
        <sz val="9"/>
        <color rgb="FF5F5E5A"/>
        <rFont val="나눔고딕"/>
        <family val="3"/>
        <charset val="129"/>
      </rPr>
      <t>※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유지보수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과제에서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펌웨어</t>
    </r>
    <r>
      <rPr>
        <i/>
        <sz val="9"/>
        <color rgb="FF5F5E5A"/>
        <rFont val="Times New Roman"/>
        <family val="1"/>
      </rPr>
      <t xml:space="preserve">(baseline) </t>
    </r>
    <r>
      <rPr>
        <i/>
        <sz val="9"/>
        <color rgb="FF5F5E5A"/>
        <rFont val="나눔고딕"/>
        <family val="3"/>
        <charset val="129"/>
      </rPr>
      <t>단위로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형상관리하는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경우의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인스턴스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견본입니다</t>
    </r>
    <r>
      <rPr>
        <i/>
        <sz val="9"/>
        <color rgb="FF5F5E5A"/>
        <rFont val="Times New Roman"/>
        <family val="1"/>
      </rPr>
      <t xml:space="preserve">. SW_ID </t>
    </r>
    <r>
      <rPr>
        <i/>
        <sz val="9"/>
        <color rgb="FF5F5E5A"/>
        <rFont val="나눔고딕"/>
        <family val="3"/>
        <charset val="129"/>
      </rPr>
      <t>단위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추적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대신</t>
    </r>
    <r>
      <rPr>
        <i/>
        <sz val="9"/>
        <color rgb="FF5F5E5A"/>
        <rFont val="Times New Roman"/>
        <family val="1"/>
      </rPr>
      <t xml:space="preserve"> baseline_id</t>
    </r>
    <r>
      <rPr>
        <i/>
        <sz val="9"/>
        <color rgb="FF5F5E5A"/>
        <rFont val="나눔고딕"/>
        <family val="3"/>
        <charset val="129"/>
      </rPr>
      <t>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행의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기준이며</t>
    </r>
    <r>
      <rPr>
        <i/>
        <sz val="9"/>
        <color rgb="FF5F5E5A"/>
        <rFont val="Times New Roman"/>
        <family val="1"/>
      </rPr>
      <t xml:space="preserve">, </t>
    </r>
    <r>
      <rPr>
        <i/>
        <sz val="9"/>
        <color rgb="FF5F5E5A"/>
        <rFont val="나눔고딕"/>
        <family val="3"/>
        <charset val="129"/>
      </rPr>
      <t>타펌웨어</t>
    </r>
    <r>
      <rPr>
        <i/>
        <sz val="9"/>
        <color rgb="FF5F5E5A"/>
        <rFont val="Times New Roman"/>
        <family val="1"/>
      </rPr>
      <t>_</t>
    </r>
    <r>
      <rPr>
        <i/>
        <sz val="9"/>
        <color rgb="FF5F5E5A"/>
        <rFont val="나눔고딕"/>
        <family val="3"/>
        <charset val="129"/>
      </rPr>
      <t>적용여부</t>
    </r>
    <r>
      <rPr>
        <i/>
        <sz val="9"/>
        <color rgb="FF5F5E5A"/>
        <rFont val="Times New Roman"/>
        <family val="1"/>
      </rPr>
      <t>·</t>
    </r>
    <r>
      <rPr>
        <i/>
        <sz val="9"/>
        <color rgb="FF5F5E5A"/>
        <rFont val="나눔고딕"/>
        <family val="3"/>
        <charset val="129"/>
      </rPr>
      <t>적용범위로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동일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수정이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다른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펌웨어에도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적용되는지와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그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대상을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명시적으로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관리합니다</t>
    </r>
    <r>
      <rPr>
        <i/>
        <sz val="9"/>
        <color rgb="FF5F5E5A"/>
        <rFont val="Times New Roman"/>
        <family val="1"/>
      </rPr>
      <t>. safety_relevant_flag/swe1_ref_id</t>
    </r>
    <r>
      <rPr>
        <i/>
        <sz val="9"/>
        <color rgb="FF5F5E5A"/>
        <rFont val="나눔고딕"/>
        <family val="3"/>
        <charset val="129"/>
      </rPr>
      <t>는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특정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함수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단위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개념이라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템플릿에는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포함하지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않았습니다</t>
    </r>
    <r>
      <rPr>
        <i/>
        <sz val="9"/>
        <color rgb="FF5F5E5A"/>
        <rFont val="Times New Roman"/>
        <family val="1"/>
      </rPr>
      <t>.</t>
    </r>
  </si>
  <si>
    <r>
      <rPr>
        <sz val="10"/>
        <color rgb="FF0000FF"/>
        <rFont val="나눔고딕"/>
        <family val="3"/>
        <charset val="129"/>
      </rPr>
      <t>인스턴스</t>
    </r>
    <r>
      <rPr>
        <sz val="10"/>
        <color rgb="FF0000FF"/>
        <rFont val="Times New Roman"/>
        <family val="1"/>
      </rPr>
      <t>_ICCU</t>
    </r>
  </si>
  <si>
    <r>
      <rPr>
        <sz val="10"/>
        <color rgb="FF0000FF"/>
        <rFont val="나눔고딕"/>
        <family val="3"/>
        <charset val="129"/>
      </rPr>
      <t>개발생산</t>
    </r>
    <r>
      <rPr>
        <sz val="10"/>
        <color rgb="FF0000FF"/>
        <rFont val="Times New Roman"/>
        <family val="1"/>
      </rPr>
      <t>_</t>
    </r>
    <r>
      <rPr>
        <sz val="10"/>
        <color rgb="FF0000FF"/>
        <rFont val="나눔고딕"/>
        <family val="3"/>
        <charset val="129"/>
      </rPr>
      <t>인스턴스</t>
    </r>
  </si>
  <si>
    <r>
      <t>C:\SSoT\instances\</t>
    </r>
    <r>
      <rPr>
        <sz val="10"/>
        <color rgb="FF0000FF"/>
        <rFont val="나눔고딕"/>
        <family val="3"/>
        <charset val="129"/>
      </rPr>
      <t>인스턴스</t>
    </r>
    <r>
      <rPr>
        <sz val="10"/>
        <color rgb="FF0000FF"/>
        <rFont val="Times New Roman"/>
        <family val="1"/>
      </rPr>
      <t>_ICCU.xlsx</t>
    </r>
  </si>
  <si>
    <r>
      <rPr>
        <sz val="10"/>
        <color rgb="FF0000FF"/>
        <rFont val="나눔고딕"/>
        <family val="3"/>
        <charset val="129"/>
      </rPr>
      <t>인스턴스</t>
    </r>
    <r>
      <rPr>
        <sz val="10"/>
        <color rgb="FF0000FF"/>
        <rFont val="Times New Roman"/>
        <family val="1"/>
      </rPr>
      <t>_VCU</t>
    </r>
  </si>
  <si>
    <r>
      <t>C:\SSoT\instances\</t>
    </r>
    <r>
      <rPr>
        <sz val="10"/>
        <color rgb="FF0000FF"/>
        <rFont val="나눔고딕"/>
        <family val="3"/>
        <charset val="129"/>
      </rPr>
      <t>인스턴스</t>
    </r>
    <r>
      <rPr>
        <sz val="10"/>
        <color rgb="FF0000FF"/>
        <rFont val="Times New Roman"/>
        <family val="1"/>
      </rPr>
      <t>_VCU.xlsx</t>
    </r>
  </si>
  <si>
    <r>
      <rPr>
        <sz val="10"/>
        <color rgb="FF0000FF"/>
        <rFont val="나눔고딕"/>
        <family val="3"/>
        <charset val="129"/>
      </rPr>
      <t>인스턴스</t>
    </r>
    <r>
      <rPr>
        <sz val="10"/>
        <color rgb="FF0000FF"/>
        <rFont val="Times New Roman"/>
        <family val="1"/>
      </rPr>
      <t>_BMS</t>
    </r>
  </si>
  <si>
    <r>
      <t>C:\SSoT\instances\</t>
    </r>
    <r>
      <rPr>
        <sz val="10"/>
        <color rgb="FF0000FF"/>
        <rFont val="나눔고딕"/>
        <family val="3"/>
        <charset val="129"/>
      </rPr>
      <t>인스턴스</t>
    </r>
    <r>
      <rPr>
        <sz val="10"/>
        <color rgb="FF0000FF"/>
        <rFont val="Times New Roman"/>
        <family val="1"/>
      </rPr>
      <t>_BMS.xlsx</t>
    </r>
  </si>
  <si>
    <r>
      <rPr>
        <sz val="10"/>
        <color rgb="FF0000FF"/>
        <rFont val="나눔고딕"/>
        <family val="3"/>
        <charset val="129"/>
      </rPr>
      <t>유지보수</t>
    </r>
    <r>
      <rPr>
        <sz val="10"/>
        <color rgb="FF0000FF"/>
        <rFont val="Times New Roman"/>
        <family val="1"/>
      </rPr>
      <t>_VCU_</t>
    </r>
    <r>
      <rPr>
        <sz val="10"/>
        <color rgb="FF0000FF"/>
        <rFont val="나눔고딕"/>
        <family val="3"/>
        <charset val="129"/>
      </rPr>
      <t>함수</t>
    </r>
  </si>
  <si>
    <r>
      <rPr>
        <sz val="10"/>
        <color rgb="FF0000FF"/>
        <rFont val="나눔고딕"/>
        <family val="3"/>
        <charset val="129"/>
      </rPr>
      <t>유지보수</t>
    </r>
    <r>
      <rPr>
        <sz val="10"/>
        <color rgb="FF0000FF"/>
        <rFont val="Times New Roman"/>
        <family val="1"/>
      </rPr>
      <t>_</t>
    </r>
    <r>
      <rPr>
        <sz val="10"/>
        <color rgb="FF0000FF"/>
        <rFont val="나눔고딕"/>
        <family val="3"/>
        <charset val="129"/>
      </rPr>
      <t>함수단위</t>
    </r>
  </si>
  <si>
    <r>
      <t>C:\SSoT\instances\</t>
    </r>
    <r>
      <rPr>
        <sz val="10"/>
        <color rgb="FF0000FF"/>
        <rFont val="나눔고딕"/>
        <family val="3"/>
        <charset val="129"/>
      </rPr>
      <t>유지보수</t>
    </r>
    <r>
      <rPr>
        <sz val="10"/>
        <color rgb="FF0000FF"/>
        <rFont val="Times New Roman"/>
        <family val="1"/>
      </rPr>
      <t>_VCU_</t>
    </r>
    <r>
      <rPr>
        <sz val="10"/>
        <color rgb="FF0000FF"/>
        <rFont val="나눔고딕"/>
        <family val="3"/>
        <charset val="129"/>
      </rPr>
      <t>함수</t>
    </r>
    <r>
      <rPr>
        <sz val="10"/>
        <color rgb="FF0000FF"/>
        <rFont val="Times New Roman"/>
        <family val="1"/>
      </rPr>
      <t>.xlsx</t>
    </r>
  </si>
  <si>
    <r>
      <rPr>
        <sz val="10"/>
        <color rgb="FF0000FF"/>
        <rFont val="나눔고딕"/>
        <family val="3"/>
        <charset val="129"/>
      </rPr>
      <t>유지보수</t>
    </r>
    <r>
      <rPr>
        <sz val="10"/>
        <color rgb="FF0000FF"/>
        <rFont val="Times New Roman"/>
        <family val="1"/>
      </rPr>
      <t>_VCU_</t>
    </r>
    <r>
      <rPr>
        <sz val="10"/>
        <color rgb="FF0000FF"/>
        <rFont val="나눔고딕"/>
        <family val="3"/>
        <charset val="129"/>
      </rPr>
      <t>펌웨어</t>
    </r>
  </si>
  <si>
    <r>
      <rPr>
        <sz val="10"/>
        <color rgb="FF0000FF"/>
        <rFont val="나눔고딕"/>
        <family val="3"/>
        <charset val="129"/>
      </rPr>
      <t>유지보수</t>
    </r>
    <r>
      <rPr>
        <sz val="10"/>
        <color rgb="FF0000FF"/>
        <rFont val="Times New Roman"/>
        <family val="1"/>
      </rPr>
      <t>_</t>
    </r>
    <r>
      <rPr>
        <sz val="10"/>
        <color rgb="FF0000FF"/>
        <rFont val="나눔고딕"/>
        <family val="3"/>
        <charset val="129"/>
      </rPr>
      <t>펌웨어단위</t>
    </r>
  </si>
  <si>
    <r>
      <t>C:\SSoT\instances\</t>
    </r>
    <r>
      <rPr>
        <sz val="10"/>
        <color rgb="FF0000FF"/>
        <rFont val="나눔고딕"/>
        <family val="3"/>
        <charset val="129"/>
      </rPr>
      <t>유지보수</t>
    </r>
    <r>
      <rPr>
        <sz val="10"/>
        <color rgb="FF0000FF"/>
        <rFont val="Times New Roman"/>
        <family val="1"/>
      </rPr>
      <t>_VCU_</t>
    </r>
    <r>
      <rPr>
        <sz val="10"/>
        <color rgb="FF0000FF"/>
        <rFont val="나눔고딕"/>
        <family val="3"/>
        <charset val="129"/>
      </rPr>
      <t>펌웨어</t>
    </r>
    <r>
      <rPr>
        <sz val="10"/>
        <color rgb="FF0000FF"/>
        <rFont val="Times New Roman"/>
        <family val="1"/>
      </rPr>
      <t>.xlsx</t>
    </r>
  </si>
  <si>
    <r>
      <rPr>
        <b/>
        <sz val="10"/>
        <rFont val="나눔고딕"/>
        <family val="3"/>
        <charset val="129"/>
      </rPr>
      <t>변경일시</t>
    </r>
  </si>
  <si>
    <r>
      <rPr>
        <b/>
        <sz val="10"/>
        <rFont val="나눔고딕"/>
        <family val="3"/>
        <charset val="129"/>
      </rPr>
      <t>변경유형</t>
    </r>
  </si>
  <si>
    <r>
      <rPr>
        <b/>
        <sz val="10"/>
        <rFont val="나눔고딕"/>
        <family val="3"/>
        <charset val="129"/>
      </rPr>
      <t>이전상태</t>
    </r>
  </si>
  <si>
    <r>
      <rPr>
        <b/>
        <sz val="10"/>
        <rFont val="나눔고딕"/>
        <family val="3"/>
        <charset val="129"/>
      </rPr>
      <t>신규상태</t>
    </r>
  </si>
  <si>
    <r>
      <rPr>
        <b/>
        <sz val="10"/>
        <rFont val="나눔고딕"/>
        <family val="3"/>
        <charset val="129"/>
      </rPr>
      <t>변경사유</t>
    </r>
  </si>
  <si>
    <r>
      <rPr>
        <b/>
        <sz val="10"/>
        <rFont val="나눔고딕"/>
        <family val="3"/>
        <charset val="129"/>
      </rPr>
      <t>전파대상수</t>
    </r>
  </si>
  <si>
    <r>
      <rPr>
        <b/>
        <sz val="10"/>
        <rFont val="나눔고딕"/>
        <family val="3"/>
        <charset val="129"/>
      </rPr>
      <t>전파완료일시</t>
    </r>
  </si>
  <si>
    <r>
      <rPr>
        <b/>
        <sz val="10"/>
        <rFont val="나눔고딕"/>
        <family val="3"/>
        <charset val="129"/>
      </rPr>
      <t>담당자</t>
    </r>
  </si>
  <si>
    <r>
      <rPr>
        <sz val="10"/>
        <color rgb="FF0000FF"/>
        <rFont val="나눔고딕"/>
        <family val="3"/>
        <charset val="129"/>
      </rPr>
      <t>필드추가</t>
    </r>
  </si>
  <si>
    <r>
      <t>(</t>
    </r>
    <r>
      <rPr>
        <sz val="10"/>
        <color rgb="FF0000FF"/>
        <rFont val="나눔고딕"/>
        <family val="3"/>
        <charset val="129"/>
      </rPr>
      <t>없음</t>
    </r>
    <r>
      <rPr>
        <sz val="10"/>
        <color rgb="FF0000FF"/>
        <rFont val="Times New Roman"/>
        <family val="1"/>
      </rPr>
      <t>)</t>
    </r>
  </si>
  <si>
    <r>
      <t xml:space="preserve">internal_vuln_id </t>
    </r>
    <r>
      <rPr>
        <sz val="10"/>
        <color rgb="FF0000FF"/>
        <rFont val="나눔고딕"/>
        <family val="3"/>
        <charset val="129"/>
      </rPr>
      <t>열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추가</t>
    </r>
  </si>
  <si>
    <r>
      <t xml:space="preserve">self </t>
    </r>
    <r>
      <rPr>
        <sz val="10"/>
        <color rgb="FF0000FF"/>
        <rFont val="나눔고딕"/>
        <family val="3"/>
        <charset val="129"/>
      </rPr>
      <t>컴포넌트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자체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결함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추적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필요</t>
    </r>
  </si>
  <si>
    <r>
      <rPr>
        <sz val="10"/>
        <color rgb="FF0000FF"/>
        <rFont val="나눔고딕"/>
        <family val="3"/>
        <charset val="129"/>
      </rPr>
      <t>홍길동</t>
    </r>
  </si>
  <si>
    <r>
      <rPr>
        <b/>
        <sz val="10"/>
        <rFont val="나눔고딕"/>
        <family val="3"/>
        <charset val="129"/>
      </rPr>
      <t>분기일</t>
    </r>
  </si>
  <si>
    <r>
      <rPr>
        <b/>
        <sz val="10"/>
        <rFont val="나눔고딕"/>
        <family val="3"/>
        <charset val="129"/>
      </rPr>
      <t>사유</t>
    </r>
  </si>
  <si>
    <r>
      <t xml:space="preserve">MCU </t>
    </r>
    <r>
      <rPr>
        <sz val="10"/>
        <color rgb="FF0000FF"/>
        <rFont val="나눔고딕"/>
        <family val="3"/>
        <charset val="129"/>
      </rPr>
      <t>파생개발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착수</t>
    </r>
    <r>
      <rPr>
        <sz val="10"/>
        <color rgb="FF0000FF"/>
        <rFont val="Times New Roman"/>
        <family val="1"/>
      </rPr>
      <t xml:space="preserve"> — VCU </t>
    </r>
    <r>
      <rPr>
        <sz val="10"/>
        <color rgb="FF0000FF"/>
        <rFont val="나눔고딕"/>
        <family val="3"/>
        <charset val="129"/>
      </rPr>
      <t>애플리케이션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로직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재사용</t>
    </r>
  </si>
  <si>
    <r>
      <rPr>
        <i/>
        <sz val="9"/>
        <color rgb="FF5F5E5A"/>
        <rFont val="나눔고딕"/>
        <family val="3"/>
        <charset val="129"/>
      </rPr>
      <t>※</t>
    </r>
    <r>
      <rPr>
        <i/>
        <sz val="9"/>
        <color rgb="FF5F5E5A"/>
        <rFont val="Times New Roman"/>
        <family val="1"/>
      </rPr>
      <t xml:space="preserve"> baseline</t>
    </r>
    <r>
      <rPr>
        <i/>
        <sz val="9"/>
        <color rgb="FF5F5E5A"/>
        <rFont val="나눔고딕"/>
        <family val="3"/>
        <charset val="129"/>
      </rPr>
      <t>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여러</t>
    </r>
    <r>
      <rPr>
        <i/>
        <sz val="9"/>
        <color rgb="FF5F5E5A"/>
        <rFont val="Times New Roman"/>
        <family val="1"/>
      </rPr>
      <t xml:space="preserve"> SW_ID</t>
    </r>
    <r>
      <rPr>
        <i/>
        <sz val="9"/>
        <color rgb="FF5F5E5A"/>
        <rFont val="나눔고딕"/>
        <family val="3"/>
        <charset val="129"/>
      </rPr>
      <t>에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걸친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상위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개념이므로</t>
    </r>
    <r>
      <rPr>
        <i/>
        <sz val="9"/>
        <color rgb="FF5F5E5A"/>
        <rFont val="Times New Roman"/>
        <family val="1"/>
      </rPr>
      <t xml:space="preserve">, </t>
    </r>
    <r>
      <rPr>
        <i/>
        <sz val="9"/>
        <color rgb="FF5F5E5A"/>
        <rFont val="나눔고딕"/>
        <family val="3"/>
        <charset val="129"/>
      </rPr>
      <t>계보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정보는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인스턴스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행마다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중복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저장하지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않고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표에서</t>
    </r>
    <r>
      <rPr>
        <i/>
        <sz val="9"/>
        <color rgb="FF5F5E5A"/>
        <rFont val="Times New Roman"/>
        <family val="1"/>
      </rPr>
      <t xml:space="preserve"> baseline </t>
    </r>
    <r>
      <rPr>
        <i/>
        <sz val="9"/>
        <color rgb="FF5F5E5A"/>
        <rFont val="나눔고딕"/>
        <family val="3"/>
        <charset val="129"/>
      </rPr>
      <t>단위로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번만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기록합니다</t>
    </r>
    <r>
      <rPr>
        <i/>
        <sz val="9"/>
        <color rgb="FF5F5E5A"/>
        <rFont val="Times New Roman"/>
        <family val="1"/>
      </rPr>
      <t>. derived_from_baseline_id/derived_from_controller_id</t>
    </r>
    <r>
      <rPr>
        <i/>
        <sz val="9"/>
        <color rgb="FF5F5E5A"/>
        <rFont val="나눔고딕"/>
        <family val="3"/>
        <charset val="129"/>
      </rPr>
      <t>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공란이면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신규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개발</t>
    </r>
    <r>
      <rPr>
        <i/>
        <sz val="9"/>
        <color rgb="FF5F5E5A"/>
        <rFont val="Times New Roman"/>
        <family val="1"/>
      </rPr>
      <t>(</t>
    </r>
    <r>
      <rPr>
        <i/>
        <sz val="9"/>
        <color rgb="FF5F5E5A"/>
        <rFont val="나눔고딕"/>
        <family val="3"/>
        <charset val="129"/>
      </rPr>
      <t>포크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아님</t>
    </r>
    <r>
      <rPr>
        <i/>
        <sz val="9"/>
        <color rgb="FF5F5E5A"/>
        <rFont val="Times New Roman"/>
        <family val="1"/>
      </rPr>
      <t>)</t>
    </r>
    <r>
      <rPr>
        <i/>
        <sz val="9"/>
        <color rgb="FF5F5E5A"/>
        <rFont val="나눔고딕"/>
        <family val="3"/>
        <charset val="129"/>
      </rPr>
      <t>을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의미합니다</t>
    </r>
    <r>
      <rPr>
        <i/>
        <sz val="9"/>
        <color rgb="FF5F5E5A"/>
        <rFont val="Times New Roman"/>
        <family val="1"/>
      </rPr>
      <t xml:space="preserve">. </t>
    </r>
    <r>
      <rPr>
        <i/>
        <sz val="9"/>
        <color rgb="FF5F5E5A"/>
        <rFont val="나눔고딕"/>
        <family val="3"/>
        <charset val="129"/>
      </rPr>
      <t>원본</t>
    </r>
    <r>
      <rPr>
        <i/>
        <sz val="9"/>
        <color rgb="FF5F5E5A"/>
        <rFont val="Times New Roman"/>
        <family val="1"/>
      </rPr>
      <t xml:space="preserve"> baseline</t>
    </r>
    <r>
      <rPr>
        <i/>
        <sz val="9"/>
        <color rgb="FF5F5E5A"/>
        <rFont val="나눔고딕"/>
        <family val="3"/>
        <charset val="129"/>
      </rPr>
      <t>에서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결함</t>
    </r>
    <r>
      <rPr>
        <i/>
        <sz val="9"/>
        <color rgb="FF5F5E5A"/>
        <rFont val="Times New Roman"/>
        <family val="1"/>
      </rPr>
      <t>/CVE</t>
    </r>
    <r>
      <rPr>
        <i/>
        <sz val="9"/>
        <color rgb="FF5F5E5A"/>
        <rFont val="나눔고딕"/>
        <family val="3"/>
        <charset val="129"/>
      </rPr>
      <t>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발견되면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표를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따라가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파생</t>
    </r>
    <r>
      <rPr>
        <i/>
        <sz val="9"/>
        <color rgb="FF5F5E5A"/>
        <rFont val="Times New Roman"/>
        <family val="1"/>
      </rPr>
      <t xml:space="preserve"> baseline</t>
    </r>
    <r>
      <rPr>
        <i/>
        <sz val="9"/>
        <color rgb="FF5F5E5A"/>
        <rFont val="나눔고딕"/>
        <family val="3"/>
        <charset val="129"/>
      </rPr>
      <t>에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상속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여부를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점검할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수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있습니다</t>
    </r>
    <r>
      <rPr>
        <i/>
        <sz val="9"/>
        <color rgb="FF5F5E5A"/>
        <rFont val="Times New Roman"/>
        <family val="1"/>
      </rPr>
      <t>.</t>
    </r>
  </si>
  <si>
    <r>
      <rPr>
        <b/>
        <sz val="10"/>
        <rFont val="나눔고딕"/>
        <family val="3"/>
        <charset val="129"/>
      </rPr>
      <t>현상</t>
    </r>
    <r>
      <rPr>
        <b/>
        <sz val="10"/>
        <rFont val="Times New Roman"/>
        <family val="1"/>
      </rPr>
      <t xml:space="preserve"> (sync_status </t>
    </r>
    <r>
      <rPr>
        <b/>
        <sz val="10"/>
        <rFont val="나눔고딕"/>
        <family val="3"/>
        <charset val="129"/>
      </rPr>
      <t>등</t>
    </r>
    <r>
      <rPr>
        <b/>
        <sz val="10"/>
        <rFont val="Times New Roman"/>
        <family val="1"/>
      </rPr>
      <t>)</t>
    </r>
  </si>
  <si>
    <r>
      <rPr>
        <b/>
        <sz val="10"/>
        <rFont val="나눔고딕"/>
        <family val="3"/>
        <charset val="129"/>
      </rPr>
      <t>의미</t>
    </r>
  </si>
  <si>
    <r>
      <rPr>
        <b/>
        <sz val="10"/>
        <rFont val="나눔고딕"/>
        <family val="3"/>
        <charset val="129"/>
      </rPr>
      <t>발생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원인</t>
    </r>
  </si>
  <si>
    <r>
      <rPr>
        <b/>
        <sz val="10"/>
        <rFont val="나눔고딕"/>
        <family val="3"/>
        <charset val="129"/>
      </rPr>
      <t>조치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방법</t>
    </r>
  </si>
  <si>
    <r>
      <rPr>
        <b/>
        <sz val="10"/>
        <rFont val="나눔고딕"/>
        <family val="3"/>
        <charset val="129"/>
      </rPr>
      <t>우선순위</t>
    </r>
  </si>
  <si>
    <r>
      <rPr>
        <sz val="10"/>
        <color rgb="FF0000FF"/>
        <rFont val="나눔고딕"/>
        <family val="3"/>
        <charset val="129"/>
      </rPr>
      <t>동기화됨</t>
    </r>
  </si>
  <si>
    <r>
      <rPr>
        <sz val="10"/>
        <color rgb="FF0000FF"/>
        <rFont val="나눔고딕"/>
        <family val="3"/>
        <charset val="129"/>
      </rPr>
      <t>정상</t>
    </r>
  </si>
  <si>
    <r>
      <rPr>
        <sz val="10"/>
        <color rgb="FF0000FF"/>
        <rFont val="나눔고딕"/>
        <family val="3"/>
        <charset val="129"/>
      </rPr>
      <t>조치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불필요</t>
    </r>
  </si>
  <si>
    <r>
      <rPr>
        <sz val="10"/>
        <color rgb="FF0000FF"/>
        <rFont val="나눔고딕"/>
        <family val="3"/>
        <charset val="129"/>
      </rPr>
      <t>헤더불일치</t>
    </r>
  </si>
  <si>
    <r>
      <rPr>
        <sz val="10"/>
        <color rgb="FF0000FF"/>
        <rFont val="나눔고딕"/>
        <family val="3"/>
        <charset val="129"/>
      </rPr>
      <t>이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파일은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이번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동기화에서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제외됨</t>
    </r>
  </si>
  <si>
    <r>
      <rPr>
        <sz val="10"/>
        <color rgb="FF0000FF"/>
        <rFont val="나눔고딕"/>
        <family val="3"/>
        <charset val="129"/>
      </rPr>
      <t>컬럼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수동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재배치</t>
    </r>
    <r>
      <rPr>
        <sz val="10"/>
        <color rgb="FF0000FF"/>
        <rFont val="Times New Roman"/>
        <family val="1"/>
      </rPr>
      <t>·</t>
    </r>
    <r>
      <rPr>
        <sz val="10"/>
        <color rgb="FF0000FF"/>
        <rFont val="나눔고딕"/>
        <family val="3"/>
        <charset val="129"/>
      </rPr>
      <t>삽입</t>
    </r>
    <r>
      <rPr>
        <sz val="10"/>
        <color rgb="FF0000FF"/>
        <rFont val="Times New Roman"/>
        <family val="1"/>
      </rPr>
      <t>/</t>
    </r>
    <r>
      <rPr>
        <sz val="10"/>
        <color rgb="FF0000FF"/>
        <rFont val="나눔고딕"/>
        <family val="3"/>
        <charset val="129"/>
      </rPr>
      <t>삭제</t>
    </r>
    <r>
      <rPr>
        <sz val="10"/>
        <color rgb="FF0000FF"/>
        <rFont val="Times New Roman"/>
        <family val="1"/>
      </rPr>
      <t xml:space="preserve">, </t>
    </r>
    <r>
      <rPr>
        <sz val="10"/>
        <color rgb="FF0000FF"/>
        <rFont val="나눔고딕"/>
        <family val="3"/>
        <charset val="129"/>
      </rPr>
      <t>헤더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오탈자</t>
    </r>
    <r>
      <rPr>
        <sz val="10"/>
        <color rgb="FF0000FF"/>
        <rFont val="Times New Roman"/>
        <family val="1"/>
      </rPr>
      <t>·</t>
    </r>
    <r>
      <rPr>
        <sz val="10"/>
        <color rgb="FF0000FF"/>
        <rFont val="나눔고딕"/>
        <family val="3"/>
        <charset val="129"/>
      </rPr>
      <t>공백</t>
    </r>
    <r>
      <rPr>
        <sz val="10"/>
        <color rgb="FF0000FF"/>
        <rFont val="Times New Roman"/>
        <family val="1"/>
      </rPr>
      <t xml:space="preserve">, </t>
    </r>
    <r>
      <rPr>
        <sz val="10"/>
        <color rgb="FF0000FF"/>
        <rFont val="나눔고딕"/>
        <family val="3"/>
        <charset val="129"/>
      </rPr>
      <t>스키마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갱신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후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파일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미갱신</t>
    </r>
    <r>
      <rPr>
        <sz val="10"/>
        <color rgb="FF0000FF"/>
        <rFont val="Times New Roman"/>
        <family val="1"/>
      </rPr>
      <t>(</t>
    </r>
    <r>
      <rPr>
        <sz val="10"/>
        <color rgb="FF0000FF"/>
        <rFont val="나눔고딕"/>
        <family val="3"/>
        <charset val="129"/>
      </rPr>
      <t>드리프트</t>
    </r>
    <r>
      <rPr>
        <sz val="10"/>
        <color rgb="FF0000FF"/>
        <rFont val="Times New Roman"/>
        <family val="1"/>
      </rPr>
      <t>)</t>
    </r>
  </si>
  <si>
    <r>
      <t xml:space="preserve">PropagateSampleSchema </t>
    </r>
    <r>
      <rPr>
        <sz val="10"/>
        <color rgb="FF0000FF"/>
        <rFont val="나눔고딕"/>
        <family val="3"/>
        <charset val="129"/>
      </rPr>
      <t>실행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→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그래도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안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되면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헤더를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인스턴스</t>
    </r>
    <r>
      <rPr>
        <sz val="10"/>
        <color rgb="FF0000FF"/>
        <rFont val="Times New Roman"/>
        <family val="1"/>
      </rPr>
      <t>_SAMPLE</t>
    </r>
    <r>
      <rPr>
        <sz val="10"/>
        <color rgb="FF0000FF"/>
        <rFont val="나눔고딕"/>
        <family val="3"/>
        <charset val="129"/>
      </rPr>
      <t>과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육안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대조</t>
    </r>
  </si>
  <si>
    <r>
      <rPr>
        <sz val="10"/>
        <color rgb="FF0000FF"/>
        <rFont val="나눔고딕"/>
        <family val="3"/>
        <charset val="129"/>
      </rPr>
      <t>높음</t>
    </r>
  </si>
  <si>
    <r>
      <rPr>
        <sz val="10"/>
        <color rgb="FF0000FF"/>
        <rFont val="나눔고딕"/>
        <family val="3"/>
        <charset val="129"/>
      </rPr>
      <t>파일없음</t>
    </r>
  </si>
  <si>
    <r>
      <rPr>
        <sz val="10"/>
        <color rgb="FF0000FF"/>
        <rFont val="나눔고딕"/>
        <family val="3"/>
        <charset val="129"/>
      </rPr>
      <t>경로의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파일을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찾을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수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없음</t>
    </r>
  </si>
  <si>
    <r>
      <rPr>
        <sz val="10"/>
        <color rgb="FF0000FF"/>
        <rFont val="나눔고딕"/>
        <family val="3"/>
        <charset val="129"/>
      </rPr>
      <t>경로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오류</t>
    </r>
    <r>
      <rPr>
        <sz val="10"/>
        <color rgb="FF0000FF"/>
        <rFont val="Times New Roman"/>
        <family val="1"/>
      </rPr>
      <t xml:space="preserve">, </t>
    </r>
    <r>
      <rPr>
        <sz val="10"/>
        <color rgb="FF0000FF"/>
        <rFont val="나눔고딕"/>
        <family val="3"/>
        <charset val="129"/>
      </rPr>
      <t>파일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이동</t>
    </r>
    <r>
      <rPr>
        <sz val="10"/>
        <color rgb="FF0000FF"/>
        <rFont val="Times New Roman"/>
        <family val="1"/>
      </rPr>
      <t>/</t>
    </r>
    <r>
      <rPr>
        <sz val="10"/>
        <color rgb="FF0000FF"/>
        <rFont val="나눔고딕"/>
        <family val="3"/>
        <charset val="129"/>
      </rPr>
      <t>삭제</t>
    </r>
    <r>
      <rPr>
        <sz val="10"/>
        <color rgb="FF0000FF"/>
        <rFont val="Times New Roman"/>
        <family val="1"/>
      </rPr>
      <t xml:space="preserve">, </t>
    </r>
    <r>
      <rPr>
        <sz val="10"/>
        <color rgb="FF0000FF"/>
        <rFont val="나눔고딕"/>
        <family val="3"/>
        <charset val="129"/>
      </rPr>
      <t>네트워크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드라이브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연결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끊김</t>
    </r>
  </si>
  <si>
    <r>
      <rPr>
        <sz val="10"/>
        <color rgb="FF0000FF"/>
        <rFont val="나눔고딕"/>
        <family val="3"/>
        <charset val="129"/>
      </rPr>
      <t>인스턴스</t>
    </r>
    <r>
      <rPr>
        <sz val="10"/>
        <color rgb="FF0000FF"/>
        <rFont val="Times New Roman"/>
        <family val="1"/>
      </rPr>
      <t>_</t>
    </r>
    <r>
      <rPr>
        <sz val="10"/>
        <color rgb="FF0000FF"/>
        <rFont val="나눔고딕"/>
        <family val="3"/>
        <charset val="129"/>
      </rPr>
      <t>목록의</t>
    </r>
    <r>
      <rPr>
        <sz val="10"/>
        <color rgb="FF0000FF"/>
        <rFont val="Times New Roman"/>
        <family val="1"/>
      </rPr>
      <t xml:space="preserve"> file_path</t>
    </r>
    <r>
      <rPr>
        <sz val="10"/>
        <color rgb="FF0000FF"/>
        <rFont val="나눔고딕"/>
        <family val="3"/>
        <charset val="129"/>
      </rPr>
      <t>를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실제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위치로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수정</t>
    </r>
  </si>
  <si>
    <r>
      <rPr>
        <sz val="10"/>
        <color rgb="FF0000FF"/>
        <rFont val="나눔고딕"/>
        <family val="3"/>
        <charset val="129"/>
      </rPr>
      <t>오류</t>
    </r>
    <r>
      <rPr>
        <sz val="10"/>
        <color rgb="FF0000FF"/>
        <rFont val="Times New Roman"/>
        <family val="1"/>
      </rPr>
      <t>(</t>
    </r>
    <r>
      <rPr>
        <sz val="10"/>
        <color rgb="FF0000FF"/>
        <rFont val="나눔고딕"/>
        <family val="3"/>
        <charset val="129"/>
      </rPr>
      <t>시트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확인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필요</t>
    </r>
    <r>
      <rPr>
        <sz val="10"/>
        <color rgb="FF0000FF"/>
        <rFont val="Times New Roman"/>
        <family val="1"/>
      </rPr>
      <t>)</t>
    </r>
  </si>
  <si>
    <r>
      <rPr>
        <sz val="10"/>
        <color rgb="FF0000FF"/>
        <rFont val="나눔고딕"/>
        <family val="3"/>
        <charset val="129"/>
      </rPr>
      <t>지정한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시트명이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파일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내에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없음</t>
    </r>
  </si>
  <si>
    <r>
      <rPr>
        <sz val="10"/>
        <color rgb="FF0000FF"/>
        <rFont val="나눔고딕"/>
        <family val="3"/>
        <charset val="129"/>
      </rPr>
      <t>시트명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변경</t>
    </r>
    <r>
      <rPr>
        <sz val="10"/>
        <color rgb="FF0000FF"/>
        <rFont val="Times New Roman"/>
        <family val="1"/>
      </rPr>
      <t>/</t>
    </r>
    <r>
      <rPr>
        <sz val="10"/>
        <color rgb="FF0000FF"/>
        <rFont val="나눔고딕"/>
        <family val="3"/>
        <charset val="129"/>
      </rPr>
      <t>삭제</t>
    </r>
  </si>
  <si>
    <r>
      <rPr>
        <sz val="10"/>
        <color rgb="FF0000FF"/>
        <rFont val="나눔고딕"/>
        <family val="3"/>
        <charset val="129"/>
      </rPr>
      <t>인스턴스</t>
    </r>
    <r>
      <rPr>
        <sz val="10"/>
        <color rgb="FF0000FF"/>
        <rFont val="Times New Roman"/>
        <family val="1"/>
      </rPr>
      <t>_</t>
    </r>
    <r>
      <rPr>
        <sz val="10"/>
        <color rgb="FF0000FF"/>
        <rFont val="나눔고딕"/>
        <family val="3"/>
        <charset val="129"/>
      </rPr>
      <t>목록의</t>
    </r>
    <r>
      <rPr>
        <sz val="10"/>
        <color rgb="FF0000FF"/>
        <rFont val="Times New Roman"/>
        <family val="1"/>
      </rPr>
      <t xml:space="preserve"> sheet_name </t>
    </r>
    <r>
      <rPr>
        <sz val="10"/>
        <color rgb="FF0000FF"/>
        <rFont val="나눔고딕"/>
        <family val="3"/>
        <charset val="129"/>
      </rPr>
      <t>수정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또는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파일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내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시트명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복구</t>
    </r>
  </si>
  <si>
    <r>
      <rPr>
        <sz val="10"/>
        <color rgb="FF0000FF"/>
        <rFont val="나눔고딕"/>
        <family val="3"/>
        <charset val="129"/>
      </rPr>
      <t>중간</t>
    </r>
  </si>
  <si>
    <r>
      <rPr>
        <sz val="10"/>
        <color rgb="FF0000FF"/>
        <rFont val="나눔고딕"/>
        <family val="3"/>
        <charset val="129"/>
      </rPr>
      <t>인스턴스</t>
    </r>
    <r>
      <rPr>
        <sz val="10"/>
        <color rgb="FF0000FF"/>
        <rFont val="Times New Roman"/>
        <family val="1"/>
      </rPr>
      <t>_</t>
    </r>
    <r>
      <rPr>
        <sz val="10"/>
        <color rgb="FF0000FF"/>
        <rFont val="나눔고딕"/>
        <family val="3"/>
        <charset val="129"/>
      </rPr>
      <t>통합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행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회색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처리</t>
    </r>
  </si>
  <si>
    <r>
      <rPr>
        <sz val="10"/>
        <color rgb="FF0000FF"/>
        <rFont val="나눔고딕"/>
        <family val="3"/>
        <charset val="129"/>
      </rPr>
      <t>외부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파일에서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해당</t>
    </r>
    <r>
      <rPr>
        <sz val="10"/>
        <color rgb="FF0000FF"/>
        <rFont val="Times New Roman"/>
        <family val="1"/>
      </rPr>
      <t xml:space="preserve"> SW_ID</t>
    </r>
    <r>
      <rPr>
        <sz val="10"/>
        <color rgb="FF0000FF"/>
        <rFont val="나눔고딕"/>
        <family val="3"/>
        <charset val="129"/>
      </rPr>
      <t>가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사라짐</t>
    </r>
    <r>
      <rPr>
        <sz val="10"/>
        <color rgb="FF0000FF"/>
        <rFont val="Times New Roman"/>
        <family val="1"/>
      </rPr>
      <t>(</t>
    </r>
    <r>
      <rPr>
        <sz val="10"/>
        <color rgb="FF0000FF"/>
        <rFont val="나눔고딕"/>
        <family val="3"/>
        <charset val="129"/>
      </rPr>
      <t>삭제하지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않고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보존</t>
    </r>
    <r>
      <rPr>
        <sz val="10"/>
        <color rgb="FF0000FF"/>
        <rFont val="Times New Roman"/>
        <family val="1"/>
      </rPr>
      <t>)</t>
    </r>
  </si>
  <si>
    <r>
      <rPr>
        <sz val="10"/>
        <color rgb="FF0000FF"/>
        <rFont val="나눔고딕"/>
        <family val="3"/>
        <charset val="129"/>
      </rPr>
      <t>의도된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삭제이거나</t>
    </r>
    <r>
      <rPr>
        <sz val="10"/>
        <color rgb="FF0000FF"/>
        <rFont val="Times New Roman"/>
        <family val="1"/>
      </rPr>
      <t xml:space="preserve">, </t>
    </r>
    <r>
      <rPr>
        <sz val="10"/>
        <color rgb="FF0000FF"/>
        <rFont val="나눔고딕"/>
        <family val="3"/>
        <charset val="129"/>
      </rPr>
      <t>실수로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행이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지워짐</t>
    </r>
  </si>
  <si>
    <r>
      <rPr>
        <sz val="10"/>
        <color rgb="FF0000FF"/>
        <rFont val="나눔고딕"/>
        <family val="3"/>
        <charset val="129"/>
      </rPr>
      <t>의도된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삭제면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그대로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두거나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수동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삭제</t>
    </r>
    <r>
      <rPr>
        <sz val="10"/>
        <color rgb="FF0000FF"/>
        <rFont val="Times New Roman"/>
        <family val="1"/>
      </rPr>
      <t xml:space="preserve"> / </t>
    </r>
    <r>
      <rPr>
        <sz val="10"/>
        <color rgb="FF0000FF"/>
        <rFont val="나눔고딕"/>
        <family val="3"/>
        <charset val="129"/>
      </rPr>
      <t>실수라면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외부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파일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복구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후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재동기화</t>
    </r>
  </si>
  <si>
    <r>
      <rPr>
        <sz val="10"/>
        <color rgb="FF0000FF"/>
        <rFont val="나눔고딕"/>
        <family val="3"/>
        <charset val="129"/>
      </rPr>
      <t>전파완료</t>
    </r>
    <r>
      <rPr>
        <sz val="10"/>
        <color rgb="FF0000FF"/>
        <rFont val="Times New Roman"/>
        <family val="1"/>
      </rPr>
      <t>(N</t>
    </r>
    <r>
      <rPr>
        <sz val="10"/>
        <color rgb="FF0000FF"/>
        <rFont val="나눔고딕"/>
        <family val="3"/>
        <charset val="129"/>
      </rPr>
      <t>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필드</t>
    </r>
    <r>
      <rPr>
        <sz val="10"/>
        <color rgb="FF0000FF"/>
        <rFont val="Times New Roman"/>
        <family val="1"/>
      </rPr>
      <t>)</t>
    </r>
  </si>
  <si>
    <r>
      <rPr>
        <sz val="10"/>
        <color rgb="FF0000FF"/>
        <rFont val="나눔고딕"/>
        <family val="3"/>
        <charset val="129"/>
      </rPr>
      <t>정상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동작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로그</t>
    </r>
  </si>
  <si>
    <r>
      <t>PropagateSampleSchema</t>
    </r>
    <r>
      <rPr>
        <sz val="10"/>
        <color rgb="FF0000FF"/>
        <rFont val="나눔고딕"/>
        <family val="3"/>
        <charset val="129"/>
      </rPr>
      <t>가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신규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필드를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반영함</t>
    </r>
  </si>
  <si>
    <r>
      <t>SAMPLE_</t>
    </r>
    <r>
      <rPr>
        <sz val="10"/>
        <color rgb="FF0000FF"/>
        <rFont val="나눔고딕"/>
        <family val="3"/>
        <charset val="129"/>
      </rPr>
      <t>변경이력에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대응하는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변경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항목이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있는지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확인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권장</t>
    </r>
  </si>
  <si>
    <r>
      <rPr>
        <sz val="10"/>
        <color rgb="FF0000FF"/>
        <rFont val="나눔고딕"/>
        <family val="3"/>
        <charset val="129"/>
      </rPr>
      <t>낮음</t>
    </r>
  </si>
  <si>
    <r>
      <rPr>
        <b/>
        <sz val="11"/>
        <rFont val="나눔고딕"/>
        <family val="3"/>
        <charset val="129"/>
      </rPr>
      <t>역할별</t>
    </r>
    <r>
      <rPr>
        <b/>
        <sz val="11"/>
        <rFont val="Times New Roman"/>
        <family val="1"/>
      </rPr>
      <t xml:space="preserve"> </t>
    </r>
    <r>
      <rPr>
        <b/>
        <sz val="11"/>
        <rFont val="나눔고딕"/>
        <family val="3"/>
        <charset val="129"/>
      </rPr>
      <t>실행</t>
    </r>
    <r>
      <rPr>
        <b/>
        <sz val="11"/>
        <rFont val="Times New Roman"/>
        <family val="1"/>
      </rPr>
      <t xml:space="preserve"> </t>
    </r>
    <r>
      <rPr>
        <b/>
        <sz val="11"/>
        <rFont val="나눔고딕"/>
        <family val="3"/>
        <charset val="129"/>
      </rPr>
      <t>주체</t>
    </r>
  </si>
  <si>
    <r>
      <rPr>
        <b/>
        <sz val="10"/>
        <rFont val="나눔고딕"/>
        <family val="3"/>
        <charset val="129"/>
      </rPr>
      <t>작업</t>
    </r>
  </si>
  <si>
    <r>
      <rPr>
        <b/>
        <sz val="10"/>
        <rFont val="나눔고딕"/>
        <family val="3"/>
        <charset val="129"/>
      </rPr>
      <t>주기</t>
    </r>
    <r>
      <rPr>
        <b/>
        <sz val="10"/>
        <rFont val="Times New Roman"/>
        <family val="1"/>
      </rPr>
      <t>/</t>
    </r>
    <r>
      <rPr>
        <b/>
        <sz val="10"/>
        <rFont val="나눔고딕"/>
        <family val="3"/>
        <charset val="129"/>
      </rPr>
      <t>트리거</t>
    </r>
  </si>
  <si>
    <r>
      <rPr>
        <b/>
        <sz val="10"/>
        <rFont val="나눔고딕"/>
        <family val="3"/>
        <charset val="129"/>
      </rPr>
      <t>담당</t>
    </r>
  </si>
  <si>
    <r>
      <t xml:space="preserve">SyncInstances </t>
    </r>
    <r>
      <rPr>
        <sz val="10"/>
        <color rgb="FF0000FF"/>
        <rFont val="나눔고딕"/>
        <family val="3"/>
        <charset val="129"/>
      </rPr>
      <t>실행</t>
    </r>
  </si>
  <si>
    <r>
      <rPr>
        <sz val="10"/>
        <color rgb="FF0000FF"/>
        <rFont val="나눔고딕"/>
        <family val="3"/>
        <charset val="129"/>
      </rPr>
      <t>주간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정기</t>
    </r>
    <r>
      <rPr>
        <sz val="10"/>
        <color rgb="FF0000FF"/>
        <rFont val="Times New Roman"/>
        <family val="1"/>
      </rPr>
      <t xml:space="preserve"> + CVE </t>
    </r>
    <r>
      <rPr>
        <sz val="10"/>
        <color rgb="FF0000FF"/>
        <rFont val="나눔고딕"/>
        <family val="3"/>
        <charset val="129"/>
      </rPr>
      <t>공표</t>
    </r>
    <r>
      <rPr>
        <sz val="10"/>
        <color rgb="FF0000FF"/>
        <rFont val="Times New Roman"/>
        <family val="1"/>
      </rPr>
      <t>·</t>
    </r>
    <r>
      <rPr>
        <sz val="10"/>
        <color rgb="FF0000FF"/>
        <rFont val="나눔고딕"/>
        <family val="3"/>
        <charset val="129"/>
      </rPr>
      <t>긴급패치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등</t>
    </r>
    <r>
      <rPr>
        <sz val="10"/>
        <color rgb="FF0000FF"/>
        <rFont val="Times New Roman"/>
        <family val="1"/>
      </rPr>
      <t xml:space="preserve"> ad-hoc</t>
    </r>
  </si>
  <si>
    <r>
      <t>PM(</t>
    </r>
    <r>
      <rPr>
        <sz val="10"/>
        <color rgb="FF0000FF"/>
        <rFont val="나눔고딕"/>
        <family val="3"/>
        <charset val="129"/>
      </rPr>
      <t>종합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담당</t>
    </r>
    <r>
      <rPr>
        <sz val="10"/>
        <color rgb="FF0000FF"/>
        <rFont val="Times New Roman"/>
        <family val="1"/>
      </rPr>
      <t>)</t>
    </r>
  </si>
  <si>
    <r>
      <t xml:space="preserve">PropagateSampleSchema </t>
    </r>
    <r>
      <rPr>
        <sz val="10"/>
        <color rgb="FF0000FF"/>
        <rFont val="나눔고딕"/>
        <family val="3"/>
        <charset val="129"/>
      </rPr>
      <t>실행</t>
    </r>
  </si>
  <si>
    <r>
      <rPr>
        <sz val="10"/>
        <color rgb="FF0000FF"/>
        <rFont val="나눔고딕"/>
        <family val="3"/>
        <charset val="129"/>
      </rPr>
      <t>인스턴스</t>
    </r>
    <r>
      <rPr>
        <sz val="10"/>
        <color rgb="FF0000FF"/>
        <rFont val="Times New Roman"/>
        <family val="1"/>
      </rPr>
      <t xml:space="preserve">_SAMPLE </t>
    </r>
    <r>
      <rPr>
        <sz val="10"/>
        <color rgb="FF0000FF"/>
        <rFont val="나눔고딕"/>
        <family val="3"/>
        <charset val="129"/>
      </rPr>
      <t>스키마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변경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직후</t>
    </r>
  </si>
  <si>
    <r>
      <rPr>
        <sz val="10"/>
        <color rgb="FF0000FF"/>
        <rFont val="나눔고딕"/>
        <family val="3"/>
        <charset val="129"/>
      </rPr>
      <t>개발자</t>
    </r>
    <r>
      <rPr>
        <sz val="10"/>
        <color rgb="FF0000FF"/>
        <rFont val="Times New Roman"/>
        <family val="1"/>
      </rPr>
      <t>(</t>
    </r>
    <r>
      <rPr>
        <sz val="10"/>
        <color rgb="FF0000FF"/>
        <rFont val="나눔고딕"/>
        <family val="3"/>
        <charset val="129"/>
      </rPr>
      <t>스키마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변경자</t>
    </r>
    <r>
      <rPr>
        <sz val="10"/>
        <color rgb="FF0000FF"/>
        <rFont val="Times New Roman"/>
        <family val="1"/>
      </rPr>
      <t>)</t>
    </r>
  </si>
  <si>
    <r>
      <t xml:space="preserve">TraceBaselineDescendants </t>
    </r>
    <r>
      <rPr>
        <sz val="10"/>
        <color rgb="FF0000FF"/>
        <rFont val="나눔고딕"/>
        <family val="3"/>
        <charset val="129"/>
      </rPr>
      <t>실행</t>
    </r>
  </si>
  <si>
    <r>
      <rPr>
        <sz val="10"/>
        <color rgb="FF0000FF"/>
        <rFont val="나눔고딕"/>
        <family val="3"/>
        <charset val="129"/>
      </rPr>
      <t>원본</t>
    </r>
    <r>
      <rPr>
        <sz val="10"/>
        <color rgb="FF0000FF"/>
        <rFont val="Times New Roman"/>
        <family val="1"/>
      </rPr>
      <t xml:space="preserve"> baseline</t>
    </r>
    <r>
      <rPr>
        <sz val="10"/>
        <color rgb="FF0000FF"/>
        <rFont val="나눔고딕"/>
        <family val="3"/>
        <charset val="129"/>
      </rPr>
      <t>에서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결함</t>
    </r>
    <r>
      <rPr>
        <sz val="10"/>
        <color rgb="FF0000FF"/>
        <rFont val="Times New Roman"/>
        <family val="1"/>
      </rPr>
      <t xml:space="preserve">/CVE </t>
    </r>
    <r>
      <rPr>
        <sz val="10"/>
        <color rgb="FF0000FF"/>
        <rFont val="나눔고딕"/>
        <family val="3"/>
        <charset val="129"/>
      </rPr>
      <t>발견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시</t>
    </r>
  </si>
  <si>
    <r>
      <rPr>
        <sz val="10"/>
        <color rgb="FF0000FF"/>
        <rFont val="나눔고딕"/>
        <family val="3"/>
        <charset val="129"/>
      </rPr>
      <t>담당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엔지니어</t>
    </r>
  </si>
  <si>
    <r>
      <t xml:space="preserve">UpdateSSoTFromChangeLog </t>
    </r>
    <r>
      <rPr>
        <sz val="10"/>
        <color rgb="FF0000FF"/>
        <rFont val="나눔고딕"/>
        <family val="3"/>
        <charset val="129"/>
      </rPr>
      <t>실행</t>
    </r>
  </si>
  <si>
    <r>
      <t>SSoT_</t>
    </r>
    <r>
      <rPr>
        <sz val="10"/>
        <color rgb="FF0000FF"/>
        <rFont val="나눔고딕"/>
        <family val="3"/>
        <charset val="129"/>
      </rPr>
      <t>변경이력에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신규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항목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등록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후</t>
    </r>
  </si>
  <si>
    <r>
      <t xml:space="preserve">SSoT </t>
    </r>
    <r>
      <rPr>
        <sz val="10"/>
        <color rgb="FF0000FF"/>
        <rFont val="나눔고딕"/>
        <family val="3"/>
        <charset val="129"/>
      </rPr>
      <t>관리자</t>
    </r>
  </si>
  <si>
    <r>
      <rPr>
        <b/>
        <sz val="10"/>
        <rFont val="나눔고딕"/>
        <family val="3"/>
        <charset val="129"/>
      </rPr>
      <t>스냅샷파일경로</t>
    </r>
  </si>
  <si>
    <r>
      <rPr>
        <b/>
        <sz val="10"/>
        <rFont val="나눔고딕"/>
        <family val="3"/>
        <charset val="129"/>
      </rPr>
      <t>생성일</t>
    </r>
  </si>
  <si>
    <r>
      <rPr>
        <b/>
        <sz val="10"/>
        <rFont val="나눔고딕"/>
        <family val="3"/>
        <charset val="129"/>
      </rPr>
      <t>파일해시</t>
    </r>
    <r>
      <rPr>
        <b/>
        <sz val="10"/>
        <rFont val="Times New Roman"/>
        <family val="1"/>
      </rPr>
      <t>(SHA-256)</t>
    </r>
  </si>
  <si>
    <r>
      <rPr>
        <b/>
        <sz val="10"/>
        <rFont val="나눔고딕"/>
        <family val="3"/>
        <charset val="129"/>
      </rPr>
      <t>보관만료예정일</t>
    </r>
  </si>
  <si>
    <r>
      <rPr>
        <b/>
        <sz val="10"/>
        <rFont val="나눔고딕"/>
        <family val="3"/>
        <charset val="129"/>
      </rPr>
      <t>필드</t>
    </r>
  </si>
  <si>
    <r>
      <rPr>
        <b/>
        <sz val="10"/>
        <rFont val="나눔고딕"/>
        <family val="3"/>
        <charset val="129"/>
      </rPr>
      <t>소속</t>
    </r>
    <r>
      <rPr>
        <b/>
        <sz val="10"/>
        <rFont val="Times New Roman"/>
        <family val="1"/>
      </rPr>
      <t xml:space="preserve"> </t>
    </r>
    <r>
      <rPr>
        <b/>
        <sz val="10"/>
        <rFont val="나눔고딕"/>
        <family val="3"/>
        <charset val="129"/>
      </rPr>
      <t>시트</t>
    </r>
  </si>
  <si>
    <r>
      <rPr>
        <b/>
        <sz val="10"/>
        <rFont val="나눔고딕"/>
        <family val="3"/>
        <charset val="129"/>
      </rPr>
      <t>설명</t>
    </r>
  </si>
  <si>
    <r>
      <rPr>
        <b/>
        <sz val="10"/>
        <rFont val="나눔고딕"/>
        <family val="3"/>
        <charset val="129"/>
      </rPr>
      <t>허용값</t>
    </r>
    <r>
      <rPr>
        <b/>
        <sz val="10"/>
        <rFont val="Times New Roman"/>
        <family val="1"/>
      </rPr>
      <t xml:space="preserve"> / </t>
    </r>
    <r>
      <rPr>
        <b/>
        <sz val="10"/>
        <rFont val="나눔고딕"/>
        <family val="3"/>
        <charset val="129"/>
      </rPr>
      <t>예시</t>
    </r>
  </si>
  <si>
    <r>
      <rPr>
        <sz val="10"/>
        <rFont val="나눔고딕"/>
        <family val="3"/>
        <charset val="129"/>
      </rPr>
      <t>전체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공통</t>
    </r>
  </si>
  <si>
    <r>
      <rPr>
        <sz val="10"/>
        <rFont val="나눔고딕"/>
        <family val="3"/>
        <charset val="129"/>
      </rPr>
      <t>고유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식별자</t>
    </r>
    <r>
      <rPr>
        <sz val="10"/>
        <rFont val="Times New Roman"/>
        <family val="1"/>
      </rPr>
      <t xml:space="preserve"> (</t>
    </r>
    <r>
      <rPr>
        <sz val="10"/>
        <rFont val="나눔고딕"/>
        <family val="3"/>
        <charset val="129"/>
      </rPr>
      <t>신규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명명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규칙에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따라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부여</t>
    </r>
    <r>
      <rPr>
        <sz val="10"/>
        <rFont val="Times New Roman"/>
        <family val="1"/>
      </rPr>
      <t>, SSoT</t>
    </r>
    <r>
      <rPr>
        <sz val="10"/>
        <rFont val="나눔고딕"/>
        <family val="3"/>
        <charset val="129"/>
      </rPr>
      <t>와</t>
    </r>
    <r>
      <rPr>
        <sz val="10"/>
        <rFont val="Times New Roman"/>
        <family val="1"/>
      </rPr>
      <t xml:space="preserve"> LevelDepth </t>
    </r>
    <r>
      <rPr>
        <sz val="10"/>
        <rFont val="나눔고딕"/>
        <family val="3"/>
        <charset val="129"/>
      </rPr>
      <t>양쪽에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등록</t>
    </r>
    <r>
      <rPr>
        <sz val="10"/>
        <rFont val="Times New Roman"/>
        <family val="1"/>
      </rPr>
      <t>)</t>
    </r>
  </si>
  <si>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>: SWC_mbedtls, SWU_torque_ctrl</t>
    </r>
  </si>
  <si>
    <r>
      <t>SSoT (</t>
    </r>
    <r>
      <rPr>
        <sz val="10"/>
        <rFont val="나눔고딕"/>
        <family val="3"/>
        <charset val="129"/>
      </rPr>
      <t>입력</t>
    </r>
    <r>
      <rPr>
        <sz val="10"/>
        <rFont val="Times New Roman"/>
        <family val="1"/>
      </rPr>
      <t xml:space="preserve">) / </t>
    </r>
    <r>
      <rPr>
        <sz val="10"/>
        <rFont val="나눔고딕"/>
        <family val="3"/>
        <charset val="129"/>
      </rPr>
      <t>나머지</t>
    </r>
    <r>
      <rPr>
        <sz val="10"/>
        <rFont val="Times New Roman"/>
        <family val="1"/>
      </rPr>
      <t xml:space="preserve"> (</t>
    </r>
    <r>
      <rPr>
        <sz val="10"/>
        <rFont val="나눔고딕"/>
        <family val="3"/>
        <charset val="129"/>
      </rPr>
      <t>조회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</si>
  <si>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표시용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이름</t>
    </r>
    <r>
      <rPr>
        <sz val="10"/>
        <rFont val="Times New Roman"/>
        <family val="1"/>
      </rPr>
      <t xml:space="preserve"> — SSoT</t>
    </r>
    <r>
      <rPr>
        <sz val="10"/>
        <rFont val="나눔고딕"/>
        <family val="3"/>
        <charset val="129"/>
      </rPr>
      <t>에만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입력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다른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전부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수식으로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조회</t>
    </r>
  </si>
  <si>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>: mbedTLS, Torque Control Function</t>
    </r>
  </si>
  <si>
    <r>
      <t>LevelDepth(</t>
    </r>
    <r>
      <rPr>
        <sz val="10"/>
        <rFont val="나눔고딕"/>
        <family val="3"/>
        <charset val="129"/>
      </rPr>
      <t>입력</t>
    </r>
    <r>
      <rPr>
        <sz val="10"/>
        <rFont val="Times New Roman"/>
        <family val="1"/>
      </rPr>
      <t>) / SSoT(</t>
    </r>
    <r>
      <rPr>
        <sz val="10"/>
        <rFont val="나눔고딕"/>
        <family val="3"/>
        <charset val="129"/>
      </rPr>
      <t>조회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</si>
  <si>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계층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깊이</t>
    </r>
    <r>
      <rPr>
        <sz val="10"/>
        <rFont val="Times New Roman"/>
        <family val="1"/>
      </rPr>
      <t xml:space="preserve"> — LevelDepth</t>
    </r>
    <r>
      <rPr>
        <sz val="10"/>
        <rFont val="나눔고딕"/>
        <family val="3"/>
        <charset val="129"/>
      </rPr>
      <t>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○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표시로부터</t>
    </r>
    <r>
      <rPr>
        <sz val="10"/>
        <rFont val="Times New Roman"/>
        <family val="1"/>
      </rPr>
      <t xml:space="preserve"> SSoT</t>
    </r>
    <r>
      <rPr>
        <sz val="10"/>
        <rFont val="나눔고딕"/>
        <family val="3"/>
        <charset val="129"/>
      </rPr>
      <t>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자동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산출</t>
    </r>
  </si>
  <si>
    <r>
      <t xml:space="preserve">self </t>
    </r>
    <r>
      <rPr>
        <sz val="10"/>
        <color rgb="FF5F5E5A"/>
        <rFont val="나눔고딕"/>
        <family val="3"/>
        <charset val="129"/>
      </rPr>
      <t>이거나</t>
    </r>
    <r>
      <rPr>
        <sz val="10"/>
        <color rgb="FF5F5E5A"/>
        <rFont val="Times New Roman"/>
        <family val="1"/>
      </rPr>
      <t xml:space="preserve"> </t>
    </r>
    <r>
      <rPr>
        <sz val="10"/>
        <color rgb="FF5F5E5A"/>
        <rFont val="나눔고딕"/>
        <family val="3"/>
        <charset val="129"/>
      </rPr>
      <t>실제</t>
    </r>
    <r>
      <rPr>
        <sz val="10"/>
        <color rgb="FF5F5E5A"/>
        <rFont val="Times New Roman"/>
        <family val="1"/>
      </rPr>
      <t xml:space="preserve"> </t>
    </r>
    <r>
      <rPr>
        <sz val="10"/>
        <color rgb="FF5F5E5A"/>
        <rFont val="나눔고딕"/>
        <family val="3"/>
        <charset val="129"/>
      </rPr>
      <t>공급자명</t>
    </r>
  </si>
  <si>
    <r>
      <t>SSoT (+</t>
    </r>
    <r>
      <rPr>
        <sz val="10"/>
        <rFont val="나눔고딕"/>
        <family val="3"/>
        <charset val="129"/>
      </rPr>
      <t>변경이력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</si>
  <si>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라이선스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현재값</t>
    </r>
  </si>
  <si>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>: Apache-2.0, Proprietary, Commercial-EULA</t>
    </r>
  </si>
  <si>
    <r>
      <t xml:space="preserve">PURL </t>
    </r>
    <r>
      <rPr>
        <sz val="10"/>
        <color rgb="FF5F5E5A"/>
        <rFont val="나눔고딕"/>
        <family val="3"/>
        <charset val="129"/>
      </rPr>
      <t>또는</t>
    </r>
    <r>
      <rPr>
        <sz val="10"/>
        <color rgb="FF5F5E5A"/>
        <rFont val="Times New Roman"/>
        <family val="1"/>
      </rPr>
      <t xml:space="preserve"> CPE, self</t>
    </r>
    <r>
      <rPr>
        <sz val="10"/>
        <color rgb="FF5F5E5A"/>
        <rFont val="나눔고딕"/>
        <family val="3"/>
        <charset val="129"/>
      </rPr>
      <t>는</t>
    </r>
    <r>
      <rPr>
        <sz val="10"/>
        <color rgb="FF5F5E5A"/>
        <rFont val="Times New Roman"/>
        <family val="1"/>
      </rPr>
      <t xml:space="preserve"> </t>
    </r>
    <r>
      <rPr>
        <sz val="10"/>
        <color rgb="FF5F5E5A"/>
        <rFont val="나눔고딕"/>
        <family val="3"/>
        <charset val="129"/>
      </rPr>
      <t>공란</t>
    </r>
  </si>
  <si>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>: patches/xxx.patch</t>
    </r>
  </si>
  <si>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>: CVE-2026-01234</t>
    </r>
  </si>
  <si>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>: INT-VULN-0022</t>
    </r>
  </si>
  <si>
    <r>
      <rPr>
        <sz val="10"/>
        <rFont val="나눔고딕"/>
        <family val="3"/>
        <charset val="129"/>
      </rPr>
      <t>인스턴스</t>
    </r>
  </si>
  <si>
    <r>
      <rPr>
        <sz val="10"/>
        <rFont val="나눔고딕"/>
        <family val="3"/>
        <charset val="129"/>
      </rPr>
      <t>제어기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식별자</t>
    </r>
  </si>
  <si>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>: ICCU, VCU, BMS, MCU, OBC, DCDC</t>
    </r>
  </si>
  <si>
    <r>
      <rPr>
        <sz val="10"/>
        <rFont val="나눔고딕"/>
        <family val="3"/>
        <charset val="129"/>
      </rPr>
      <t>개발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단계</t>
    </r>
  </si>
  <si>
    <r>
      <t xml:space="preserve">R&amp;D / </t>
    </r>
    <r>
      <rPr>
        <sz val="10"/>
        <color rgb="FF5F5E5A"/>
        <rFont val="나눔고딕"/>
        <family val="3"/>
        <charset val="129"/>
      </rPr>
      <t>생산</t>
    </r>
  </si>
  <si>
    <r>
      <rPr>
        <sz val="10"/>
        <rFont val="나눔고딕"/>
        <family val="3"/>
        <charset val="129"/>
      </rPr>
      <t>베이스라인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식별자</t>
    </r>
    <r>
      <rPr>
        <sz val="10"/>
        <rFont val="Times New Roman"/>
        <family val="1"/>
      </rPr>
      <t xml:space="preserve"> (yymmdd </t>
    </r>
    <r>
      <rPr>
        <sz val="10"/>
        <rFont val="나눔고딕"/>
        <family val="3"/>
        <charset val="129"/>
      </rPr>
      <t>포함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권장</t>
    </r>
    <r>
      <rPr>
        <sz val="10"/>
        <rFont val="Times New Roman"/>
        <family val="1"/>
      </rPr>
      <t>)</t>
    </r>
  </si>
  <si>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 xml:space="preserve">: BL-260722-01, R&amp;D </t>
    </r>
    <r>
      <rPr>
        <sz val="10"/>
        <color rgb="FF5F5E5A"/>
        <rFont val="나눔고딕"/>
        <family val="3"/>
        <charset val="129"/>
      </rPr>
      <t>중엔</t>
    </r>
    <r>
      <rPr>
        <sz val="10"/>
        <color rgb="FF5F5E5A"/>
        <rFont val="Times New Roman"/>
        <family val="1"/>
      </rPr>
      <t xml:space="preserve"> </t>
    </r>
    <r>
      <rPr>
        <sz val="10"/>
        <color rgb="FF5F5E5A"/>
        <rFont val="나눔고딕"/>
        <family val="3"/>
        <charset val="129"/>
      </rPr>
      <t>누적</t>
    </r>
    <r>
      <rPr>
        <sz val="10"/>
        <color rgb="FF5F5E5A"/>
        <rFont val="Times New Roman"/>
        <family val="1"/>
      </rPr>
      <t xml:space="preserve"> </t>
    </r>
    <r>
      <rPr>
        <sz val="10"/>
        <color rgb="FF5F5E5A"/>
        <rFont val="나눔고딕"/>
        <family val="3"/>
        <charset val="129"/>
      </rPr>
      <t>로그</t>
    </r>
    <r>
      <rPr>
        <sz val="10"/>
        <color rgb="FF5F5E5A"/>
        <rFont val="Times New Roman"/>
        <family val="1"/>
      </rPr>
      <t xml:space="preserve"> </t>
    </r>
    <r>
      <rPr>
        <sz val="10"/>
        <color rgb="FF5F5E5A"/>
        <rFont val="나눔고딕"/>
        <family val="3"/>
        <charset val="129"/>
      </rPr>
      <t>허용</t>
    </r>
  </si>
  <si>
    <r>
      <rPr>
        <sz val="10"/>
        <rFont val="나눔고딕"/>
        <family val="3"/>
        <charset val="129"/>
      </rPr>
      <t>거버넌스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상태</t>
    </r>
  </si>
  <si>
    <r>
      <rPr>
        <sz val="10"/>
        <rFont val="나눔고딕"/>
        <family val="3"/>
        <charset val="129"/>
      </rPr>
      <t>해당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제어기에서의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버전</t>
    </r>
  </si>
  <si>
    <r>
      <rPr>
        <sz val="10"/>
        <color rgb="FF5F5E5A"/>
        <rFont val="나눔고딕"/>
        <family val="3"/>
        <charset val="129"/>
      </rPr>
      <t>자유</t>
    </r>
    <r>
      <rPr>
        <sz val="10"/>
        <color rgb="FF5F5E5A"/>
        <rFont val="Times New Roman"/>
        <family val="1"/>
      </rPr>
      <t xml:space="preserve"> </t>
    </r>
    <r>
      <rPr>
        <sz val="10"/>
        <color rgb="FF5F5E5A"/>
        <rFont val="나눔고딕"/>
        <family val="3"/>
        <charset val="129"/>
      </rPr>
      <t>문자열</t>
    </r>
  </si>
  <si>
    <r>
      <rPr>
        <sz val="10"/>
        <rFont val="나눔고딕"/>
        <family val="3"/>
        <charset val="129"/>
      </rPr>
      <t>형상관리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도구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등록번호</t>
    </r>
  </si>
  <si>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 xml:space="preserve">: SVN </t>
    </r>
    <r>
      <rPr>
        <sz val="10"/>
        <color rgb="FF5F5E5A"/>
        <rFont val="나눔고딕"/>
        <family val="3"/>
        <charset val="129"/>
      </rPr>
      <t>리비전</t>
    </r>
    <r>
      <rPr>
        <sz val="10"/>
        <color rgb="FF5F5E5A"/>
        <rFont val="Times New Roman"/>
        <family val="1"/>
      </rPr>
      <t xml:space="preserve"> </t>
    </r>
    <r>
      <rPr>
        <sz val="10"/>
        <color rgb="FF5F5E5A"/>
        <rFont val="나눔고딕"/>
        <family val="3"/>
        <charset val="129"/>
      </rPr>
      <t>번호</t>
    </r>
    <r>
      <rPr>
        <sz val="10"/>
        <color rgb="FF5F5E5A"/>
        <rFont val="Times New Roman"/>
        <family val="1"/>
      </rPr>
      <t xml:space="preserve">(svn log </t>
    </r>
    <r>
      <rPr>
        <sz val="10"/>
        <color rgb="FF5F5E5A"/>
        <rFont val="나눔고딕"/>
        <family val="3"/>
        <charset val="129"/>
      </rPr>
      <t>연동</t>
    </r>
    <r>
      <rPr>
        <sz val="10"/>
        <color rgb="FF5F5E5A"/>
        <rFont val="Times New Roman"/>
        <family val="1"/>
      </rPr>
      <t>)</t>
    </r>
  </si>
  <si>
    <r>
      <rPr>
        <sz val="10"/>
        <rFont val="나눔고딕"/>
        <family val="3"/>
        <charset val="129"/>
      </rPr>
      <t>변경요청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승인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번호</t>
    </r>
  </si>
  <si>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>: CR-2026-0341 / CCB-2026-015</t>
    </r>
  </si>
  <si>
    <r>
      <rPr>
        <sz val="10"/>
        <rFont val="나눔고딕"/>
        <family val="3"/>
        <charset val="129"/>
      </rPr>
      <t>승인된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코드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빌드에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반영됐는지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</si>
  <si>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r>
      <rPr>
        <sz val="10"/>
        <color rgb="FF5F5E5A"/>
        <rFont val="나눔고딕"/>
        <family val="3"/>
        <charset val="129"/>
      </rPr>
      <t>반영완료</t>
    </r>
    <r>
      <rPr>
        <sz val="10"/>
        <color rgb="FF5F5E5A"/>
        <rFont val="Times New Roman"/>
        <family val="1"/>
      </rPr>
      <t xml:space="preserve"> / </t>
    </r>
    <r>
      <rPr>
        <sz val="10"/>
        <color rgb="FF5F5E5A"/>
        <rFont val="나눔고딕"/>
        <family val="3"/>
        <charset val="129"/>
      </rPr>
      <t>미반영</t>
    </r>
    <r>
      <rPr>
        <sz val="10"/>
        <color rgb="FF5F5E5A"/>
        <rFont val="Times New Roman"/>
        <family val="1"/>
      </rPr>
      <t xml:space="preserve"> / </t>
    </r>
    <r>
      <rPr>
        <sz val="10"/>
        <color rgb="FF5F5E5A"/>
        <rFont val="나눔고딕"/>
        <family val="3"/>
        <charset val="129"/>
      </rPr>
      <t>부분반영</t>
    </r>
  </si>
  <si>
    <r>
      <rPr>
        <sz val="10"/>
        <rFont val="나눔고딕"/>
        <family val="3"/>
        <charset val="129"/>
      </rPr>
      <t>미반영</t>
    </r>
    <r>
      <rPr>
        <sz val="10"/>
        <rFont val="Times New Roman"/>
        <family val="1"/>
      </rPr>
      <t>·</t>
    </r>
    <r>
      <rPr>
        <sz val="10"/>
        <rFont val="나눔고딕"/>
        <family val="3"/>
        <charset val="129"/>
      </rPr>
      <t>부분반영일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때의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대책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계획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예정일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>)</t>
    </r>
  </si>
  <si>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 xml:space="preserve">: </t>
    </r>
    <r>
      <rPr>
        <sz val="10"/>
        <color rgb="FF5F5E5A"/>
        <rFont val="나눔고딕"/>
        <family val="3"/>
        <charset val="129"/>
      </rPr>
      <t>소급</t>
    </r>
    <r>
      <rPr>
        <sz val="10"/>
        <color rgb="FF5F5E5A"/>
        <rFont val="Times New Roman"/>
        <family val="1"/>
      </rPr>
      <t xml:space="preserve"> CR/CCB </t>
    </r>
    <r>
      <rPr>
        <sz val="10"/>
        <color rgb="FF5F5E5A"/>
        <rFont val="나눔고딕"/>
        <family val="3"/>
        <charset val="129"/>
      </rPr>
      <t>승인</t>
    </r>
    <r>
      <rPr>
        <sz val="10"/>
        <color rgb="FF5F5E5A"/>
        <rFont val="Times New Roman"/>
        <family val="1"/>
      </rPr>
      <t xml:space="preserve"> </t>
    </r>
    <r>
      <rPr>
        <sz val="10"/>
        <color rgb="FF5F5E5A"/>
        <rFont val="나눔고딕"/>
        <family val="3"/>
        <charset val="129"/>
      </rPr>
      <t>절차</t>
    </r>
    <r>
      <rPr>
        <sz val="10"/>
        <color rgb="FF5F5E5A"/>
        <rFont val="Times New Roman"/>
        <family val="1"/>
      </rPr>
      <t xml:space="preserve"> </t>
    </r>
    <r>
      <rPr>
        <sz val="10"/>
        <color rgb="FF5F5E5A"/>
        <rFont val="나눔고딕"/>
        <family val="3"/>
        <charset val="129"/>
      </rPr>
      <t>진행</t>
    </r>
    <r>
      <rPr>
        <sz val="10"/>
        <color rgb="FF5F5E5A"/>
        <rFont val="Times New Roman"/>
        <family val="1"/>
      </rPr>
      <t xml:space="preserve"> </t>
    </r>
    <r>
      <rPr>
        <sz val="10"/>
        <color rgb="FF5F5E5A"/>
        <rFont val="나눔고딕"/>
        <family val="3"/>
        <charset val="129"/>
      </rPr>
      <t>중</t>
    </r>
  </si>
  <si>
    <r>
      <t xml:space="preserve">SUP.9 </t>
    </r>
    <r>
      <rPr>
        <sz val="10"/>
        <rFont val="나눔고딕"/>
        <family val="3"/>
        <charset val="129"/>
      </rPr>
      <t>이슈추적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참조</t>
    </r>
  </si>
  <si>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>: ISSUE-2026-0099</t>
    </r>
  </si>
  <si>
    <r>
      <rPr>
        <sz val="10"/>
        <rFont val="나눔고딕"/>
        <family val="3"/>
        <charset val="129"/>
      </rPr>
      <t>실제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산출물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해시</t>
    </r>
    <r>
      <rPr>
        <sz val="10"/>
        <rFont val="Times New Roman"/>
        <family val="1"/>
      </rPr>
      <t xml:space="preserve"> (SCA </t>
    </r>
    <r>
      <rPr>
        <sz val="10"/>
        <rFont val="나눔고딕"/>
        <family val="3"/>
        <charset val="129"/>
      </rPr>
      <t>대조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키</t>
    </r>
    <r>
      <rPr>
        <sz val="10"/>
        <rFont val="Times New Roman"/>
        <family val="1"/>
      </rPr>
      <t>)</t>
    </r>
  </si>
  <si>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>: sha256:....</t>
    </r>
  </si>
  <si>
    <r>
      <rPr>
        <sz val="10"/>
        <rFont val="나눔고딕"/>
        <family val="3"/>
        <charset val="129"/>
      </rPr>
      <t>선언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탐지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구분</t>
    </r>
  </si>
  <si>
    <r>
      <t xml:space="preserve">SWE.1 </t>
    </r>
    <r>
      <rPr>
        <sz val="10"/>
        <rFont val="나눔고딕"/>
        <family val="3"/>
        <charset val="129"/>
      </rPr>
      <t>연결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필요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및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참조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포인터</t>
    </r>
  </si>
  <si>
    <r>
      <t xml:space="preserve">TRUE/FALSE, </t>
    </r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>: SWE1-UNIT-07</t>
    </r>
  </si>
  <si>
    <r>
      <t xml:space="preserve">CVE </t>
    </r>
    <r>
      <rPr>
        <sz val="10"/>
        <rFont val="나눔고딕"/>
        <family val="3"/>
        <charset val="129"/>
      </rPr>
      <t>조치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진행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상태</t>
    </r>
  </si>
  <si>
    <r>
      <rPr>
        <sz val="10"/>
        <color rgb="FF5F5E5A"/>
        <rFont val="나눔고딕"/>
        <family val="3"/>
        <charset val="129"/>
      </rPr>
      <t>미조치</t>
    </r>
    <r>
      <rPr>
        <sz val="10"/>
        <color rgb="FF5F5E5A"/>
        <rFont val="Times New Roman"/>
        <family val="1"/>
      </rPr>
      <t xml:space="preserve"> / </t>
    </r>
    <r>
      <rPr>
        <sz val="10"/>
        <color rgb="FF5F5E5A"/>
        <rFont val="나눔고딕"/>
        <family val="3"/>
        <charset val="129"/>
      </rPr>
      <t>조치중</t>
    </r>
    <r>
      <rPr>
        <sz val="10"/>
        <color rgb="FF5F5E5A"/>
        <rFont val="Times New Roman"/>
        <family val="1"/>
      </rPr>
      <t xml:space="preserve"> / </t>
    </r>
    <r>
      <rPr>
        <sz val="10"/>
        <color rgb="FF5F5E5A"/>
        <rFont val="나눔고딕"/>
        <family val="3"/>
        <charset val="129"/>
      </rPr>
      <t>조치완료</t>
    </r>
    <r>
      <rPr>
        <sz val="10"/>
        <color rgb="FF5F5E5A"/>
        <rFont val="Times New Roman"/>
        <family val="1"/>
      </rPr>
      <t xml:space="preserve"> / </t>
    </r>
    <r>
      <rPr>
        <sz val="10"/>
        <color rgb="FF5F5E5A"/>
        <rFont val="나눔고딕"/>
        <family val="3"/>
        <charset val="129"/>
      </rPr>
      <t>검증완료</t>
    </r>
  </si>
  <si>
    <r>
      <rPr>
        <sz val="10"/>
        <rFont val="나눔고딕"/>
        <family val="3"/>
        <charset val="129"/>
      </rPr>
      <t>조치완료일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및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검증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근거</t>
    </r>
  </si>
  <si>
    <r>
      <rPr>
        <sz val="10"/>
        <color rgb="FF5F5E5A"/>
        <rFont val="나눔고딕"/>
        <family val="3"/>
        <charset val="129"/>
      </rPr>
      <t>예</t>
    </r>
    <r>
      <rPr>
        <sz val="10"/>
        <color rgb="FF5F5E5A"/>
        <rFont val="Times New Roman"/>
        <family val="1"/>
      </rPr>
      <t>: 2026-07-05, TR-2026-0455</t>
    </r>
  </si>
  <si>
    <t>TaskConfig_Seed</t>
  </si>
  <si>
    <r>
      <t xml:space="preserve">SSoT </t>
    </r>
    <r>
      <rPr>
        <sz val="10"/>
        <color theme="1"/>
        <rFont val="나눔고딕"/>
        <family val="3"/>
        <charset val="129"/>
      </rPr>
      <t>기본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테이블</t>
    </r>
  </si>
  <si>
    <r>
      <t xml:space="preserve">SSoT </t>
    </r>
    <r>
      <rPr>
        <sz val="10"/>
        <color theme="1"/>
        <rFont val="나눔고딕"/>
        <family val="3"/>
        <charset val="129"/>
      </rPr>
      <t>구성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함수의</t>
    </r>
    <r>
      <rPr>
        <sz val="10"/>
        <color theme="1"/>
        <rFont val="Times New Roman"/>
        <family val="1"/>
      </rPr>
      <t xml:space="preserve"> level depth </t>
    </r>
    <r>
      <rPr>
        <sz val="10"/>
        <color theme="1"/>
        <rFont val="나눔고딕"/>
        <family val="3"/>
        <charset val="129"/>
      </rPr>
      <t>테이블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해당레벨</t>
    </r>
    <r>
      <rPr>
        <sz val="10"/>
        <color theme="1"/>
        <rFont val="Times New Roman"/>
        <family val="1"/>
      </rPr>
      <t>=</t>
    </r>
    <r>
      <rPr>
        <sz val="10"/>
        <color theme="1"/>
        <rFont val="나눔고딕"/>
        <family val="3"/>
        <charset val="129"/>
      </rPr>
      <t>○으로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표시</t>
    </r>
    <r>
      <rPr>
        <sz val="10"/>
        <color theme="1"/>
        <rFont val="Times New Roman"/>
        <family val="1"/>
      </rPr>
      <t>)</t>
    </r>
  </si>
  <si>
    <r>
      <t xml:space="preserve">SSoT </t>
    </r>
    <r>
      <rPr>
        <sz val="10"/>
        <color theme="1"/>
        <rFont val="나눔고딕"/>
        <family val="3"/>
        <charset val="129"/>
      </rPr>
      <t>구성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함수의</t>
    </r>
    <r>
      <rPr>
        <sz val="10"/>
        <color theme="1"/>
        <rFont val="Times New Roman"/>
        <family val="1"/>
      </rPr>
      <t xml:space="preserve"> level depth </t>
    </r>
    <r>
      <rPr>
        <sz val="10"/>
        <color theme="1"/>
        <rFont val="나눔고딕"/>
        <family val="3"/>
        <charset val="129"/>
      </rPr>
      <t>테이블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○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함수명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사용</t>
    </r>
    <r>
      <rPr>
        <sz val="10"/>
        <color theme="1"/>
        <rFont val="Times New Roman"/>
        <family val="1"/>
      </rPr>
      <t>)</t>
    </r>
  </si>
  <si>
    <r>
      <t xml:space="preserve">SSoT </t>
    </r>
    <r>
      <rPr>
        <sz val="10"/>
        <color theme="1"/>
        <rFont val="나눔고딕"/>
        <family val="3"/>
        <charset val="129"/>
      </rPr>
      <t>버전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관리를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변경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이력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기록</t>
    </r>
  </si>
  <si>
    <r>
      <rPr>
        <sz val="10"/>
        <color theme="1"/>
        <rFont val="나눔고딕"/>
        <family val="3"/>
        <charset val="129"/>
      </rPr>
      <t>전체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인스턴스에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현황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기록</t>
    </r>
  </si>
  <si>
    <r>
      <t xml:space="preserve">SSoT </t>
    </r>
    <r>
      <rPr>
        <sz val="10"/>
        <color theme="1"/>
        <rFont val="나눔고딕"/>
        <family val="3"/>
        <charset val="129"/>
      </rPr>
      <t>함수의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인스턴스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제어기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적용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현황</t>
    </r>
  </si>
  <si>
    <r>
      <rPr>
        <sz val="10"/>
        <color theme="1"/>
        <rFont val="나눔고딕"/>
        <family val="3"/>
        <charset val="129"/>
      </rPr>
      <t>인스턴스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샘플</t>
    </r>
  </si>
  <si>
    <r>
      <rPr>
        <sz val="10"/>
        <color theme="1"/>
        <rFont val="나눔고딕"/>
        <family val="3"/>
        <charset val="129"/>
      </rPr>
      <t>유지보수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과제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변경관리</t>
    </r>
    <r>
      <rPr>
        <sz val="10"/>
        <color theme="1"/>
        <rFont val="Times New Roman"/>
        <family val="1"/>
      </rPr>
      <t xml:space="preserve">), </t>
    </r>
    <r>
      <rPr>
        <sz val="10"/>
        <color theme="1"/>
        <rFont val="나눔고딕"/>
        <family val="3"/>
        <charset val="129"/>
      </rPr>
      <t>함수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단위로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형상관리하는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인스턴스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샘플</t>
    </r>
  </si>
  <si>
    <r>
      <rPr>
        <sz val="10"/>
        <color theme="1"/>
        <rFont val="나눔고딕"/>
        <family val="3"/>
        <charset val="129"/>
      </rPr>
      <t>유지보수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과제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변경관리</t>
    </r>
    <r>
      <rPr>
        <sz val="10"/>
        <color theme="1"/>
        <rFont val="Times New Roman"/>
        <family val="1"/>
      </rPr>
      <t xml:space="preserve">), </t>
    </r>
    <r>
      <rPr>
        <sz val="10"/>
        <color theme="1"/>
        <rFont val="나눔고딕"/>
        <family val="3"/>
        <charset val="129"/>
      </rPr>
      <t>펌웨어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단위로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형상관리하는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인스턴스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샘플</t>
    </r>
  </si>
  <si>
    <r>
      <t xml:space="preserve">SSoT </t>
    </r>
    <r>
      <rPr>
        <sz val="10"/>
        <color theme="1"/>
        <rFont val="나눔고딕"/>
        <family val="3"/>
        <charset val="129"/>
      </rPr>
      <t>적용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제어기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목록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적용을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인스턴스로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표현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</si>
  <si>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인스턴스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스키마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변경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이력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기록</t>
    </r>
  </si>
  <si>
    <r>
      <rPr>
        <sz val="10"/>
        <color theme="1"/>
        <rFont val="나눔고딕"/>
        <family val="3"/>
        <charset val="129"/>
      </rPr>
      <t>펌웨어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배포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베이스라인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이력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기록</t>
    </r>
  </si>
  <si>
    <r>
      <t xml:space="preserve">SSoT </t>
    </r>
    <r>
      <rPr>
        <sz val="10"/>
        <color theme="1"/>
        <rFont val="나눔고딕"/>
        <family val="3"/>
        <charset val="129"/>
      </rPr>
      <t>관리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예외처리에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가이드</t>
    </r>
    <r>
      <rPr>
        <sz val="10"/>
        <color theme="1"/>
        <rFont val="Times New Roman"/>
        <family val="1"/>
      </rPr>
      <t xml:space="preserve"> : </t>
    </r>
    <r>
      <rPr>
        <sz val="10"/>
        <color theme="1"/>
        <rFont val="나눔고딕"/>
        <family val="3"/>
        <charset val="129"/>
      </rPr>
      <t>방법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담당</t>
    </r>
  </si>
  <si>
    <r>
      <t>baseline_status</t>
    </r>
    <r>
      <rPr>
        <sz val="10"/>
        <color theme="1"/>
        <rFont val="나눔고딕"/>
        <family val="3"/>
        <charset val="129"/>
      </rPr>
      <t>가</t>
    </r>
    <r>
      <rPr>
        <sz val="10"/>
        <color theme="1"/>
        <rFont val="Times New Roman"/>
        <family val="1"/>
      </rPr>
      <t xml:space="preserve"> formally_baselined</t>
    </r>
    <r>
      <rPr>
        <sz val="10"/>
        <color theme="1"/>
        <rFont val="나눔고딕"/>
        <family val="3"/>
        <charset val="129"/>
      </rPr>
      <t>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전환되는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시점마다</t>
    </r>
    <r>
      <rPr>
        <sz val="10"/>
        <color theme="1"/>
        <rFont val="Times New Roman"/>
        <family val="1"/>
      </rPr>
      <t xml:space="preserve"> SSoT </t>
    </r>
    <r>
      <rPr>
        <sz val="10"/>
        <color theme="1"/>
        <rFont val="나눔고딕"/>
        <family val="3"/>
        <charset val="129"/>
      </rPr>
      <t>마스터</t>
    </r>
    <r>
      <rPr>
        <sz val="10"/>
        <color theme="1"/>
        <rFont val="Times New Roman"/>
        <family val="1"/>
      </rPr>
      <t xml:space="preserve"> + </t>
    </r>
    <r>
      <rPr>
        <sz val="10"/>
        <color theme="1"/>
        <rFont val="나눔고딕"/>
        <family val="3"/>
        <charset val="129"/>
      </rPr>
      <t>인스턴스</t>
    </r>
    <r>
      <rPr>
        <sz val="10"/>
        <color theme="1"/>
        <rFont val="Times New Roman"/>
        <family val="1"/>
      </rPr>
      <t>_</t>
    </r>
    <r>
      <rPr>
        <sz val="10"/>
        <color theme="1"/>
        <rFont val="나눔고딕"/>
        <family val="3"/>
        <charset val="129"/>
      </rPr>
      <t>통합의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해당</t>
    </r>
    <r>
      <rPr>
        <sz val="10"/>
        <color theme="1"/>
        <rFont val="Times New Roman"/>
        <family val="1"/>
      </rPr>
      <t xml:space="preserve"> baseline </t>
    </r>
    <r>
      <rPr>
        <sz val="10"/>
        <color theme="1"/>
        <rFont val="나눔고딕"/>
        <family val="3"/>
        <charset val="129"/>
      </rPr>
      <t>행을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읽기전용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파일로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스냅샷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저장</t>
    </r>
  </si>
  <si>
    <r>
      <t xml:space="preserve">SSoT </t>
    </r>
    <r>
      <rPr>
        <sz val="10"/>
        <color theme="1"/>
        <rFont val="나눔고딕"/>
        <family val="3"/>
        <charset val="129"/>
      </rPr>
      <t>종합관리체계</t>
    </r>
    <r>
      <rPr>
        <sz val="10"/>
        <color theme="1"/>
        <rFont val="Times New Roman"/>
        <family val="1"/>
      </rPr>
      <t xml:space="preserve"> — </t>
    </r>
    <r>
      <rPr>
        <sz val="10"/>
        <color theme="1"/>
        <rFont val="나눔고딕"/>
        <family val="3"/>
        <charset val="129"/>
      </rPr>
      <t>시트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작성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지침</t>
    </r>
  </si>
  <si>
    <t>BIZ-02</t>
  </si>
  <si>
    <t>Low</t>
  </si>
  <si>
    <t>R5</t>
  </si>
  <si>
    <t>R6</t>
  </si>
  <si>
    <t>R10</t>
  </si>
  <si>
    <t>R11</t>
  </si>
  <si>
    <t>Sheet</t>
  </si>
  <si>
    <t>Cell</t>
  </si>
  <si>
    <t>COMP-01</t>
  </si>
  <si>
    <t>High</t>
  </si>
  <si>
    <t>COMP-02</t>
  </si>
  <si>
    <t>I5</t>
  </si>
  <si>
    <t>REF-01</t>
  </si>
  <si>
    <t>REF-02</t>
  </si>
  <si>
    <t>REF-03</t>
  </si>
  <si>
    <t>REF-04</t>
  </si>
  <si>
    <t>ENUM-01</t>
  </si>
  <si>
    <t>REG-01</t>
  </si>
  <si>
    <t>ONEHOT-01</t>
  </si>
  <si>
    <t>FORM-01</t>
  </si>
  <si>
    <t>BIZ-01</t>
  </si>
  <si>
    <t>FMT-01</t>
  </si>
  <si>
    <t>FMT-02</t>
  </si>
  <si>
    <t>FMT-03</t>
  </si>
  <si>
    <t>Medium</t>
  </si>
  <si>
    <t>OriginalNote</t>
  </si>
  <si>
    <t>TaskConfig</t>
  </si>
  <si>
    <t>IntegrityAuditLog</t>
  </si>
  <si>
    <t>IntegrityAuditResult</t>
  </si>
  <si>
    <t>IntegrityHighlightLog</t>
  </si>
  <si>
    <t>NoteBackupLog</t>
  </si>
  <si>
    <r>
      <t xml:space="preserve">Task configuration </t>
    </r>
    <r>
      <rPr>
        <sz val="10"/>
        <color theme="1"/>
        <rFont val="나눔고딕"/>
        <family val="3"/>
        <charset val="129"/>
      </rPr>
      <t>정보</t>
    </r>
    <r>
      <rPr>
        <sz val="10"/>
        <color theme="1"/>
        <rFont val="Times New Roman"/>
        <family val="1"/>
      </rPr>
      <t xml:space="preserve">(Task </t>
    </r>
    <r>
      <rPr>
        <sz val="10"/>
        <color theme="1"/>
        <rFont val="나눔고딕"/>
        <family val="3"/>
        <charset val="129"/>
      </rPr>
      <t>전용파일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생성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</t>
    </r>
    <r>
      <rPr>
        <sz val="10"/>
        <color theme="1"/>
        <rFont val="Times New Roman"/>
        <family val="1"/>
      </rPr>
      <t>)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관리하는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메인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시트</t>
    </r>
  </si>
  <si>
    <r>
      <t xml:space="preserve">TaskConfig </t>
    </r>
    <r>
      <rPr>
        <sz val="10"/>
        <color theme="1"/>
        <rFont val="나눔고딕"/>
        <family val="3"/>
        <charset val="129"/>
      </rPr>
      <t>최초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생성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최신화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시트</t>
    </r>
    <r>
      <rPr>
        <sz val="10"/>
        <color theme="1"/>
        <rFont val="Times New Roman"/>
        <family val="1"/>
      </rPr>
      <t xml:space="preserve"> (VeryHidden-Invisible)</t>
    </r>
  </si>
  <si>
    <r>
      <rPr>
        <sz val="10"/>
        <color theme="1"/>
        <rFont val="나눔고딕"/>
        <family val="3"/>
        <charset val="129"/>
      </rPr>
      <t>워크시트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기능에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대해서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요약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설명해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주세요</t>
    </r>
    <r>
      <rPr>
        <sz val="10"/>
        <color theme="1"/>
        <rFont val="Times New Roman"/>
        <family val="1"/>
      </rPr>
      <t>.</t>
    </r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</si>
  <si>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OLEObjects</t>
    </r>
    <phoneticPr fontId="10" type="noConversion"/>
  </si>
  <si>
    <r>
      <rPr>
        <sz val="11"/>
        <color theme="1"/>
        <rFont val="나눔고딕"/>
        <family val="3"/>
        <charset val="129"/>
      </rPr>
      <t>인스턴스</t>
    </r>
    <r>
      <rPr>
        <sz val="11"/>
        <color theme="1"/>
        <rFont val="Times New Roman"/>
        <family val="1"/>
      </rPr>
      <t>_</t>
    </r>
    <r>
      <rPr>
        <sz val="11"/>
        <color theme="1"/>
        <rFont val="나눔고딕"/>
        <family val="3"/>
        <charset val="129"/>
      </rPr>
      <t>통합</t>
    </r>
  </si>
  <si>
    <t>Columns to be reflected in the dedicated files</t>
    <phoneticPr fontId="2" type="noConversion"/>
  </si>
  <si>
    <t>100%</t>
  </si>
  <si>
    <t>NO-GO</t>
  </si>
  <si>
    <t>ICCU, BMS</t>
  </si>
  <si>
    <t>issue_id</t>
  </si>
  <si>
    <t>severity</t>
  </si>
  <si>
    <t>status</t>
  </si>
  <si>
    <t>related_sw_id</t>
  </si>
  <si>
    <t>updated_at</t>
  </si>
  <si>
    <t>Major</t>
  </si>
  <si>
    <t>InProgress</t>
  </si>
  <si>
    <t>Critical</t>
  </si>
  <si>
    <t>Open</t>
  </si>
  <si>
    <t>ISSUE-2026-0156</t>
  </si>
  <si>
    <t>Minor</t>
  </si>
  <si>
    <t>Closed</t>
  </si>
  <si>
    <t>2026-06-20</t>
  </si>
  <si>
    <t>ISSUE-2026-0161</t>
  </si>
  <si>
    <t>2026-08-15</t>
  </si>
  <si>
    <t>ISSUE-2026-0168</t>
  </si>
  <si>
    <t>2026-08-18</t>
  </si>
  <si>
    <t>2026-08-20</t>
  </si>
  <si>
    <t>2026-08-21</t>
  </si>
  <si>
    <t>2026-08-20 14:00</t>
  </si>
  <si>
    <t>risk_id</t>
  </si>
  <si>
    <t>source</t>
  </si>
  <si>
    <t>RISK-0001</t>
  </si>
  <si>
    <t>AUTO</t>
  </si>
  <si>
    <t>RISK-0002</t>
  </si>
  <si>
    <t>RISK-0003</t>
  </si>
  <si>
    <t>RISK-0004</t>
  </si>
  <si>
    <t>MANUAL</t>
  </si>
  <si>
    <t>2026-09-30</t>
  </si>
  <si>
    <t>2026-08-22 10:00</t>
  </si>
  <si>
    <t>14.3%</t>
  </si>
  <si>
    <t>test_evidence_ref</t>
  </si>
  <si>
    <t>TR-VER-2026-0455</t>
  </si>
  <si>
    <t>2026-07-19</t>
  </si>
  <si>
    <t>TR-VER-2026-0501</t>
  </si>
  <si>
    <t>O</t>
  </si>
  <si>
    <t>SelfAudit_Guide</t>
  </si>
  <si>
    <r>
      <t>SUP9_</t>
    </r>
    <r>
      <rPr>
        <sz val="10"/>
        <color theme="1"/>
        <rFont val="나눔고딕"/>
        <family val="3"/>
        <charset val="129"/>
      </rPr>
      <t>이슈현황</t>
    </r>
  </si>
  <si>
    <r>
      <t>SUP9_</t>
    </r>
    <r>
      <rPr>
        <sz val="10"/>
        <color theme="1"/>
        <rFont val="나눔고딕"/>
        <family val="3"/>
        <charset val="129"/>
      </rPr>
      <t>재발결함</t>
    </r>
  </si>
  <si>
    <r>
      <t>SUP1_QA</t>
    </r>
    <r>
      <rPr>
        <sz val="10"/>
        <color theme="1"/>
        <rFont val="나눔고딕"/>
        <family val="3"/>
        <charset val="129"/>
      </rPr>
      <t>체크리스트</t>
    </r>
  </si>
  <si>
    <r>
      <t>MAN3_</t>
    </r>
    <r>
      <rPr>
        <sz val="10"/>
        <color theme="1"/>
        <rFont val="나눔고딕"/>
        <family val="3"/>
        <charset val="129"/>
      </rPr>
      <t>마일스톤리스크로그</t>
    </r>
  </si>
  <si>
    <r>
      <t>MAN5_</t>
    </r>
    <r>
      <rPr>
        <sz val="10"/>
        <color theme="1"/>
        <rFont val="나눔고딕"/>
        <family val="3"/>
        <charset val="129"/>
      </rPr>
      <t>리스크레지스터</t>
    </r>
  </si>
  <si>
    <r>
      <t>REU2_</t>
    </r>
    <r>
      <rPr>
        <sz val="10"/>
        <color theme="1"/>
        <rFont val="나눔고딕"/>
        <family val="3"/>
        <charset val="129"/>
      </rPr>
      <t>재사용심사이력</t>
    </r>
  </si>
  <si>
    <r>
      <t>SWE_</t>
    </r>
    <r>
      <rPr>
        <sz val="10"/>
        <color theme="1"/>
        <rFont val="나눔고딕"/>
        <family val="3"/>
        <charset val="129"/>
      </rPr>
      <t>검증현황</t>
    </r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</si>
  <si>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Inserting</t>
    </r>
    <phoneticPr fontId="10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</si>
  <si>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Filtering</t>
    </r>
    <phoneticPr fontId="10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</si>
  <si>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Shapes</t>
    </r>
    <phoneticPr fontId="10" type="noConversion"/>
  </si>
  <si>
    <r>
      <rPr>
        <sz val="9"/>
        <color theme="1"/>
        <rFont val="나눔고딕"/>
        <family val="3"/>
        <charset val="129"/>
      </rPr>
      <t>최초</t>
    </r>
    <r>
      <rPr>
        <sz val="9"/>
        <color theme="1"/>
        <rFont val="Times New Roman"/>
        <family val="1"/>
      </rPr>
      <t xml:space="preserve"> 1</t>
    </r>
    <r>
      <rPr>
        <sz val="9"/>
        <color theme="1"/>
        <rFont val="나눔고딕"/>
        <family val="3"/>
        <charset val="129"/>
      </rPr>
      <t>회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실행</t>
    </r>
    <phoneticPr fontId="2" type="noConversion"/>
  </si>
  <si>
    <r>
      <rPr>
        <b/>
        <sz val="11"/>
        <color rgb="FF1F2937"/>
        <rFont val="나눔고딕"/>
        <family val="3"/>
        <charset val="129"/>
      </rPr>
      <t>릴리즈</t>
    </r>
    <r>
      <rPr>
        <b/>
        <sz val="11"/>
        <color rgb="FF1F2937"/>
        <rFont val="Times New Roman"/>
        <family val="1"/>
      </rPr>
      <t xml:space="preserve"> </t>
    </r>
    <r>
      <rPr>
        <b/>
        <sz val="11"/>
        <color rgb="FF1F2937"/>
        <rFont val="나눔고딕"/>
        <family val="3"/>
        <charset val="129"/>
      </rPr>
      <t>준비도</t>
    </r>
    <r>
      <rPr>
        <b/>
        <sz val="11"/>
        <color rgb="FF1F2937"/>
        <rFont val="Times New Roman"/>
        <family val="1"/>
      </rPr>
      <t xml:space="preserve"> </t>
    </r>
    <r>
      <rPr>
        <b/>
        <sz val="11"/>
        <color rgb="FF1F2937"/>
        <rFont val="나눔고딕"/>
        <family val="3"/>
        <charset val="129"/>
      </rPr>
      <t>대시보드</t>
    </r>
  </si>
  <si>
    <r>
      <rPr>
        <sz val="10"/>
        <rFont val="나눔고딕"/>
        <family val="3"/>
        <charset val="129"/>
      </rPr>
      <t>미기록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경고</t>
    </r>
    <r>
      <rPr>
        <sz val="10"/>
        <rFont val="Times New Roman"/>
        <family val="1"/>
      </rPr>
      <t>)</t>
    </r>
  </si>
  <si>
    <r>
      <t xml:space="preserve">SUP.9 </t>
    </r>
    <r>
      <rPr>
        <b/>
        <sz val="11"/>
        <color rgb="FF1F2937"/>
        <rFont val="나눔고딕"/>
        <family val="3"/>
        <charset val="129"/>
      </rPr>
      <t>이슈</t>
    </r>
    <r>
      <rPr>
        <b/>
        <sz val="11"/>
        <color rgb="FF1F2937"/>
        <rFont val="Times New Roman"/>
        <family val="1"/>
      </rPr>
      <t xml:space="preserve"> </t>
    </r>
    <r>
      <rPr>
        <b/>
        <sz val="11"/>
        <color rgb="FF1F2937"/>
        <rFont val="나눔고딕"/>
        <family val="3"/>
        <charset val="129"/>
      </rPr>
      <t>현황</t>
    </r>
    <r>
      <rPr>
        <b/>
        <sz val="11"/>
        <color rgb="FF1F2937"/>
        <rFont val="Times New Roman"/>
        <family val="1"/>
      </rPr>
      <t xml:space="preserve"> </t>
    </r>
    <r>
      <rPr>
        <b/>
        <sz val="11"/>
        <color rgb="FF1F2937"/>
        <rFont val="나눔고딕"/>
        <family val="3"/>
        <charset val="129"/>
      </rPr>
      <t>캐시</t>
    </r>
  </si>
  <si>
    <r>
      <rPr>
        <i/>
        <sz val="9"/>
        <color rgb="FF666666"/>
        <rFont val="나눔고딕"/>
        <family val="3"/>
        <charset val="129"/>
      </rPr>
      <t>※</t>
    </r>
    <r>
      <rPr>
        <i/>
        <sz val="9"/>
        <color rgb="FF666666"/>
        <rFont val="Times New Roman"/>
        <family val="1"/>
      </rPr>
      <t xml:space="preserve"> mod_IssueSync.SyncIssueStatus</t>
    </r>
    <r>
      <rPr>
        <i/>
        <sz val="9"/>
        <color rgb="FF666666"/>
        <rFont val="나눔고딕"/>
        <family val="3"/>
        <charset val="129"/>
      </rPr>
      <t>가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코드비머</t>
    </r>
    <r>
      <rPr>
        <i/>
        <sz val="9"/>
        <color rgb="FF666666"/>
        <rFont val="Times New Roman"/>
        <family val="1"/>
      </rPr>
      <t xml:space="preserve"> CSV export</t>
    </r>
    <r>
      <rPr>
        <i/>
        <sz val="9"/>
        <color rgb="FF666666"/>
        <rFont val="나눔고딕"/>
        <family val="3"/>
        <charset val="129"/>
      </rPr>
      <t>를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읽어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채우는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캐시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시트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예시입니다</t>
    </r>
    <r>
      <rPr>
        <i/>
        <sz val="9"/>
        <color rgb="FF666666"/>
        <rFont val="Times New Roman"/>
        <family val="1"/>
      </rPr>
      <t>. linked_issue_id</t>
    </r>
    <r>
      <rPr>
        <i/>
        <sz val="9"/>
        <color rgb="FF666666"/>
        <rFont val="나눔고딕"/>
        <family val="3"/>
        <charset val="129"/>
      </rPr>
      <t>의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심각도</t>
    </r>
    <r>
      <rPr>
        <i/>
        <sz val="9"/>
        <color rgb="FF666666"/>
        <rFont val="Times New Roman"/>
        <family val="1"/>
      </rPr>
      <t>·</t>
    </r>
    <r>
      <rPr>
        <i/>
        <sz val="9"/>
        <color rgb="FF666666"/>
        <rFont val="나눔고딕"/>
        <family val="3"/>
        <charset val="129"/>
      </rPr>
      <t>상태를</t>
    </r>
    <r>
      <rPr>
        <i/>
        <sz val="9"/>
        <color rgb="FF666666"/>
        <rFont val="Times New Roman"/>
        <family val="1"/>
      </rPr>
      <t xml:space="preserve"> SSoT </t>
    </r>
    <r>
      <rPr>
        <i/>
        <sz val="9"/>
        <color rgb="FF666666"/>
        <rFont val="나눔고딕"/>
        <family val="3"/>
        <charset val="129"/>
      </rPr>
      <t>쪽에서도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조회할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수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있게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합니다</t>
    </r>
    <r>
      <rPr>
        <i/>
        <sz val="9"/>
        <color rgb="FF666666"/>
        <rFont val="Times New Roman"/>
        <family val="1"/>
      </rPr>
      <t>.</t>
    </r>
  </si>
  <si>
    <r>
      <rPr>
        <b/>
        <sz val="11"/>
        <color rgb="FF1F2937"/>
        <rFont val="나눔고딕"/>
        <family val="3"/>
        <charset val="129"/>
      </rPr>
      <t>재발결함</t>
    </r>
    <r>
      <rPr>
        <b/>
        <sz val="11"/>
        <color rgb="FF1F2937"/>
        <rFont val="Times New Roman"/>
        <family val="1"/>
      </rPr>
      <t xml:space="preserve">(Recurring Defect) </t>
    </r>
    <r>
      <rPr>
        <b/>
        <sz val="11"/>
        <color rgb="FF1F2937"/>
        <rFont val="나눔고딕"/>
        <family val="3"/>
        <charset val="129"/>
      </rPr>
      <t>트렌드</t>
    </r>
  </si>
  <si>
    <r>
      <rPr>
        <i/>
        <sz val="9"/>
        <color rgb="FF666666"/>
        <rFont val="나눔고딕"/>
        <family val="3"/>
        <charset val="129"/>
      </rPr>
      <t>※</t>
    </r>
    <r>
      <rPr>
        <i/>
        <sz val="9"/>
        <color rgb="FF666666"/>
        <rFont val="Times New Roman"/>
        <family val="1"/>
      </rPr>
      <t xml:space="preserve"> mod_IssueSync.AnalyzeDefectTrend </t>
    </r>
    <r>
      <rPr>
        <i/>
        <sz val="9"/>
        <color rgb="FF666666"/>
        <rFont val="나눔고딕"/>
        <family val="3"/>
        <charset val="129"/>
      </rPr>
      <t>실행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결과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예시</t>
    </r>
    <r>
      <rPr>
        <i/>
        <sz val="9"/>
        <color rgb="FF666666"/>
        <rFont val="Times New Roman"/>
        <family val="1"/>
      </rPr>
      <t>(</t>
    </r>
    <r>
      <rPr>
        <i/>
        <sz val="9"/>
        <color rgb="FF666666"/>
        <rFont val="나눔고딕"/>
        <family val="3"/>
        <charset val="129"/>
      </rPr>
      <t>최근</t>
    </r>
    <r>
      <rPr>
        <i/>
        <sz val="9"/>
        <color rgb="FF666666"/>
        <rFont val="Times New Roman"/>
        <family val="1"/>
      </rPr>
      <t xml:space="preserve"> 90</t>
    </r>
    <r>
      <rPr>
        <i/>
        <sz val="9"/>
        <color rgb="FF666666"/>
        <rFont val="나눔고딕"/>
        <family val="3"/>
        <charset val="129"/>
      </rPr>
      <t>일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내</t>
    </r>
    <r>
      <rPr>
        <i/>
        <sz val="9"/>
        <color rgb="FF666666"/>
        <rFont val="Times New Roman"/>
        <family val="1"/>
      </rPr>
      <t xml:space="preserve"> 3</t>
    </r>
    <r>
      <rPr>
        <i/>
        <sz val="9"/>
        <color rgb="FF666666"/>
        <rFont val="나눔고딕"/>
        <family val="3"/>
        <charset val="129"/>
      </rPr>
      <t>건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이상</t>
    </r>
    <r>
      <rPr>
        <i/>
        <sz val="9"/>
        <color rgb="FF666666"/>
        <rFont val="Times New Roman"/>
        <family val="1"/>
      </rPr>
      <t xml:space="preserve"> = </t>
    </r>
    <r>
      <rPr>
        <i/>
        <sz val="9"/>
        <color rgb="FF666666"/>
        <rFont val="나눔고딕"/>
        <family val="3"/>
        <charset val="129"/>
      </rPr>
      <t>결함집중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컴포넌트</t>
    </r>
    <r>
      <rPr>
        <i/>
        <sz val="9"/>
        <color rgb="FF666666"/>
        <rFont val="Times New Roman"/>
        <family val="1"/>
      </rPr>
      <t>).</t>
    </r>
  </si>
  <si>
    <r>
      <rPr>
        <b/>
        <sz val="10"/>
        <color rgb="FFFFFFFF"/>
        <rFont val="나눔고딕"/>
        <family val="3"/>
        <charset val="129"/>
      </rPr>
      <t>최근</t>
    </r>
    <r>
      <rPr>
        <b/>
        <sz val="10"/>
        <color rgb="FFFFFFFF"/>
        <rFont val="Times New Roman"/>
        <family val="1"/>
      </rPr>
      <t>90</t>
    </r>
    <r>
      <rPr>
        <b/>
        <sz val="10"/>
        <color rgb="FFFFFFFF"/>
        <rFont val="나눔고딕"/>
        <family val="3"/>
        <charset val="129"/>
      </rPr>
      <t>일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이슈건수</t>
    </r>
  </si>
  <si>
    <r>
      <rPr>
        <b/>
        <sz val="10"/>
        <color rgb="FFFFFFFF"/>
        <rFont val="나눔고딕"/>
        <family val="3"/>
        <charset val="129"/>
      </rPr>
      <t>판정</t>
    </r>
  </si>
  <si>
    <r>
      <rPr>
        <sz val="10"/>
        <rFont val="나눔고딕"/>
        <family val="3"/>
        <charset val="129"/>
      </rPr>
      <t>결함집중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컴포넌트</t>
    </r>
  </si>
  <si>
    <r>
      <rPr>
        <sz val="10"/>
        <rFont val="나눔고딕"/>
        <family val="3"/>
        <charset val="129"/>
      </rPr>
      <t>정상</t>
    </r>
  </si>
  <si>
    <r>
      <t xml:space="preserve">SUP.1 QA </t>
    </r>
    <r>
      <rPr>
        <b/>
        <sz val="11"/>
        <color rgb="FF1F2937"/>
        <rFont val="나눔고딕"/>
        <family val="3"/>
        <charset val="129"/>
      </rPr>
      <t>체크리스트</t>
    </r>
  </si>
  <si>
    <r>
      <rPr>
        <i/>
        <sz val="9"/>
        <color rgb="FF666666"/>
        <rFont val="나눔고딕"/>
        <family val="3"/>
        <charset val="129"/>
      </rPr>
      <t>※</t>
    </r>
    <r>
      <rPr>
        <i/>
        <sz val="9"/>
        <color rgb="FF666666"/>
        <rFont val="Times New Roman"/>
        <family val="1"/>
      </rPr>
      <t xml:space="preserve"> mod_QAChecklist.GenerateQAChecklist</t>
    </r>
    <r>
      <rPr>
        <i/>
        <sz val="9"/>
        <color rgb="FF666666"/>
        <rFont val="나눔고딕"/>
        <family val="3"/>
        <charset val="129"/>
      </rPr>
      <t>가</t>
    </r>
    <r>
      <rPr>
        <i/>
        <sz val="9"/>
        <color rgb="FF666666"/>
        <rFont val="Times New Roman"/>
        <family val="1"/>
      </rPr>
      <t xml:space="preserve"> IntegrityAuditResult </t>
    </r>
    <r>
      <rPr>
        <i/>
        <sz val="9"/>
        <color rgb="FF666666"/>
        <rFont val="나눔고딕"/>
        <family val="3"/>
        <charset val="129"/>
      </rPr>
      <t>위반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항목을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적재한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예시입니다</t>
    </r>
    <r>
      <rPr>
        <i/>
        <sz val="9"/>
        <color rgb="FF666666"/>
        <rFont val="Times New Roman"/>
        <family val="1"/>
      </rPr>
      <t xml:space="preserve">. QA </t>
    </r>
    <r>
      <rPr>
        <i/>
        <sz val="9"/>
        <color rgb="FF666666"/>
        <rFont val="나눔고딕"/>
        <family val="3"/>
        <charset val="129"/>
      </rPr>
      <t>담당자는</t>
    </r>
    <r>
      <rPr>
        <i/>
        <sz val="9"/>
        <color rgb="FF666666"/>
        <rFont val="Times New Roman"/>
        <family val="1"/>
      </rPr>
      <t xml:space="preserve"> MarkQAReviewed</t>
    </r>
    <r>
      <rPr>
        <i/>
        <sz val="9"/>
        <color rgb="FF666666"/>
        <rFont val="나눔고딕"/>
        <family val="3"/>
        <charset val="129"/>
      </rPr>
      <t>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검토완료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처리합니다</t>
    </r>
    <r>
      <rPr>
        <i/>
        <sz val="9"/>
        <color rgb="FF666666"/>
        <rFont val="Times New Roman"/>
        <family val="1"/>
      </rPr>
      <t>.</t>
    </r>
  </si>
  <si>
    <r>
      <rPr>
        <b/>
        <sz val="10"/>
        <color rgb="FFFFFFFF"/>
        <rFont val="나눔고딕"/>
        <family val="3"/>
        <charset val="129"/>
      </rPr>
      <t>규칙</t>
    </r>
    <r>
      <rPr>
        <b/>
        <sz val="10"/>
        <color rgb="FFFFFFFF"/>
        <rFont val="Times New Roman"/>
        <family val="1"/>
      </rPr>
      <t>ID</t>
    </r>
  </si>
  <si>
    <r>
      <rPr>
        <b/>
        <sz val="10"/>
        <color rgb="FFFFFFFF"/>
        <rFont val="나눔고딕"/>
        <family val="3"/>
        <charset val="129"/>
      </rPr>
      <t>심각도</t>
    </r>
  </si>
  <si>
    <r>
      <rPr>
        <b/>
        <sz val="10"/>
        <color rgb="FFFFFFFF"/>
        <rFont val="나눔고딕"/>
        <family val="3"/>
        <charset val="129"/>
      </rPr>
      <t>키</t>
    </r>
    <r>
      <rPr>
        <b/>
        <sz val="10"/>
        <color rgb="FFFFFFFF"/>
        <rFont val="Times New Roman"/>
        <family val="1"/>
      </rPr>
      <t xml:space="preserve">(SW_ID </t>
    </r>
    <r>
      <rPr>
        <b/>
        <sz val="10"/>
        <color rgb="FFFFFFFF"/>
        <rFont val="나눔고딕"/>
        <family val="3"/>
        <charset val="129"/>
      </rPr>
      <t>등</t>
    </r>
    <r>
      <rPr>
        <b/>
        <sz val="10"/>
        <color rgb="FFFFFFFF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</si>
  <si>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설명</t>
    </r>
  </si>
  <si>
    <r>
      <rPr>
        <b/>
        <sz val="10"/>
        <color rgb="FFFFFFFF"/>
        <rFont val="나눔고딕"/>
        <family val="3"/>
        <charset val="129"/>
      </rPr>
      <t>등록일</t>
    </r>
  </si>
  <si>
    <r>
      <rPr>
        <b/>
        <sz val="10"/>
        <color rgb="FFFFFFFF"/>
        <rFont val="나눔고딕"/>
        <family val="3"/>
        <charset val="129"/>
      </rPr>
      <t>상태</t>
    </r>
  </si>
  <si>
    <r>
      <t xml:space="preserve">QA </t>
    </r>
    <r>
      <rPr>
        <b/>
        <sz val="10"/>
        <color rgb="FFFFFFFF"/>
        <rFont val="나눔고딕"/>
        <family val="3"/>
        <charset val="129"/>
      </rPr>
      <t>코멘트</t>
    </r>
  </si>
  <si>
    <r>
      <rPr>
        <b/>
        <sz val="10"/>
        <color rgb="FFFFFFFF"/>
        <rFont val="나눔고딕"/>
        <family val="3"/>
        <charset val="129"/>
      </rPr>
      <t>재발방지대책</t>
    </r>
  </si>
  <si>
    <r>
      <rPr>
        <b/>
        <sz val="10"/>
        <color rgb="FFFFFFFF"/>
        <rFont val="나눔고딕"/>
        <family val="3"/>
        <charset val="129"/>
      </rPr>
      <t>검토자</t>
    </r>
  </si>
  <si>
    <r>
      <rPr>
        <b/>
        <sz val="10"/>
        <color rgb="FFFFFFFF"/>
        <rFont val="나눔고딕"/>
        <family val="3"/>
        <charset val="129"/>
      </rPr>
      <t>검토완료일</t>
    </r>
  </si>
  <si>
    <r>
      <t>formally_baselined</t>
    </r>
    <r>
      <rPr>
        <sz val="10"/>
        <rFont val="나눔고딕"/>
        <family val="3"/>
        <charset val="129"/>
      </rPr>
      <t>인데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스냅샷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없음</t>
    </r>
  </si>
  <si>
    <r>
      <rPr>
        <sz val="10"/>
        <rFont val="나눔고딕"/>
        <family val="3"/>
        <charset val="129"/>
      </rPr>
      <t>검토대기</t>
    </r>
  </si>
  <si>
    <r>
      <t xml:space="preserve">CVE_ref </t>
    </r>
    <r>
      <rPr>
        <sz val="10"/>
        <rFont val="나눔고딕"/>
        <family val="3"/>
        <charset val="129"/>
      </rPr>
      <t>현재값이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변경이력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최신값과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다름</t>
    </r>
  </si>
  <si>
    <r>
      <rPr>
        <sz val="10"/>
        <rFont val="나눔고딕"/>
        <family val="3"/>
        <charset val="129"/>
      </rPr>
      <t>검토완료</t>
    </r>
  </si>
  <si>
    <r>
      <t xml:space="preserve">UpdateSSoTFromChangeLog </t>
    </r>
    <r>
      <rPr>
        <sz val="10"/>
        <rFont val="나눔고딕"/>
        <family val="3"/>
        <charset val="129"/>
      </rPr>
      <t>미실행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확인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실행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재검증함</t>
    </r>
  </si>
  <si>
    <r>
      <rPr>
        <sz val="10"/>
        <rFont val="나눔고딕"/>
        <family val="3"/>
        <charset val="129"/>
      </rPr>
      <t>매크로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실행을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릴리즈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체크리스트에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필수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항목으로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추가</t>
    </r>
  </si>
  <si>
    <r>
      <rPr>
        <sz val="10"/>
        <rFont val="나눔고딕"/>
        <family val="3"/>
        <charset val="129"/>
      </rPr>
      <t>한풍규</t>
    </r>
  </si>
  <si>
    <r>
      <t>vuln_status</t>
    </r>
    <r>
      <rPr>
        <sz val="10"/>
        <rFont val="나눔고딕"/>
        <family val="3"/>
        <charset val="129"/>
      </rPr>
      <t>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있는데</t>
    </r>
    <r>
      <rPr>
        <sz val="10"/>
        <rFont val="Times New Roman"/>
        <family val="1"/>
      </rPr>
      <t xml:space="preserve"> CVE_ref/internal_vuln_id </t>
    </r>
    <r>
      <rPr>
        <sz val="10"/>
        <rFont val="나눔고딕"/>
        <family val="3"/>
        <charset val="129"/>
      </rPr>
      <t>없음</t>
    </r>
  </si>
  <si>
    <r>
      <t xml:space="preserve">MAN.3 </t>
    </r>
    <r>
      <rPr>
        <b/>
        <sz val="11"/>
        <color rgb="FF1F2937"/>
        <rFont val="나눔고딕"/>
        <family val="3"/>
        <charset val="129"/>
      </rPr>
      <t>마일스톤</t>
    </r>
    <r>
      <rPr>
        <b/>
        <sz val="11"/>
        <color rgb="FF1F2937"/>
        <rFont val="Times New Roman"/>
        <family val="1"/>
      </rPr>
      <t xml:space="preserve"> </t>
    </r>
    <r>
      <rPr>
        <b/>
        <sz val="11"/>
        <color rgb="FF1F2937"/>
        <rFont val="나눔고딕"/>
        <family val="3"/>
        <charset val="129"/>
      </rPr>
      <t>리뷰</t>
    </r>
    <r>
      <rPr>
        <b/>
        <sz val="11"/>
        <color rgb="FF1F2937"/>
        <rFont val="Times New Roman"/>
        <family val="1"/>
      </rPr>
      <t xml:space="preserve"> </t>
    </r>
    <r>
      <rPr>
        <b/>
        <sz val="11"/>
        <color rgb="FF1F2937"/>
        <rFont val="나눔고딕"/>
        <family val="3"/>
        <charset val="129"/>
      </rPr>
      <t>로그</t>
    </r>
  </si>
  <si>
    <r>
      <rPr>
        <i/>
        <sz val="9"/>
        <color rgb="FF666666"/>
        <rFont val="나눔고딕"/>
        <family val="3"/>
        <charset val="129"/>
      </rPr>
      <t>※</t>
    </r>
    <r>
      <rPr>
        <i/>
        <sz val="9"/>
        <color rgb="FF666666"/>
        <rFont val="Times New Roman"/>
        <family val="1"/>
      </rPr>
      <t xml:space="preserve"> mod_MilestoneLog.LogMilestoneReview</t>
    </r>
    <r>
      <rPr>
        <i/>
        <sz val="9"/>
        <color rgb="FF666666"/>
        <rFont val="나눔고딕"/>
        <family val="3"/>
        <charset val="129"/>
      </rPr>
      <t>가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릴리즈</t>
    </r>
    <r>
      <rPr>
        <i/>
        <sz val="9"/>
        <color rgb="FF666666"/>
        <rFont val="Times New Roman"/>
        <family val="1"/>
      </rPr>
      <t>_</t>
    </r>
    <r>
      <rPr>
        <i/>
        <sz val="9"/>
        <color rgb="FF666666"/>
        <rFont val="나눔고딕"/>
        <family val="3"/>
        <charset val="129"/>
      </rPr>
      <t>준비도의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특정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시점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스냅샷을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기록한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예시입니다</t>
    </r>
    <r>
      <rPr>
        <i/>
        <sz val="9"/>
        <color rgb="FF666666"/>
        <rFont val="Times New Roman"/>
        <family val="1"/>
      </rPr>
      <t>.</t>
    </r>
  </si>
  <si>
    <r>
      <rPr>
        <b/>
        <sz val="10"/>
        <color rgb="FFFFFFFF"/>
        <rFont val="나눔고딕"/>
        <family val="3"/>
        <charset val="129"/>
      </rPr>
      <t>리뷰일시</t>
    </r>
  </si>
  <si>
    <r>
      <t xml:space="preserve">CR </t>
    </r>
    <r>
      <rPr>
        <b/>
        <sz val="10"/>
        <color rgb="FFFFFFFF"/>
        <rFont val="나눔고딕"/>
        <family val="3"/>
        <charset val="129"/>
      </rPr>
      <t>반영률</t>
    </r>
  </si>
  <si>
    <r>
      <t xml:space="preserve">CVE </t>
    </r>
    <r>
      <rPr>
        <b/>
        <sz val="10"/>
        <color rgb="FFFFFFFF"/>
        <rFont val="나눔고딕"/>
        <family val="3"/>
        <charset val="129"/>
      </rPr>
      <t>잔존건수</t>
    </r>
  </si>
  <si>
    <r>
      <rPr>
        <b/>
        <sz val="10"/>
        <color rgb="FFFFFFFF"/>
        <rFont val="나눔고딕"/>
        <family val="3"/>
        <charset val="129"/>
      </rPr>
      <t>미종결</t>
    </r>
    <r>
      <rPr>
        <b/>
        <sz val="10"/>
        <color rgb="FFFFFFFF"/>
        <rFont val="Times New Roman"/>
        <family val="1"/>
      </rPr>
      <t xml:space="preserve"> Critical </t>
    </r>
    <r>
      <rPr>
        <b/>
        <sz val="10"/>
        <color rgb="FFFFFFFF"/>
        <rFont val="나눔고딕"/>
        <family val="3"/>
        <charset val="129"/>
      </rPr>
      <t>이슈</t>
    </r>
  </si>
  <si>
    <r>
      <rPr>
        <b/>
        <sz val="10"/>
        <color rgb="FFFFFFFF"/>
        <rFont val="나눔고딕"/>
        <family val="3"/>
        <charset val="129"/>
      </rPr>
      <t>스냅샷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상태</t>
    </r>
  </si>
  <si>
    <r>
      <rPr>
        <b/>
        <sz val="10"/>
        <color rgb="FFFFFFFF"/>
        <rFont val="나눔고딕"/>
        <family val="3"/>
        <charset val="129"/>
      </rPr>
      <t>결정</t>
    </r>
  </si>
  <si>
    <r>
      <rPr>
        <b/>
        <sz val="10"/>
        <color rgb="FFFFFFFF"/>
        <rFont val="나눔고딕"/>
        <family val="3"/>
        <charset val="129"/>
      </rPr>
      <t>판정사유</t>
    </r>
    <r>
      <rPr>
        <b/>
        <sz val="10"/>
        <color rgb="FFFFFFFF"/>
        <rFont val="Times New Roman"/>
        <family val="1"/>
      </rPr>
      <t>(</t>
    </r>
    <r>
      <rPr>
        <b/>
        <sz val="10"/>
        <color rgb="FFFFFFFF"/>
        <rFont val="나눔고딕"/>
        <family val="3"/>
        <charset val="129"/>
      </rPr>
      <t>당시</t>
    </r>
    <r>
      <rPr>
        <b/>
        <sz val="10"/>
        <color rgb="FFFFFFFF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</si>
  <si>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리뷰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코멘트</t>
    </r>
  </si>
  <si>
    <r>
      <rPr>
        <b/>
        <sz val="10"/>
        <color rgb="FFFFFFFF"/>
        <rFont val="나눔고딕"/>
        <family val="3"/>
        <charset val="129"/>
      </rPr>
      <t>리뷰어</t>
    </r>
  </si>
  <si>
    <r>
      <t>CVE 1</t>
    </r>
    <r>
      <rPr>
        <sz val="10"/>
        <rFont val="나눔고딕"/>
        <family val="3"/>
        <charset val="129"/>
      </rPr>
      <t>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잔존</t>
    </r>
    <r>
      <rPr>
        <sz val="10"/>
        <rFont val="Times New Roman"/>
        <family val="1"/>
      </rPr>
      <t xml:space="preserve">; </t>
    </r>
    <r>
      <rPr>
        <sz val="10"/>
        <rFont val="나눔고딕"/>
        <family val="3"/>
        <charset val="129"/>
      </rPr>
      <t>스냅샷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미기록</t>
    </r>
    <r>
      <rPr>
        <sz val="10"/>
        <rFont val="Times New Roman"/>
        <family val="1"/>
      </rPr>
      <t>;</t>
    </r>
  </si>
  <si>
    <r>
      <t xml:space="preserve">CVE </t>
    </r>
    <r>
      <rPr>
        <sz val="10"/>
        <rFont val="나눔고딕"/>
        <family val="3"/>
        <charset val="129"/>
      </rPr>
      <t>조치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완료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및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스냅샷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생성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재심의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예정</t>
    </r>
  </si>
  <si>
    <r>
      <t xml:space="preserve">MAN.5 </t>
    </r>
    <r>
      <rPr>
        <b/>
        <sz val="11"/>
        <color rgb="FF1F2937"/>
        <rFont val="나눔고딕"/>
        <family val="3"/>
        <charset val="129"/>
      </rPr>
      <t>리스크</t>
    </r>
    <r>
      <rPr>
        <b/>
        <sz val="11"/>
        <color rgb="FF1F2937"/>
        <rFont val="Times New Roman"/>
        <family val="1"/>
      </rPr>
      <t xml:space="preserve"> </t>
    </r>
    <r>
      <rPr>
        <b/>
        <sz val="11"/>
        <color rgb="FF1F2937"/>
        <rFont val="나눔고딕"/>
        <family val="3"/>
        <charset val="129"/>
      </rPr>
      <t>레지스터</t>
    </r>
  </si>
  <si>
    <r>
      <rPr>
        <i/>
        <sz val="9"/>
        <color rgb="FF666666"/>
        <rFont val="나눔고딕"/>
        <family val="3"/>
        <charset val="129"/>
      </rPr>
      <t>※</t>
    </r>
    <r>
      <rPr>
        <i/>
        <sz val="9"/>
        <color rgb="FF666666"/>
        <rFont val="Times New Roman"/>
        <family val="1"/>
      </rPr>
      <t xml:space="preserve"> mod_RiskRegister.RefreshRiskRegister </t>
    </r>
    <r>
      <rPr>
        <i/>
        <sz val="9"/>
        <color rgb="FF666666"/>
        <rFont val="나눔고딕"/>
        <family val="3"/>
        <charset val="129"/>
      </rPr>
      <t>실행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결과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예시</t>
    </r>
    <r>
      <rPr>
        <i/>
        <sz val="9"/>
        <color rgb="FF666666"/>
        <rFont val="Times New Roman"/>
        <family val="1"/>
      </rPr>
      <t>. F</t>
    </r>
    <r>
      <rPr>
        <i/>
        <sz val="9"/>
        <color rgb="FF666666"/>
        <rFont val="나눔고딕"/>
        <family val="3"/>
        <charset val="129"/>
      </rPr>
      <t>열</t>
    </r>
    <r>
      <rPr>
        <i/>
        <sz val="9"/>
        <color rgb="FF666666"/>
        <rFont val="Times New Roman"/>
        <family val="1"/>
      </rPr>
      <t xml:space="preserve">=AUTO </t>
    </r>
    <r>
      <rPr>
        <i/>
        <sz val="9"/>
        <color rgb="FF666666"/>
        <rFont val="나눔고딕"/>
        <family val="3"/>
        <charset val="129"/>
      </rPr>
      <t>행은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재실행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자동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재생성되며</t>
    </r>
    <r>
      <rPr>
        <i/>
        <sz val="9"/>
        <color rgb="FF666666"/>
        <rFont val="Times New Roman"/>
        <family val="1"/>
      </rPr>
      <t xml:space="preserve">, </t>
    </r>
    <r>
      <rPr>
        <i/>
        <sz val="9"/>
        <color rgb="FF666666"/>
        <rFont val="나눔고딕"/>
        <family val="3"/>
        <charset val="129"/>
      </rPr>
      <t>수기로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추가한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행</t>
    </r>
    <r>
      <rPr>
        <i/>
        <sz val="9"/>
        <color rgb="FF666666"/>
        <rFont val="Times New Roman"/>
        <family val="1"/>
      </rPr>
      <t>(F</t>
    </r>
    <r>
      <rPr>
        <i/>
        <sz val="9"/>
        <color rgb="FF666666"/>
        <rFont val="나눔고딕"/>
        <family val="3"/>
        <charset val="129"/>
      </rPr>
      <t>열≠</t>
    </r>
    <r>
      <rPr>
        <i/>
        <sz val="9"/>
        <color rgb="FF666666"/>
        <rFont val="Times New Roman"/>
        <family val="1"/>
      </rPr>
      <t>AUTO)</t>
    </r>
    <r>
      <rPr>
        <i/>
        <sz val="9"/>
        <color rgb="FF666666"/>
        <rFont val="나눔고딕"/>
        <family val="3"/>
        <charset val="129"/>
      </rPr>
      <t>은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보존됩니다</t>
    </r>
    <r>
      <rPr>
        <i/>
        <sz val="9"/>
        <color rgb="FF666666"/>
        <rFont val="Times New Roman"/>
        <family val="1"/>
      </rPr>
      <t>.</t>
    </r>
  </si>
  <si>
    <r>
      <rPr>
        <b/>
        <sz val="10"/>
        <color rgb="FFFFFFFF"/>
        <rFont val="나눔고딕"/>
        <family val="3"/>
        <charset val="129"/>
      </rPr>
      <t>관련</t>
    </r>
    <r>
      <rPr>
        <b/>
        <sz val="10"/>
        <color rgb="FFFFFFFF"/>
        <rFont val="Times New Roman"/>
        <family val="1"/>
      </rPr>
      <t xml:space="preserve"> SW_ID/baseline_id</t>
    </r>
  </si>
  <si>
    <r>
      <rPr>
        <b/>
        <sz val="10"/>
        <color rgb="FFFFFFFF"/>
        <rFont val="나눔고딕"/>
        <family val="3"/>
        <charset val="129"/>
      </rPr>
      <t>위험도</t>
    </r>
  </si>
  <si>
    <r>
      <rPr>
        <b/>
        <sz val="10"/>
        <color rgb="FFFFFFFF"/>
        <rFont val="나눔고딕"/>
        <family val="3"/>
        <charset val="129"/>
      </rPr>
      <t>등록구분</t>
    </r>
  </si>
  <si>
    <r>
      <rPr>
        <b/>
        <sz val="10"/>
        <color rgb="FFFFFFFF"/>
        <rFont val="나눔고딕"/>
        <family val="3"/>
        <charset val="129"/>
      </rPr>
      <t>조치담당자</t>
    </r>
    <r>
      <rPr>
        <b/>
        <sz val="10"/>
        <color rgb="FFFFFFFF"/>
        <rFont val="Times New Roman"/>
        <family val="1"/>
      </rPr>
      <t>(</t>
    </r>
    <r>
      <rPr>
        <b/>
        <sz val="10"/>
        <color rgb="FFFFFFFF"/>
        <rFont val="나눔고딕"/>
        <family val="3"/>
        <charset val="129"/>
      </rPr>
      <t>수기</t>
    </r>
    <r>
      <rPr>
        <b/>
        <sz val="10"/>
        <color rgb="FFFFFFFF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</si>
  <si>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조치기한</t>
    </r>
    <r>
      <rPr>
        <b/>
        <sz val="10"/>
        <color rgb="FFFFFFFF"/>
        <rFont val="Times New Roman"/>
        <family val="1"/>
      </rPr>
      <t>(</t>
    </r>
    <r>
      <rPr>
        <b/>
        <sz val="10"/>
        <color rgb="FFFFFFFF"/>
        <rFont val="나눔고딕"/>
        <family val="3"/>
        <charset val="129"/>
      </rPr>
      <t>수기</t>
    </r>
    <r>
      <rPr>
        <b/>
        <sz val="10"/>
        <color rgb="FFFFFFFF"/>
        <rFont val="Times New Roman"/>
        <family val="1"/>
      </rPr>
      <t>)</t>
    </r>
  </si>
  <si>
    <r>
      <t xml:space="preserve">CVE </t>
    </r>
    <r>
      <rPr>
        <sz val="10"/>
        <rFont val="나눔고딕"/>
        <family val="3"/>
        <charset val="129"/>
      </rPr>
      <t>미조치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조치중</t>
    </r>
  </si>
  <si>
    <r>
      <rPr>
        <sz val="10"/>
        <rFont val="나눔고딕"/>
        <family val="3"/>
        <charset val="129"/>
      </rPr>
      <t>조치중</t>
    </r>
  </si>
  <si>
    <r>
      <t xml:space="preserve">CCB </t>
    </r>
    <r>
      <rPr>
        <sz val="10"/>
        <rFont val="나눔고딕"/>
        <family val="3"/>
        <charset val="129"/>
      </rPr>
      <t>소급승인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대기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우회배포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</si>
  <si>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소급승인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대기중</t>
    </r>
  </si>
  <si>
    <r>
      <rPr>
        <sz val="10"/>
        <rFont val="나눔고딕"/>
        <family val="3"/>
        <charset val="129"/>
      </rPr>
      <t>재발결함</t>
    </r>
    <r>
      <rPr>
        <sz val="10"/>
        <rFont val="Times New Roman"/>
        <family val="1"/>
      </rPr>
      <t xml:space="preserve">(SUP.9 </t>
    </r>
    <r>
      <rPr>
        <sz val="10"/>
        <rFont val="나눔고딕"/>
        <family val="3"/>
        <charset val="129"/>
      </rPr>
      <t>트렌드분석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</si>
  <si>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모니터링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필요</t>
    </r>
  </si>
  <si>
    <r>
      <rPr>
        <sz val="10"/>
        <rFont val="나눔고딕"/>
        <family val="3"/>
        <charset val="129"/>
      </rPr>
      <t>공급망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라이선스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만료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임박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수기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예시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</si>
  <si>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확인중</t>
    </r>
  </si>
  <si>
    <r>
      <rPr>
        <sz val="10"/>
        <rFont val="나눔고딕"/>
        <family val="3"/>
        <charset val="129"/>
      </rPr>
      <t>구매팀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김</t>
    </r>
    <r>
      <rPr>
        <sz val="10"/>
        <rFont val="Times New Roman"/>
        <family val="1"/>
      </rPr>
      <t>OO</t>
    </r>
  </si>
  <si>
    <r>
      <t xml:space="preserve">REU.2 </t>
    </r>
    <r>
      <rPr>
        <b/>
        <sz val="11"/>
        <color rgb="FF1F2937"/>
        <rFont val="나눔고딕"/>
        <family val="3"/>
        <charset val="129"/>
      </rPr>
      <t>재사용</t>
    </r>
    <r>
      <rPr>
        <b/>
        <sz val="11"/>
        <color rgb="FF1F2937"/>
        <rFont val="Times New Roman"/>
        <family val="1"/>
      </rPr>
      <t xml:space="preserve"> </t>
    </r>
    <r>
      <rPr>
        <b/>
        <sz val="11"/>
        <color rgb="FF1F2937"/>
        <rFont val="나눔고딕"/>
        <family val="3"/>
        <charset val="129"/>
      </rPr>
      <t>심사</t>
    </r>
    <r>
      <rPr>
        <b/>
        <sz val="11"/>
        <color rgb="FF1F2937"/>
        <rFont val="Times New Roman"/>
        <family val="1"/>
      </rPr>
      <t xml:space="preserve"> </t>
    </r>
    <r>
      <rPr>
        <b/>
        <sz val="11"/>
        <color rgb="FF1F2937"/>
        <rFont val="나눔고딕"/>
        <family val="3"/>
        <charset val="129"/>
      </rPr>
      <t>이력</t>
    </r>
  </si>
  <si>
    <r>
      <rPr>
        <i/>
        <sz val="9"/>
        <color rgb="FF666666"/>
        <rFont val="나눔고딕"/>
        <family val="3"/>
        <charset val="129"/>
      </rPr>
      <t>※</t>
    </r>
    <r>
      <rPr>
        <i/>
        <sz val="9"/>
        <color rgb="FF666666"/>
        <rFont val="Times New Roman"/>
        <family val="1"/>
      </rPr>
      <t xml:space="preserve"> mod_ReuseAudit.LogReuseAudit</t>
    </r>
    <r>
      <rPr>
        <i/>
        <sz val="9"/>
        <color rgb="FF666666"/>
        <rFont val="나눔고딕"/>
        <family val="3"/>
        <charset val="129"/>
      </rPr>
      <t>가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재사용</t>
    </r>
    <r>
      <rPr>
        <i/>
        <sz val="9"/>
        <color rgb="FF666666"/>
        <rFont val="Times New Roman"/>
        <family val="1"/>
      </rPr>
      <t>_</t>
    </r>
    <r>
      <rPr>
        <i/>
        <sz val="9"/>
        <color rgb="FF666666"/>
        <rFont val="나눔고딕"/>
        <family val="3"/>
        <charset val="129"/>
      </rPr>
      <t>지표의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요약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통계를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심사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시점마다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스냅샷으로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남긴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예시</t>
    </r>
    <r>
      <rPr>
        <i/>
        <sz val="9"/>
        <color rgb="FF666666"/>
        <rFont val="Times New Roman"/>
        <family val="1"/>
      </rPr>
      <t>.</t>
    </r>
  </si>
  <si>
    <r>
      <t xml:space="preserve">SWE.1/SWE.6 </t>
    </r>
    <r>
      <rPr>
        <b/>
        <sz val="11"/>
        <color rgb="FF1F2937"/>
        <rFont val="나눔고딕"/>
        <family val="3"/>
        <charset val="129"/>
      </rPr>
      <t>검증</t>
    </r>
    <r>
      <rPr>
        <b/>
        <sz val="11"/>
        <color rgb="FF1F2937"/>
        <rFont val="Times New Roman"/>
        <family val="1"/>
      </rPr>
      <t xml:space="preserve"> </t>
    </r>
    <r>
      <rPr>
        <b/>
        <sz val="11"/>
        <color rgb="FF1F2937"/>
        <rFont val="나눔고딕"/>
        <family val="3"/>
        <charset val="129"/>
      </rPr>
      <t>현황</t>
    </r>
  </si>
  <si>
    <r>
      <rPr>
        <i/>
        <sz val="9"/>
        <color rgb="FF666666"/>
        <rFont val="나눔고딕"/>
        <family val="3"/>
        <charset val="129"/>
      </rPr>
      <t>※</t>
    </r>
    <r>
      <rPr>
        <i/>
        <sz val="9"/>
        <color rgb="FF666666"/>
        <rFont val="Times New Roman"/>
        <family val="1"/>
      </rPr>
      <t xml:space="preserve"> mod_VerificationGate.CheckVerificationGate</t>
    </r>
    <r>
      <rPr>
        <i/>
        <sz val="9"/>
        <color rgb="FF666666"/>
        <rFont val="나눔고딕"/>
        <family val="3"/>
        <charset val="129"/>
      </rPr>
      <t>가</t>
    </r>
    <r>
      <rPr>
        <i/>
        <sz val="9"/>
        <color rgb="FF666666"/>
        <rFont val="Times New Roman"/>
        <family val="1"/>
      </rPr>
      <t xml:space="preserve"> baseline </t>
    </r>
    <r>
      <rPr>
        <i/>
        <sz val="9"/>
        <color rgb="FF666666"/>
        <rFont val="나눔고딕"/>
        <family val="3"/>
        <charset val="129"/>
      </rPr>
      <t>확정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전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참조하는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시트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예시</t>
    </r>
    <r>
      <rPr>
        <i/>
        <sz val="9"/>
        <color rgb="FF666666"/>
        <rFont val="Times New Roman"/>
        <family val="1"/>
      </rPr>
      <t xml:space="preserve">. </t>
    </r>
    <r>
      <rPr>
        <i/>
        <sz val="9"/>
        <color rgb="FF666666"/>
        <rFont val="나눔고딕"/>
        <family val="3"/>
        <charset val="129"/>
      </rPr>
      <t>모든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행이</t>
    </r>
    <r>
      <rPr>
        <i/>
        <sz val="9"/>
        <color rgb="FF666666"/>
        <rFont val="Times New Roman"/>
        <family val="1"/>
      </rPr>
      <t xml:space="preserve"> '</t>
    </r>
    <r>
      <rPr>
        <i/>
        <sz val="9"/>
        <color rgb="FF666666"/>
        <rFont val="나눔고딕"/>
        <family val="3"/>
        <charset val="129"/>
      </rPr>
      <t>완료</t>
    </r>
    <r>
      <rPr>
        <i/>
        <sz val="9"/>
        <color rgb="FF666666"/>
        <rFont val="Times New Roman"/>
        <family val="1"/>
      </rPr>
      <t>'</t>
    </r>
    <r>
      <rPr>
        <i/>
        <sz val="9"/>
        <color rgb="FF666666"/>
        <rFont val="나눔고딕"/>
        <family val="3"/>
        <charset val="129"/>
      </rPr>
      <t>여야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검증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게이트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통과로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판정됩니다</t>
    </r>
    <r>
      <rPr>
        <i/>
        <sz val="9"/>
        <color rgb="FF666666"/>
        <rFont val="Times New Roman"/>
        <family val="1"/>
      </rPr>
      <t>.</t>
    </r>
  </si>
  <si>
    <r>
      <rPr>
        <b/>
        <sz val="10"/>
        <color rgb="FFFFFFFF"/>
        <rFont val="나눔고딕"/>
        <family val="3"/>
        <charset val="129"/>
      </rPr>
      <t>검증상태</t>
    </r>
  </si>
  <si>
    <r>
      <rPr>
        <b/>
        <sz val="10"/>
        <color rgb="FFFFFFFF"/>
        <rFont val="나눔고딕"/>
        <family val="3"/>
        <charset val="129"/>
      </rPr>
      <t>검증담당자</t>
    </r>
  </si>
  <si>
    <r>
      <rPr>
        <b/>
        <sz val="10"/>
        <color rgb="FFFFFFFF"/>
        <rFont val="나눔고딕"/>
        <family val="3"/>
        <charset val="129"/>
      </rPr>
      <t>완료일</t>
    </r>
  </si>
  <si>
    <r>
      <rPr>
        <sz val="10"/>
        <rFont val="나눔고딕"/>
        <family val="3"/>
        <charset val="129"/>
      </rPr>
      <t>완료</t>
    </r>
  </si>
  <si>
    <r>
      <rPr>
        <sz val="10"/>
        <rFont val="나눔고딕"/>
        <family val="3"/>
        <charset val="129"/>
      </rPr>
      <t>박</t>
    </r>
    <r>
      <rPr>
        <sz val="10"/>
        <rFont val="Times New Roman"/>
        <family val="1"/>
      </rPr>
      <t>OO</t>
    </r>
  </si>
  <si>
    <r>
      <rPr>
        <sz val="10"/>
        <rFont val="나눔고딕"/>
        <family val="3"/>
        <charset val="129"/>
      </rPr>
      <t>진행중</t>
    </r>
  </si>
  <si>
    <r>
      <rPr>
        <b/>
        <sz val="11"/>
        <color rgb="FF1F2937"/>
        <rFont val="나눔고딕"/>
        <family val="3"/>
        <charset val="129"/>
      </rPr>
      <t>변형</t>
    </r>
    <r>
      <rPr>
        <b/>
        <sz val="11"/>
        <color rgb="FF1F2937"/>
        <rFont val="Times New Roman"/>
        <family val="1"/>
      </rPr>
      <t>/</t>
    </r>
    <r>
      <rPr>
        <b/>
        <sz val="11"/>
        <color rgb="FF1F2937"/>
        <rFont val="나눔고딕"/>
        <family val="3"/>
        <charset val="129"/>
      </rPr>
      <t>파생관리</t>
    </r>
    <r>
      <rPr>
        <b/>
        <sz val="11"/>
        <color rgb="FF1F2937"/>
        <rFont val="Times New Roman"/>
        <family val="1"/>
      </rPr>
      <t xml:space="preserve"> </t>
    </r>
    <r>
      <rPr>
        <b/>
        <sz val="11"/>
        <color rgb="FF1F2937"/>
        <rFont val="나눔고딕"/>
        <family val="3"/>
        <charset val="129"/>
      </rPr>
      <t>매트릭스</t>
    </r>
    <r>
      <rPr>
        <b/>
        <sz val="11"/>
        <color rgb="FF1F2937"/>
        <rFont val="Times New Roman"/>
        <family val="1"/>
      </rPr>
      <t xml:space="preserve"> (150% BOM </t>
    </r>
    <r>
      <rPr>
        <b/>
        <sz val="11"/>
        <color rgb="FF1F2937"/>
        <rFont val="나눔고딕"/>
        <family val="3"/>
        <charset val="129"/>
      </rPr>
      <t>패턴</t>
    </r>
    <r>
      <rPr>
        <b/>
        <sz val="11"/>
        <color rgb="FF1F2937"/>
        <rFont val="Times New Roman"/>
        <family val="1"/>
      </rPr>
      <t>)</t>
    </r>
  </si>
  <si>
    <r>
      <rPr>
        <i/>
        <sz val="9"/>
        <color rgb="FF666666"/>
        <rFont val="나눔고딕"/>
        <family val="3"/>
        <charset val="129"/>
      </rPr>
      <t>※</t>
    </r>
    <r>
      <rPr>
        <i/>
        <sz val="9"/>
        <color rgb="FF666666"/>
        <rFont val="Times New Roman"/>
        <family val="1"/>
      </rPr>
      <t xml:space="preserve"> mod_VariantMatrix.RefreshVariantMatrix</t>
    </r>
    <r>
      <rPr>
        <i/>
        <sz val="9"/>
        <color rgb="FF666666"/>
        <rFont val="나눔고딕"/>
        <family val="3"/>
        <charset val="129"/>
      </rPr>
      <t>가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유지보수</t>
    </r>
    <r>
      <rPr>
        <i/>
        <sz val="9"/>
        <color rgb="FF666666"/>
        <rFont val="Times New Roman"/>
        <family val="1"/>
      </rPr>
      <t>_SAMPLE_</t>
    </r>
    <r>
      <rPr>
        <i/>
        <sz val="9"/>
        <color rgb="FF666666"/>
        <rFont val="나눔고딕"/>
        <family val="3"/>
        <charset val="129"/>
      </rPr>
      <t>함수단위의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적용차종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데이터로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생성한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예시입니다</t>
    </r>
    <r>
      <rPr>
        <i/>
        <sz val="9"/>
        <color rgb="FF666666"/>
        <rFont val="Times New Roman"/>
        <family val="1"/>
      </rPr>
      <t xml:space="preserve">. </t>
    </r>
    <r>
      <rPr>
        <i/>
        <sz val="9"/>
        <color rgb="FF666666"/>
        <rFont val="나눔고딕"/>
        <family val="3"/>
        <charset val="129"/>
      </rPr>
      <t>원본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예시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데이터가</t>
    </r>
    <r>
      <rPr>
        <i/>
        <sz val="9"/>
        <color rgb="FF666666"/>
        <rFont val="Times New Roman"/>
        <family val="1"/>
      </rPr>
      <t xml:space="preserve"> SWU_torque_ctrl 1</t>
    </r>
    <r>
      <rPr>
        <i/>
        <sz val="9"/>
        <color rgb="FF666666"/>
        <rFont val="나눔고딕"/>
        <family val="3"/>
        <charset val="129"/>
      </rPr>
      <t>건뿐이라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매트릭스가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작습니다</t>
    </r>
    <r>
      <rPr>
        <i/>
        <sz val="9"/>
        <color rgb="FF666666"/>
        <rFont val="Times New Roman"/>
        <family val="1"/>
      </rPr>
      <t xml:space="preserve"> — </t>
    </r>
    <r>
      <rPr>
        <i/>
        <sz val="9"/>
        <color rgb="FF666666"/>
        <rFont val="나눔고딕"/>
        <family val="3"/>
        <charset val="129"/>
      </rPr>
      <t>실제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운영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인스턴스</t>
    </r>
    <r>
      <rPr>
        <i/>
        <sz val="9"/>
        <color rgb="FF666666"/>
        <rFont val="Times New Roman"/>
        <family val="1"/>
      </rPr>
      <t>_</t>
    </r>
    <r>
      <rPr>
        <i/>
        <sz val="9"/>
        <color rgb="FF666666"/>
        <rFont val="나눔고딕"/>
        <family val="3"/>
        <charset val="129"/>
      </rPr>
      <t>목록에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등록된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모든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유지보수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파일을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순회하면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행</t>
    </r>
    <r>
      <rPr>
        <i/>
        <sz val="9"/>
        <color rgb="FF666666"/>
        <rFont val="Times New Roman"/>
        <family val="1"/>
      </rPr>
      <t>/</t>
    </r>
    <r>
      <rPr>
        <i/>
        <sz val="9"/>
        <color rgb="FF666666"/>
        <rFont val="나눔고딕"/>
        <family val="3"/>
        <charset val="129"/>
      </rPr>
      <t>열이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늘어납니다</t>
    </r>
    <r>
      <rPr>
        <i/>
        <sz val="9"/>
        <color rgb="FF666666"/>
        <rFont val="Times New Roman"/>
        <family val="1"/>
      </rPr>
      <t>.</t>
    </r>
  </si>
  <si>
    <r>
      <rPr>
        <b/>
        <sz val="10"/>
        <color rgb="FFFFFFFF"/>
        <rFont val="나눔고딕"/>
        <family val="3"/>
        <charset val="129"/>
      </rPr>
      <t>아반떼</t>
    </r>
    <r>
      <rPr>
        <b/>
        <sz val="10"/>
        <color rgb="FFFFFFFF"/>
        <rFont val="Times New Roman"/>
        <family val="1"/>
      </rPr>
      <t xml:space="preserve"> CN7</t>
    </r>
  </si>
  <si>
    <r>
      <rPr>
        <b/>
        <sz val="10"/>
        <color rgb="FFFFFFFF"/>
        <rFont val="나눔고딕"/>
        <family val="3"/>
        <charset val="129"/>
      </rPr>
      <t>쏘나타</t>
    </r>
    <r>
      <rPr>
        <b/>
        <sz val="10"/>
        <color rgb="FFFFFFFF"/>
        <rFont val="Times New Roman"/>
        <family val="1"/>
      </rPr>
      <t xml:space="preserve"> DN8</t>
    </r>
  </si>
  <si>
    <t>COMP-03</t>
  </si>
  <si>
    <t>COMP-05</t>
  </si>
  <si>
    <t>B5</t>
  </si>
  <si>
    <t>REF-05</t>
  </si>
  <si>
    <t>COMP-04</t>
  </si>
  <si>
    <t>COMP-06</t>
  </si>
  <si>
    <t>ENUM-02</t>
  </si>
  <si>
    <t>STALE-01</t>
  </si>
  <si>
    <t>STALE-02</t>
  </si>
  <si>
    <t>CONSIST-01</t>
  </si>
  <si>
    <t>CONSIST-02</t>
  </si>
  <si>
    <r>
      <rPr>
        <sz val="9"/>
        <color theme="1"/>
        <rFont val="나눔고딕"/>
        <family val="3"/>
        <charset val="129"/>
      </rPr>
      <t>적용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제어기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수</t>
    </r>
  </si>
  <si>
    <r>
      <rPr>
        <sz val="9"/>
        <color theme="1"/>
        <rFont val="나눔고딕"/>
        <family val="3"/>
        <charset val="129"/>
      </rPr>
      <t>적용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제어기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목록</t>
    </r>
  </si>
  <si>
    <r>
      <rPr>
        <sz val="9"/>
        <color theme="1"/>
        <rFont val="나눔고딕"/>
        <family val="3"/>
        <charset val="129"/>
      </rPr>
      <t>재사용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등급</t>
    </r>
  </si>
  <si>
    <r>
      <rPr>
        <sz val="9"/>
        <color theme="1"/>
        <rFont val="나눔고딕"/>
        <family val="3"/>
        <charset val="129"/>
      </rPr>
      <t>재사용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컴포넌트</t>
    </r>
  </si>
  <si>
    <r>
      <rPr>
        <sz val="9"/>
        <color theme="1"/>
        <rFont val="나눔고딕"/>
        <family val="3"/>
        <charset val="129"/>
      </rPr>
      <t>재사용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안됨</t>
    </r>
  </si>
  <si>
    <r>
      <rPr>
        <sz val="9"/>
        <color theme="1"/>
        <rFont val="나눔고딕"/>
        <family val="3"/>
        <charset val="129"/>
      </rPr>
      <t>미적용</t>
    </r>
  </si>
  <si>
    <t>apple</t>
  </si>
  <si>
    <r>
      <rPr>
        <b/>
        <sz val="9"/>
        <color rgb="FFFFFFFF"/>
        <rFont val="나눔고딕"/>
        <family val="3"/>
        <charset val="129"/>
      </rPr>
      <t>심사일시</t>
    </r>
  </si>
  <si>
    <r>
      <rPr>
        <b/>
        <sz val="9"/>
        <color rgb="FFFFFFFF"/>
        <rFont val="나눔고딕"/>
        <family val="3"/>
        <charset val="129"/>
      </rPr>
      <t>총</t>
    </r>
    <r>
      <rPr>
        <b/>
        <sz val="9"/>
        <color rgb="FFFFFFFF"/>
        <rFont val="Times New Roman"/>
        <family val="1"/>
      </rPr>
      <t xml:space="preserve"> SW_ID </t>
    </r>
    <r>
      <rPr>
        <b/>
        <sz val="9"/>
        <color rgb="FFFFFFFF"/>
        <rFont val="나눔고딕"/>
        <family val="3"/>
        <charset val="129"/>
      </rPr>
      <t>수</t>
    </r>
  </si>
  <si>
    <r>
      <rPr>
        <b/>
        <sz val="9"/>
        <color rgb="FFFFFFFF"/>
        <rFont val="나눔고딕"/>
        <family val="3"/>
        <charset val="129"/>
      </rPr>
      <t>재사용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컴포넌트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수</t>
    </r>
  </si>
  <si>
    <r>
      <rPr>
        <b/>
        <sz val="9"/>
        <color rgb="FFFFFFFF"/>
        <rFont val="나눔고딕"/>
        <family val="3"/>
        <charset val="129"/>
      </rPr>
      <t>재사용률</t>
    </r>
  </si>
  <si>
    <r>
      <rPr>
        <b/>
        <sz val="9"/>
        <color rgb="FFFFFFFF"/>
        <rFont val="나눔고딕"/>
        <family val="3"/>
        <charset val="129"/>
      </rPr>
      <t>심사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코멘트</t>
    </r>
  </si>
  <si>
    <r>
      <rPr>
        <b/>
        <sz val="9"/>
        <color rgb="FFFFFFFF"/>
        <rFont val="나눔고딕"/>
        <family val="3"/>
        <charset val="129"/>
      </rPr>
      <t>심사자</t>
    </r>
  </si>
  <si>
    <r>
      <t>1</t>
    </r>
    <r>
      <rPr>
        <sz val="9"/>
        <rFont val="나눔고딕"/>
        <family val="3"/>
        <charset val="129"/>
      </rPr>
      <t>분기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재사용률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기준선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확립</t>
    </r>
    <r>
      <rPr>
        <sz val="9"/>
        <rFont val="Times New Roman"/>
        <family val="1"/>
      </rPr>
      <t xml:space="preserve">. mbedTLS </t>
    </r>
    <r>
      <rPr>
        <sz val="9"/>
        <rFont val="나눔고딕"/>
        <family val="3"/>
        <charset val="129"/>
      </rPr>
      <t>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재사용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후보</t>
    </r>
    <r>
      <rPr>
        <sz val="9"/>
        <rFont val="Times New Roman"/>
        <family val="1"/>
      </rPr>
      <t xml:space="preserve"> SWC_can_stack </t>
    </r>
    <r>
      <rPr>
        <sz val="9"/>
        <rFont val="나눔고딕"/>
        <family val="3"/>
        <charset val="129"/>
      </rPr>
      <t>검토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예정</t>
    </r>
  </si>
  <si>
    <r>
      <rPr>
        <sz val="9"/>
        <rFont val="나눔고딕"/>
        <family val="3"/>
        <charset val="129"/>
      </rPr>
      <t>한풍규</t>
    </r>
  </si>
  <si>
    <r>
      <rPr>
        <sz val="9"/>
        <color theme="1"/>
        <rFont val="나눔고딕"/>
        <family val="3"/>
        <charset val="129"/>
      </rPr>
      <t>이번에도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테스트</t>
    </r>
  </si>
  <si>
    <t>...</t>
  </si>
  <si>
    <t>............</t>
  </si>
  <si>
    <t>impact_analysis_ref</t>
  </si>
  <si>
    <t>open_critical_issue_count</t>
  </si>
  <si>
    <t>CB-IA-2026-0301</t>
  </si>
  <si>
    <t>CB-IA-2026-0298</t>
  </si>
  <si>
    <t>controller_id</t>
    <phoneticPr fontId="2" type="noConversion"/>
  </si>
  <si>
    <r>
      <rPr>
        <sz val="10"/>
        <color theme="1"/>
        <rFont val="나눔고딕"/>
        <family val="3"/>
        <charset val="129"/>
      </rPr>
      <t>릴리즈준비점검</t>
    </r>
  </si>
  <si>
    <r>
      <t>SW</t>
    </r>
    <r>
      <rPr>
        <sz val="10"/>
        <color theme="1"/>
        <rFont val="나눔고딕"/>
        <family val="3"/>
        <charset val="129"/>
      </rPr>
      <t>재사용지표관리</t>
    </r>
  </si>
  <si>
    <r>
      <rPr>
        <sz val="10"/>
        <color theme="1"/>
        <rFont val="나눔고딕"/>
        <family val="3"/>
        <charset val="129"/>
      </rPr>
      <t>변경관리</t>
    </r>
    <r>
      <rPr>
        <sz val="10"/>
        <color theme="1"/>
        <rFont val="Times New Roman"/>
        <family val="1"/>
      </rPr>
      <t>_</t>
    </r>
    <r>
      <rPr>
        <sz val="10"/>
        <color theme="1"/>
        <rFont val="나눔고딕"/>
        <family val="3"/>
        <charset val="129"/>
      </rPr>
      <t>매트릭스</t>
    </r>
    <phoneticPr fontId="2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</si>
  <si>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Formatting</t>
    </r>
    <phoneticPr fontId="10" type="noConversion"/>
  </si>
  <si>
    <r>
      <rPr>
        <b/>
        <sz val="10"/>
        <color rgb="FFFFFFFF"/>
        <rFont val="나눔고딕"/>
        <family val="3"/>
        <charset val="129"/>
      </rPr>
      <t>적용차종</t>
    </r>
  </si>
  <si>
    <r>
      <rPr>
        <sz val="10"/>
        <rFont val="나눔고딕"/>
        <family val="3"/>
        <charset val="129"/>
      </rPr>
      <t>아반떼</t>
    </r>
    <r>
      <rPr>
        <sz val="10"/>
        <rFont val="Times New Roman"/>
        <family val="1"/>
      </rPr>
      <t xml:space="preserve"> CN7</t>
    </r>
  </si>
  <si>
    <r>
      <rPr>
        <sz val="10"/>
        <rFont val="나눔고딕"/>
        <family val="3"/>
        <charset val="129"/>
      </rPr>
      <t>쏘나타</t>
    </r>
    <r>
      <rPr>
        <sz val="10"/>
        <rFont val="Times New Roman"/>
        <family val="1"/>
      </rPr>
      <t xml:space="preserve"> DN8</t>
    </r>
  </si>
  <si>
    <r>
      <rPr>
        <sz val="10"/>
        <rFont val="나눔고딕"/>
        <family val="3"/>
        <charset val="129"/>
      </rPr>
      <t>투싼</t>
    </r>
    <r>
      <rPr>
        <sz val="10"/>
        <rFont val="Times New Roman"/>
        <family val="1"/>
      </rPr>
      <t xml:space="preserve"> NX4</t>
    </r>
  </si>
  <si>
    <r>
      <rPr>
        <i/>
        <sz val="9"/>
        <color rgb="FF666666"/>
        <rFont val="나눔고딕"/>
        <family val="3"/>
        <charset val="129"/>
      </rPr>
      <t>※</t>
    </r>
    <r>
      <rPr>
        <i/>
        <sz val="9"/>
        <color rgb="FF666666"/>
        <rFont val="Times New Roman"/>
        <family val="1"/>
      </rPr>
      <t xml:space="preserve"> (v2 </t>
    </r>
    <r>
      <rPr>
        <i/>
        <sz val="9"/>
        <color rgb="FF666666"/>
        <rFont val="나눔고딕"/>
        <family val="3"/>
        <charset val="129"/>
      </rPr>
      <t>확장</t>
    </r>
    <r>
      <rPr>
        <i/>
        <sz val="9"/>
        <color rgb="FF666666"/>
        <rFont val="Times New Roman"/>
        <family val="1"/>
      </rPr>
      <t>) U~W</t>
    </r>
    <r>
      <rPr>
        <i/>
        <sz val="9"/>
        <color rgb="FF666666"/>
        <rFont val="나눔고딕"/>
        <family val="3"/>
        <charset val="129"/>
      </rPr>
      <t>열은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신규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제안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필드입니다</t>
    </r>
    <r>
      <rPr>
        <i/>
        <sz val="9"/>
        <color rgb="FF666666"/>
        <rFont val="Times New Roman"/>
        <family val="1"/>
      </rPr>
      <t xml:space="preserve">: impact_analysis_ref(SUP.10 BP2 </t>
    </r>
    <r>
      <rPr>
        <i/>
        <sz val="9"/>
        <color rgb="FF666666"/>
        <rFont val="나눔고딕"/>
        <family val="3"/>
        <charset val="129"/>
      </rPr>
      <t>영향분석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참조</t>
    </r>
    <r>
      <rPr>
        <i/>
        <sz val="9"/>
        <color rgb="FF666666"/>
        <rFont val="Times New Roman"/>
        <family val="1"/>
      </rPr>
      <t xml:space="preserve">), test_evidence_ref(SWE.6 </t>
    </r>
    <r>
      <rPr>
        <i/>
        <sz val="9"/>
        <color rgb="FF666666"/>
        <rFont val="나눔고딕"/>
        <family val="3"/>
        <charset val="129"/>
      </rPr>
      <t>검증근거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참조</t>
    </r>
    <r>
      <rPr>
        <i/>
        <sz val="9"/>
        <color rgb="FF666666"/>
        <rFont val="Times New Roman"/>
        <family val="1"/>
      </rPr>
      <t xml:space="preserve">), open_critical_issue_count(SUP.9 </t>
    </r>
    <r>
      <rPr>
        <i/>
        <sz val="9"/>
        <color rgb="FF666666"/>
        <rFont val="나눔고딕"/>
        <family val="3"/>
        <charset val="129"/>
      </rPr>
      <t>캐시</t>
    </r>
    <r>
      <rPr>
        <i/>
        <sz val="9"/>
        <color rgb="FF666666"/>
        <rFont val="Times New Roman"/>
        <family val="1"/>
      </rPr>
      <t>, mod_IssueSync</t>
    </r>
    <r>
      <rPr>
        <i/>
        <sz val="9"/>
        <color rgb="FF666666"/>
        <rFont val="나눔고딕"/>
        <family val="3"/>
        <charset val="129"/>
      </rPr>
      <t>가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자동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갱신</t>
    </r>
    <r>
      <rPr>
        <i/>
        <sz val="9"/>
        <color rgb="FF666666"/>
        <rFont val="Times New Roman"/>
        <family val="1"/>
      </rPr>
      <t>).</t>
    </r>
  </si>
  <si>
    <r>
      <rPr>
        <b/>
        <sz val="10"/>
        <color theme="1"/>
        <rFont val="나눔고딕"/>
        <family val="3"/>
        <charset val="129"/>
      </rPr>
      <t>규칙</t>
    </r>
    <r>
      <rPr>
        <b/>
        <sz val="10"/>
        <color theme="1"/>
        <rFont val="Times New Roman"/>
        <family val="1"/>
      </rPr>
      <t>ID</t>
    </r>
  </si>
  <si>
    <r>
      <rPr>
        <b/>
        <sz val="10"/>
        <color theme="1"/>
        <rFont val="나눔고딕"/>
        <family val="3"/>
        <charset val="129"/>
      </rPr>
      <t>카테고리</t>
    </r>
  </si>
  <si>
    <r>
      <rPr>
        <b/>
        <sz val="10"/>
        <color theme="1"/>
        <rFont val="나눔고딕"/>
        <family val="3"/>
        <charset val="129"/>
      </rPr>
      <t>심각도</t>
    </r>
  </si>
  <si>
    <r>
      <rPr>
        <b/>
        <sz val="10"/>
        <color theme="1"/>
        <rFont val="나눔고딕"/>
        <family val="3"/>
        <charset val="129"/>
      </rPr>
      <t>시트</t>
    </r>
  </si>
  <si>
    <r>
      <rPr>
        <b/>
        <sz val="10"/>
        <color theme="1"/>
        <rFont val="나눔고딕"/>
        <family val="3"/>
        <charset val="129"/>
      </rPr>
      <t>셀</t>
    </r>
  </si>
  <si>
    <r>
      <rPr>
        <b/>
        <sz val="10"/>
        <color theme="1"/>
        <rFont val="나눔고딕"/>
        <family val="3"/>
        <charset val="129"/>
      </rPr>
      <t>키</t>
    </r>
    <r>
      <rPr>
        <b/>
        <sz val="10"/>
        <color theme="1"/>
        <rFont val="Times New Roman"/>
        <family val="1"/>
      </rPr>
      <t xml:space="preserve">(SW_ID </t>
    </r>
    <r>
      <rPr>
        <b/>
        <sz val="10"/>
        <color theme="1"/>
        <rFont val="나눔고딕"/>
        <family val="3"/>
        <charset val="129"/>
      </rPr>
      <t>등</t>
    </r>
    <r>
      <rPr>
        <b/>
        <sz val="10"/>
        <color theme="1"/>
        <rFont val="Times New Roman"/>
        <family val="1"/>
      </rPr>
      <t>)</t>
    </r>
  </si>
  <si>
    <r>
      <rPr>
        <b/>
        <sz val="10"/>
        <color theme="1"/>
        <rFont val="나눔고딕"/>
        <family val="3"/>
        <charset val="129"/>
      </rPr>
      <t>설명</t>
    </r>
  </si>
  <si>
    <r>
      <rPr>
        <sz val="9"/>
        <color theme="1"/>
        <rFont val="나눔고딕"/>
        <family val="3"/>
        <charset val="129"/>
      </rPr>
      <t>완전성</t>
    </r>
  </si>
  <si>
    <r>
      <rPr>
        <sz val="9"/>
        <color theme="1"/>
        <rFont val="나눔고딕"/>
        <family val="3"/>
        <charset val="129"/>
      </rPr>
      <t>스냅샷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보관</t>
    </r>
  </si>
  <si>
    <r>
      <t>baseline 'BL-260722-02'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formally_baselined </t>
    </r>
    <r>
      <rPr>
        <sz val="9"/>
        <color theme="1"/>
        <rFont val="나눔고딕"/>
        <family val="3"/>
        <charset val="129"/>
      </rPr>
      <t>상태인데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스냅샷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보관에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기록이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없습니다</t>
    </r>
    <r>
      <rPr>
        <sz val="9"/>
        <color theme="1"/>
        <rFont val="Times New Roman"/>
        <family val="1"/>
      </rPr>
      <t>.</t>
    </r>
  </si>
  <si>
    <r>
      <t xml:space="preserve">SWC_mbedtls'.CVE_ref </t>
    </r>
    <r>
      <rPr>
        <sz val="9"/>
        <color theme="1"/>
        <rFont val="나눔고딕"/>
        <family val="3"/>
        <charset val="129"/>
      </rPr>
      <t>현재값</t>
    </r>
    <r>
      <rPr>
        <sz val="9"/>
        <color theme="1"/>
        <rFont val="Times New Roman"/>
        <family val="1"/>
      </rPr>
      <t>('None')</t>
    </r>
    <r>
      <rPr>
        <sz val="9"/>
        <color theme="1"/>
        <rFont val="나눔고딕"/>
        <family val="3"/>
        <charset val="129"/>
      </rPr>
      <t>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변경이력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최신값</t>
    </r>
    <r>
      <rPr>
        <sz val="9"/>
        <color theme="1"/>
        <rFont val="Times New Roman"/>
        <family val="1"/>
      </rPr>
      <t>('CVE-2026-01234 (</t>
    </r>
    <r>
      <rPr>
        <sz val="9"/>
        <color theme="1"/>
        <rFont val="나눔고딕"/>
        <family val="3"/>
        <charset val="129"/>
      </rPr>
      <t>예시</t>
    </r>
    <r>
      <rPr>
        <sz val="9"/>
        <color theme="1"/>
        <rFont val="Times New Roman"/>
        <family val="1"/>
      </rPr>
      <t>)', 2026-06-15)</t>
    </r>
    <r>
      <rPr>
        <sz val="9"/>
        <color theme="1"/>
        <rFont val="나눔고딕"/>
        <family val="3"/>
        <charset val="129"/>
      </rPr>
      <t>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다릅니다</t>
    </r>
    <r>
      <rPr>
        <sz val="9"/>
        <color theme="1"/>
        <rFont val="Times New Roman"/>
        <family val="1"/>
      </rPr>
      <t xml:space="preserve">. UpdateSSoTFromChangeLog </t>
    </r>
    <r>
      <rPr>
        <sz val="9"/>
        <color theme="1"/>
        <rFont val="나눔고딕"/>
        <family val="3"/>
        <charset val="129"/>
      </rPr>
      <t>매크로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실행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필요</t>
    </r>
    <r>
      <rPr>
        <sz val="9"/>
        <color theme="1"/>
        <rFont val="Times New Roman"/>
        <family val="1"/>
      </rPr>
      <t>.</t>
    </r>
  </si>
  <si>
    <r>
      <t>SWE_</t>
    </r>
    <r>
      <rPr>
        <sz val="9"/>
        <color theme="1"/>
        <rFont val="나눔고딕"/>
        <family val="3"/>
        <charset val="129"/>
      </rPr>
      <t>검증현황</t>
    </r>
  </si>
  <si>
    <r>
      <t>baseline 'BL-260722-02'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formally_baselined</t>
    </r>
    <r>
      <rPr>
        <sz val="9"/>
        <color theme="1"/>
        <rFont val="나눔고딕"/>
        <family val="3"/>
        <charset val="129"/>
      </rPr>
      <t>인데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검증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미완료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항목이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있습니다</t>
    </r>
    <r>
      <rPr>
        <sz val="9"/>
        <color theme="1"/>
        <rFont val="Times New Roman"/>
        <family val="1"/>
      </rPr>
      <t xml:space="preserve"> (0/1 </t>
    </r>
    <r>
      <rPr>
        <sz val="9"/>
        <color theme="1"/>
        <rFont val="나눔고딕"/>
        <family val="3"/>
        <charset val="129"/>
      </rPr>
      <t>완료</t>
    </r>
    <r>
      <rPr>
        <sz val="9"/>
        <color theme="1"/>
        <rFont val="Times New Roman"/>
        <family val="1"/>
      </rPr>
      <t>).</t>
    </r>
  </si>
  <si>
    <r>
      <rPr>
        <sz val="9"/>
        <color theme="1"/>
        <rFont val="나눔고딕"/>
        <family val="3"/>
        <charset val="129"/>
      </rPr>
      <t>스냅샷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파일이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기록된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경로에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존재하지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않습니다</t>
    </r>
    <r>
      <rPr>
        <sz val="9"/>
        <color theme="1"/>
        <rFont val="Times New Roman"/>
        <family val="1"/>
      </rPr>
      <t>: 'C:\SSoT\snapshots\SSoT_snapshot_BL-260722-01_20260722.xlsx' (</t>
    </r>
    <r>
      <rPr>
        <sz val="9"/>
        <color theme="1"/>
        <rFont val="나눔고딕"/>
        <family val="3"/>
        <charset val="129"/>
      </rPr>
      <t>파일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소실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의심</t>
    </r>
    <r>
      <rPr>
        <sz val="9"/>
        <color theme="1"/>
        <rFont val="Times New Roman"/>
        <family val="1"/>
      </rPr>
      <t>).</t>
    </r>
  </si>
  <si>
    <r>
      <rPr>
        <sz val="9"/>
        <color theme="1"/>
        <rFont val="나눔고딕"/>
        <family val="3"/>
        <charset val="129"/>
      </rPr>
      <t>비즈니스로직</t>
    </r>
  </si>
  <si>
    <r>
      <t>vuln_status='</t>
    </r>
    <r>
      <rPr>
        <sz val="9"/>
        <color theme="1"/>
        <rFont val="나눔고딕"/>
        <family val="3"/>
        <charset val="129"/>
      </rPr>
      <t>조치완료</t>
    </r>
    <r>
      <rPr>
        <sz val="9"/>
        <color theme="1"/>
        <rFont val="Times New Roman"/>
        <family val="1"/>
      </rPr>
      <t>'</t>
    </r>
    <r>
      <rPr>
        <sz val="9"/>
        <color theme="1"/>
        <rFont val="나눔고딕"/>
        <family val="3"/>
        <charset val="129"/>
      </rPr>
      <t>인데</t>
    </r>
    <r>
      <rPr>
        <sz val="9"/>
        <color theme="1"/>
        <rFont val="Times New Roman"/>
        <family val="1"/>
      </rPr>
      <t xml:space="preserve"> SSoT</t>
    </r>
    <r>
      <rPr>
        <sz val="9"/>
        <color theme="1"/>
        <rFont val="나눔고딕"/>
        <family val="3"/>
        <charset val="129"/>
      </rPr>
      <t>에</t>
    </r>
    <r>
      <rPr>
        <sz val="9"/>
        <color theme="1"/>
        <rFont val="Times New Roman"/>
        <family val="1"/>
      </rPr>
      <t xml:space="preserve"> CVE_ref/internal_vuln_id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없습니다</t>
    </r>
    <r>
      <rPr>
        <sz val="9"/>
        <color theme="1"/>
        <rFont val="Times New Roman"/>
        <family val="1"/>
      </rPr>
      <t>.</t>
    </r>
  </si>
  <si>
    <r>
      <t>vuln_status='</t>
    </r>
    <r>
      <rPr>
        <sz val="9"/>
        <color theme="1"/>
        <rFont val="나눔고딕"/>
        <family val="3"/>
        <charset val="129"/>
      </rPr>
      <t>검증완료</t>
    </r>
    <r>
      <rPr>
        <sz val="9"/>
        <color theme="1"/>
        <rFont val="Times New Roman"/>
        <family val="1"/>
      </rPr>
      <t>'</t>
    </r>
    <r>
      <rPr>
        <sz val="9"/>
        <color theme="1"/>
        <rFont val="나눔고딕"/>
        <family val="3"/>
        <charset val="129"/>
      </rPr>
      <t>인데</t>
    </r>
    <r>
      <rPr>
        <sz val="9"/>
        <color theme="1"/>
        <rFont val="Times New Roman"/>
        <family val="1"/>
      </rPr>
      <t xml:space="preserve"> SSoT</t>
    </r>
    <r>
      <rPr>
        <sz val="9"/>
        <color theme="1"/>
        <rFont val="나눔고딕"/>
        <family val="3"/>
        <charset val="129"/>
      </rPr>
      <t>에</t>
    </r>
    <r>
      <rPr>
        <sz val="9"/>
        <color theme="1"/>
        <rFont val="Times New Roman"/>
        <family val="1"/>
      </rPr>
      <t xml:space="preserve"> CVE_ref/internal_vuln_id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없습니다</t>
    </r>
    <r>
      <rPr>
        <sz val="9"/>
        <color theme="1"/>
        <rFont val="Times New Roman"/>
        <family val="1"/>
      </rPr>
      <t>.</t>
    </r>
  </si>
  <si>
    <r>
      <t>vuln_status='</t>
    </r>
    <r>
      <rPr>
        <sz val="9"/>
        <color theme="1"/>
        <rFont val="나눔고딕"/>
        <family val="3"/>
        <charset val="129"/>
      </rPr>
      <t>미조치</t>
    </r>
    <r>
      <rPr>
        <sz val="9"/>
        <color theme="1"/>
        <rFont val="Times New Roman"/>
        <family val="1"/>
      </rPr>
      <t>'</t>
    </r>
    <r>
      <rPr>
        <sz val="9"/>
        <color theme="1"/>
        <rFont val="나눔고딕"/>
        <family val="3"/>
        <charset val="129"/>
      </rPr>
      <t>인데</t>
    </r>
    <r>
      <rPr>
        <sz val="9"/>
        <color theme="1"/>
        <rFont val="Times New Roman"/>
        <family val="1"/>
      </rPr>
      <t xml:space="preserve"> SSoT</t>
    </r>
    <r>
      <rPr>
        <sz val="9"/>
        <color theme="1"/>
        <rFont val="나눔고딕"/>
        <family val="3"/>
        <charset val="129"/>
      </rPr>
      <t>에</t>
    </r>
    <r>
      <rPr>
        <sz val="9"/>
        <color theme="1"/>
        <rFont val="Times New Roman"/>
        <family val="1"/>
      </rPr>
      <t xml:space="preserve"> CVE_ref/internal_vuln_id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없습니다</t>
    </r>
    <r>
      <rPr>
        <sz val="9"/>
        <color theme="1"/>
        <rFont val="Times New Roman"/>
        <family val="1"/>
      </rPr>
      <t>.</t>
    </r>
  </si>
  <si>
    <r>
      <rPr>
        <b/>
        <sz val="10"/>
        <color theme="1"/>
        <rFont val="나눔고딕"/>
        <family val="3"/>
        <charset val="129"/>
      </rPr>
      <t>구분</t>
    </r>
  </si>
  <si>
    <r>
      <rPr>
        <b/>
        <sz val="10"/>
        <color theme="1"/>
        <rFont val="나눔고딕"/>
        <family val="3"/>
        <charset val="129"/>
      </rPr>
      <t>코드</t>
    </r>
  </si>
  <si>
    <r>
      <rPr>
        <sz val="9"/>
        <color theme="1"/>
        <rFont val="나눔고딕"/>
        <family val="3"/>
        <charset val="129"/>
      </rPr>
      <t>규칙</t>
    </r>
  </si>
  <si>
    <r>
      <t>SW_ID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SSoT </t>
    </r>
    <r>
      <rPr>
        <sz val="9"/>
        <color theme="1"/>
        <rFont val="나눔고딕"/>
        <family val="3"/>
        <charset val="129"/>
      </rPr>
      <t>마스터에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등록되지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않았는데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다른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시트에서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사용됨</t>
    </r>
  </si>
  <si>
    <r>
      <t>SSoT</t>
    </r>
    <r>
      <rPr>
        <sz val="9"/>
        <color theme="1"/>
        <rFont val="나눔고딕"/>
        <family val="3"/>
        <charset val="129"/>
      </rPr>
      <t>와</t>
    </r>
    <r>
      <rPr>
        <sz val="9"/>
        <color theme="1"/>
        <rFont val="Times New Roman"/>
        <family val="1"/>
      </rPr>
      <t xml:space="preserve"> LevelDepth</t>
    </r>
    <r>
      <rPr>
        <sz val="9"/>
        <color theme="1"/>
        <rFont val="나눔고딕"/>
        <family val="3"/>
        <charset val="129"/>
      </rPr>
      <t>의</t>
    </r>
    <r>
      <rPr>
        <sz val="9"/>
        <color theme="1"/>
        <rFont val="Times New Roman"/>
        <family val="1"/>
      </rPr>
      <t xml:space="preserve"> SW_ID </t>
    </r>
    <r>
      <rPr>
        <sz val="9"/>
        <color theme="1"/>
        <rFont val="나눔고딕"/>
        <family val="3"/>
        <charset val="129"/>
      </rPr>
      <t>등록이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서로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어긋남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한쪽에만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등록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</si>
  <si>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인스턴스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통합의</t>
    </r>
    <r>
      <rPr>
        <sz val="9"/>
        <color theme="1"/>
        <rFont val="Times New Roman"/>
        <family val="1"/>
      </rPr>
      <t xml:space="preserve"> controller_id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인스턴스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목록에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미등록</t>
    </r>
  </si>
  <si>
    <r>
      <t xml:space="preserve">formally_baselined </t>
    </r>
    <r>
      <rPr>
        <sz val="9"/>
        <color theme="1"/>
        <rFont val="나눔고딕"/>
        <family val="3"/>
        <charset val="129"/>
      </rPr>
      <t>상태인데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스냅샷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보관에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기록이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없음</t>
    </r>
  </si>
  <si>
    <r>
      <t>SSoT_</t>
    </r>
    <r>
      <rPr>
        <sz val="9"/>
        <color theme="1"/>
        <rFont val="나눔고딕"/>
        <family val="3"/>
        <charset val="129"/>
      </rPr>
      <t>변경이력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최신값과</t>
    </r>
    <r>
      <rPr>
        <sz val="9"/>
        <color theme="1"/>
        <rFont val="Times New Roman"/>
        <family val="1"/>
      </rPr>
      <t xml:space="preserve"> SSoT </t>
    </r>
    <r>
      <rPr>
        <sz val="9"/>
        <color theme="1"/>
        <rFont val="나눔고딕"/>
        <family val="3"/>
        <charset val="129"/>
      </rPr>
      <t>현재값이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다름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반영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매크로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미실행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의심</t>
    </r>
    <r>
      <rPr>
        <sz val="9"/>
        <color theme="1"/>
        <rFont val="Times New Roman"/>
        <family val="1"/>
      </rPr>
      <t>)</t>
    </r>
  </si>
  <si>
    <r>
      <t xml:space="preserve">phase/baseline_status </t>
    </r>
    <r>
      <rPr>
        <sz val="9"/>
        <color theme="1"/>
        <rFont val="나눔고딕"/>
        <family val="3"/>
        <charset val="129"/>
      </rPr>
      <t>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필드가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정해진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허용값을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벗어남</t>
    </r>
  </si>
  <si>
    <r>
      <rPr>
        <sz val="9"/>
        <color theme="1"/>
        <rFont val="나눔고딕"/>
        <family val="3"/>
        <charset val="129"/>
      </rPr>
      <t>인스턴스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목록</t>
    </r>
    <r>
      <rPr>
        <sz val="9"/>
        <color theme="1"/>
        <rFont val="Times New Roman"/>
        <family val="1"/>
      </rPr>
      <t>.schema_type</t>
    </r>
    <r>
      <rPr>
        <sz val="9"/>
        <color theme="1"/>
        <rFont val="나눔고딕"/>
        <family val="3"/>
        <charset val="129"/>
      </rPr>
      <t>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정의된</t>
    </r>
    <r>
      <rPr>
        <sz val="9"/>
        <color theme="1"/>
        <rFont val="Times New Roman"/>
        <family val="1"/>
      </rPr>
      <t xml:space="preserve"> 3</t>
    </r>
    <r>
      <rPr>
        <sz val="9"/>
        <color theme="1"/>
        <rFont val="나눔고딕"/>
        <family val="3"/>
        <charset val="129"/>
      </rPr>
      <t>종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스키마가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아님</t>
    </r>
  </si>
  <si>
    <r>
      <t>LevelDepth</t>
    </r>
    <r>
      <rPr>
        <sz val="9"/>
        <color theme="1"/>
        <rFont val="나눔고딕"/>
        <family val="3"/>
        <charset val="129"/>
      </rPr>
      <t>의</t>
    </r>
    <r>
      <rPr>
        <sz val="9"/>
        <color theme="1"/>
        <rFont val="Times New Roman"/>
        <family val="1"/>
      </rPr>
      <t xml:space="preserve"> L1~L5 </t>
    </r>
    <r>
      <rPr>
        <sz val="9"/>
        <color theme="1"/>
        <rFont val="나눔고딕"/>
        <family val="3"/>
        <charset val="129"/>
      </rPr>
      <t>계층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표시가</t>
    </r>
    <r>
      <rPr>
        <sz val="9"/>
        <color theme="1"/>
        <rFont val="Times New Roman"/>
        <family val="1"/>
      </rPr>
      <t xml:space="preserve"> 0</t>
    </r>
    <r>
      <rPr>
        <sz val="9"/>
        <color theme="1"/>
        <rFont val="나눔고딕"/>
        <family val="3"/>
        <charset val="129"/>
      </rPr>
      <t>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또는</t>
    </r>
    <r>
      <rPr>
        <sz val="9"/>
        <color theme="1"/>
        <rFont val="Times New Roman"/>
        <family val="1"/>
      </rPr>
      <t xml:space="preserve"> 2</t>
    </r>
    <r>
      <rPr>
        <sz val="9"/>
        <color theme="1"/>
        <rFont val="나눔고딕"/>
        <family val="3"/>
        <charset val="129"/>
      </rPr>
      <t>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이상</t>
    </r>
  </si>
  <si>
    <r>
      <rPr>
        <sz val="9"/>
        <color theme="1"/>
        <rFont val="나눔고딕"/>
        <family val="3"/>
        <charset val="129"/>
      </rPr>
      <t>수식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전용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셀이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하드코딩된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값으로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대체됨</t>
    </r>
  </si>
  <si>
    <r>
      <rPr>
        <sz val="9"/>
        <color theme="1"/>
        <rFont val="나눔고딕"/>
        <family val="3"/>
        <charset val="129"/>
      </rPr>
      <t>생산단계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미반영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부분반영인데</t>
    </r>
    <r>
      <rPr>
        <sz val="9"/>
        <color theme="1"/>
        <rFont val="Times New Roman"/>
        <family val="1"/>
      </rPr>
      <t xml:space="preserve"> reflection_action </t>
    </r>
    <r>
      <rPr>
        <sz val="9"/>
        <color theme="1"/>
        <rFont val="나눔고딕"/>
        <family val="3"/>
        <charset val="129"/>
      </rPr>
      <t>공란</t>
    </r>
  </si>
  <si>
    <r>
      <t>vuln_status</t>
    </r>
    <r>
      <rPr>
        <sz val="9"/>
        <color theme="1"/>
        <rFont val="나눔고딕"/>
        <family val="3"/>
        <charset val="129"/>
      </rPr>
      <t>는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있는데</t>
    </r>
    <r>
      <rPr>
        <sz val="9"/>
        <color theme="1"/>
        <rFont val="Times New Roman"/>
        <family val="1"/>
      </rPr>
      <t xml:space="preserve"> SSoT</t>
    </r>
    <r>
      <rPr>
        <sz val="9"/>
        <color theme="1"/>
        <rFont val="나눔고딕"/>
        <family val="3"/>
        <charset val="129"/>
      </rPr>
      <t>에</t>
    </r>
    <r>
      <rPr>
        <sz val="9"/>
        <color theme="1"/>
        <rFont val="Times New Roman"/>
        <family val="1"/>
      </rPr>
      <t xml:space="preserve"> CVE_ref/internal_vuln_id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없음</t>
    </r>
  </si>
  <si>
    <r>
      <t>checksum</t>
    </r>
    <r>
      <rPr>
        <sz val="9"/>
        <color theme="1"/>
        <rFont val="나눔고딕"/>
        <family val="3"/>
        <charset val="129"/>
      </rPr>
      <t>이</t>
    </r>
    <r>
      <rPr>
        <sz val="9"/>
        <color theme="1"/>
        <rFont val="Times New Roman"/>
        <family val="1"/>
      </rPr>
      <t xml:space="preserve"> 'sha256:' </t>
    </r>
    <r>
      <rPr>
        <sz val="9"/>
        <color theme="1"/>
        <rFont val="나눔고딕"/>
        <family val="3"/>
        <charset val="129"/>
      </rPr>
      <t>접두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형식이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아님</t>
    </r>
  </si>
  <si>
    <r>
      <rPr>
        <sz val="9"/>
        <color theme="1"/>
        <rFont val="나눔고딕"/>
        <family val="3"/>
        <charset val="129"/>
      </rPr>
      <t>날짜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필드를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날짜로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인식할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없음</t>
    </r>
  </si>
  <si>
    <r>
      <t>SW_ID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SWC_/SWU_ </t>
    </r>
    <r>
      <rPr>
        <sz val="9"/>
        <color theme="1"/>
        <rFont val="나눔고딕"/>
        <family val="3"/>
        <charset val="129"/>
      </rPr>
      <t>명명규칙과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다름</t>
    </r>
  </si>
  <si>
    <r>
      <t>SUP9_</t>
    </r>
    <r>
      <rPr>
        <sz val="9"/>
        <color theme="1"/>
        <rFont val="나눔고딕"/>
        <family val="3"/>
        <charset val="129"/>
      </rPr>
      <t>이슈현황</t>
    </r>
    <r>
      <rPr>
        <sz val="9"/>
        <color theme="1"/>
        <rFont val="Times New Roman"/>
        <family val="1"/>
      </rPr>
      <t>/MAN5_</t>
    </r>
    <r>
      <rPr>
        <sz val="9"/>
        <color theme="1"/>
        <rFont val="나눔고딕"/>
        <family val="3"/>
        <charset val="129"/>
      </rPr>
      <t>리스크레지스터의</t>
    </r>
    <r>
      <rPr>
        <sz val="9"/>
        <color theme="1"/>
        <rFont val="Times New Roman"/>
        <family val="1"/>
      </rPr>
      <t xml:space="preserve"> SW_ID(</t>
    </r>
    <r>
      <rPr>
        <sz val="9"/>
        <color theme="1"/>
        <rFont val="나눔고딕"/>
        <family val="3"/>
        <charset val="129"/>
      </rPr>
      <t>또는</t>
    </r>
    <r>
      <rPr>
        <sz val="9"/>
        <color theme="1"/>
        <rFont val="Times New Roman"/>
        <family val="1"/>
      </rPr>
      <t xml:space="preserve"> baseline_id)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미등록</t>
    </r>
  </si>
  <si>
    <r>
      <t>formally_baselined</t>
    </r>
    <r>
      <rPr>
        <sz val="9"/>
        <color theme="1"/>
        <rFont val="나눔고딕"/>
        <family val="3"/>
        <charset val="129"/>
      </rPr>
      <t>인데</t>
    </r>
    <r>
      <rPr>
        <sz val="9"/>
        <color theme="1"/>
        <rFont val="Times New Roman"/>
        <family val="1"/>
      </rPr>
      <t xml:space="preserve"> SWE_</t>
    </r>
    <r>
      <rPr>
        <sz val="9"/>
        <color theme="1"/>
        <rFont val="나눔고딕"/>
        <family val="3"/>
        <charset val="129"/>
      </rPr>
      <t>검증현황에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해당</t>
    </r>
    <r>
      <rPr>
        <sz val="9"/>
        <color theme="1"/>
        <rFont val="Times New Roman"/>
        <family val="1"/>
      </rPr>
      <t xml:space="preserve"> baseline</t>
    </r>
    <r>
      <rPr>
        <sz val="9"/>
        <color theme="1"/>
        <rFont val="나눔고딕"/>
        <family val="3"/>
        <charset val="129"/>
      </rPr>
      <t>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검증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미완료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항목이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존재</t>
    </r>
  </si>
  <si>
    <r>
      <t>CCB_approval_id</t>
    </r>
    <r>
      <rPr>
        <sz val="9"/>
        <color theme="1"/>
        <rFont val="나눔고딕"/>
        <family val="3"/>
        <charset val="129"/>
      </rPr>
      <t>는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있는데</t>
    </r>
    <r>
      <rPr>
        <sz val="9"/>
        <color theme="1"/>
        <rFont val="Times New Roman"/>
        <family val="1"/>
      </rPr>
      <t xml:space="preserve"> impact_analysis_ref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공란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영향분석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참조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누락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</si>
  <si>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스냅샷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보관에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기록된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파일경로에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실제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파일이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존재하지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않음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파일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소실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</si>
  <si>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스냅샷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보관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기록의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파일해시와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파일을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재계산한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현재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해시가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다름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위변조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의심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</si>
  <si>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신규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시트의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열거형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필드</t>
    </r>
    <r>
      <rPr>
        <sz val="9"/>
        <color theme="1"/>
        <rFont val="Times New Roman"/>
        <family val="1"/>
      </rPr>
      <t>(severity/status/</t>
    </r>
    <r>
      <rPr>
        <sz val="9"/>
        <color theme="1"/>
        <rFont val="나눔고딕"/>
        <family val="3"/>
        <charset val="129"/>
      </rPr>
      <t>검증상태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결정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위험도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등</t>
    </r>
    <r>
      <rPr>
        <sz val="9"/>
        <color theme="1"/>
        <rFont val="Times New Roman"/>
        <family val="1"/>
      </rPr>
      <t>)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허용값을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벗어남</t>
    </r>
  </si>
  <si>
    <r>
      <t>open_critical_issue_count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SUP9_</t>
    </r>
    <r>
      <rPr>
        <sz val="9"/>
        <color theme="1"/>
        <rFont val="나눔고딕"/>
        <family val="3"/>
        <charset val="129"/>
      </rPr>
      <t>이슈현황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기준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재계산값과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다름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캐시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미갱신</t>
    </r>
    <r>
      <rPr>
        <sz val="9"/>
        <color theme="1"/>
        <rFont val="Times New Roman"/>
        <family val="1"/>
      </rPr>
      <t>)</t>
    </r>
  </si>
  <si>
    <r>
      <t>MAN5_</t>
    </r>
    <r>
      <rPr>
        <sz val="9"/>
        <color theme="1"/>
        <rFont val="나눔고딕"/>
        <family val="3"/>
        <charset val="129"/>
      </rPr>
      <t>리스크레지스터</t>
    </r>
    <r>
      <rPr>
        <sz val="9"/>
        <color theme="1"/>
        <rFont val="Times New Roman"/>
        <family val="1"/>
      </rPr>
      <t xml:space="preserve"> AUTO </t>
    </r>
    <r>
      <rPr>
        <sz val="9"/>
        <color theme="1"/>
        <rFont val="나눔고딕"/>
        <family val="3"/>
        <charset val="129"/>
      </rPr>
      <t>행이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소스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데이터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최신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갱신일보다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오래됨</t>
    </r>
    <r>
      <rPr>
        <sz val="9"/>
        <color theme="1"/>
        <rFont val="Times New Roman"/>
        <family val="1"/>
      </rPr>
      <t xml:space="preserve">(RefreshRiskRegister </t>
    </r>
    <r>
      <rPr>
        <sz val="9"/>
        <color theme="1"/>
        <rFont val="나눔고딕"/>
        <family val="3"/>
        <charset val="129"/>
      </rPr>
      <t>미실행</t>
    </r>
    <r>
      <rPr>
        <sz val="9"/>
        <color theme="1"/>
        <rFont val="Times New Roman"/>
        <family val="1"/>
      </rPr>
      <t>)</t>
    </r>
  </si>
  <si>
    <r>
      <t>MAN3_</t>
    </r>
    <r>
      <rPr>
        <sz val="9"/>
        <color theme="1"/>
        <rFont val="나눔고딕"/>
        <family val="3"/>
        <charset val="129"/>
      </rPr>
      <t>마일스톤리스크로그에서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결정</t>
    </r>
    <r>
      <rPr>
        <sz val="9"/>
        <color theme="1"/>
        <rFont val="Times New Roman"/>
        <family val="1"/>
      </rPr>
      <t>=GO</t>
    </r>
    <r>
      <rPr>
        <sz val="9"/>
        <color theme="1"/>
        <rFont val="나눔고딕"/>
        <family val="3"/>
        <charset val="129"/>
      </rPr>
      <t>인데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같은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행의</t>
    </r>
    <r>
      <rPr>
        <sz val="9"/>
        <color theme="1"/>
        <rFont val="Times New Roman"/>
        <family val="1"/>
      </rPr>
      <t xml:space="preserve"> CVE</t>
    </r>
    <r>
      <rPr>
        <sz val="9"/>
        <color theme="1"/>
        <rFont val="나눔고딕"/>
        <family val="3"/>
        <charset val="129"/>
      </rPr>
      <t>잔존건수</t>
    </r>
    <r>
      <rPr>
        <sz val="9"/>
        <color theme="1"/>
        <rFont val="Times New Roman"/>
        <family val="1"/>
      </rPr>
      <t xml:space="preserve">&gt;0 </t>
    </r>
    <r>
      <rPr>
        <sz val="9"/>
        <color theme="1"/>
        <rFont val="나눔고딕"/>
        <family val="3"/>
        <charset val="129"/>
      </rPr>
      <t>또는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스냅샷상태가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미기록</t>
    </r>
  </si>
  <si>
    <r>
      <t>MAN5_</t>
    </r>
    <r>
      <rPr>
        <sz val="9"/>
        <color theme="1"/>
        <rFont val="나눔고딕"/>
        <family val="3"/>
        <charset val="129"/>
      </rPr>
      <t>리스크레지스터에서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등록구분</t>
    </r>
    <r>
      <rPr>
        <sz val="9"/>
        <color theme="1"/>
        <rFont val="Times New Roman"/>
        <family val="1"/>
      </rPr>
      <t>=AUTO</t>
    </r>
    <r>
      <rPr>
        <sz val="9"/>
        <color theme="1"/>
        <rFont val="나눔고딕"/>
        <family val="3"/>
        <charset val="129"/>
      </rPr>
      <t>인데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조치담당자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조치기한이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채워져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있음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수동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수정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의심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</si>
  <si>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카테고리</t>
    </r>
  </si>
  <si>
    <r>
      <rPr>
        <sz val="9"/>
        <color theme="1"/>
        <rFont val="나눔고딕"/>
        <family val="3"/>
        <charset val="129"/>
      </rPr>
      <t>참조무결성</t>
    </r>
  </si>
  <si>
    <r>
      <rPr>
        <sz val="9"/>
        <color theme="1"/>
        <rFont val="나눔고딕"/>
        <family val="3"/>
        <charset val="129"/>
      </rPr>
      <t>서로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다른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시트가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같은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키</t>
    </r>
    <r>
      <rPr>
        <sz val="9"/>
        <color theme="1"/>
        <rFont val="Times New Roman"/>
        <family val="1"/>
      </rPr>
      <t xml:space="preserve">(SW_ID </t>
    </r>
    <r>
      <rPr>
        <sz val="9"/>
        <color theme="1"/>
        <rFont val="나눔고딕"/>
        <family val="3"/>
        <charset val="129"/>
      </rPr>
      <t>등</t>
    </r>
    <r>
      <rPr>
        <sz val="9"/>
        <color theme="1"/>
        <rFont val="Times New Roman"/>
        <family val="1"/>
      </rPr>
      <t>)</t>
    </r>
    <r>
      <rPr>
        <sz val="9"/>
        <color theme="1"/>
        <rFont val="나눔고딕"/>
        <family val="3"/>
        <charset val="129"/>
      </rPr>
      <t>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참조할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때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그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키가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실제로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존재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등록되어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있는지</t>
    </r>
  </si>
  <si>
    <r>
      <rPr>
        <sz val="9"/>
        <color theme="1"/>
        <rFont val="나눔고딕"/>
        <family val="3"/>
        <charset val="129"/>
      </rPr>
      <t>특정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상태가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되면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반드시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있어야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대응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기록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로그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스냅샷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등</t>
    </r>
    <r>
      <rPr>
        <sz val="9"/>
        <color theme="1"/>
        <rFont val="Times New Roman"/>
        <family val="1"/>
      </rPr>
      <t>)</t>
    </r>
    <r>
      <rPr>
        <sz val="9"/>
        <color theme="1"/>
        <rFont val="나눔고딕"/>
        <family val="3"/>
        <charset val="129"/>
      </rPr>
      <t>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실제로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존재하는지</t>
    </r>
  </si>
  <si>
    <r>
      <rPr>
        <sz val="9"/>
        <color theme="1"/>
        <rFont val="나눔고딕"/>
        <family val="3"/>
        <charset val="129"/>
      </rPr>
      <t>값도메인</t>
    </r>
  </si>
  <si>
    <r>
      <rPr>
        <sz val="9"/>
        <color theme="1"/>
        <rFont val="나눔고딕"/>
        <family val="3"/>
        <charset val="129"/>
      </rPr>
      <t>정해진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허용값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열거형</t>
    </r>
    <r>
      <rPr>
        <sz val="9"/>
        <color theme="1"/>
        <rFont val="Times New Roman"/>
        <family val="1"/>
      </rPr>
      <t xml:space="preserve">) </t>
    </r>
    <r>
      <rPr>
        <sz val="9"/>
        <color theme="1"/>
        <rFont val="나눔고딕"/>
        <family val="3"/>
        <charset val="129"/>
      </rPr>
      <t>안에서만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값이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입력되었는지</t>
    </r>
  </si>
  <si>
    <r>
      <rPr>
        <sz val="9"/>
        <color theme="1"/>
        <rFont val="나눔고딕"/>
        <family val="3"/>
        <charset val="129"/>
      </rPr>
      <t>원핫규칙</t>
    </r>
  </si>
  <si>
    <r>
      <rPr>
        <sz val="9"/>
        <color theme="1"/>
        <rFont val="나눔고딕"/>
        <family val="3"/>
        <charset val="129"/>
      </rPr>
      <t>여러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후보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중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정확히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하나만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선택되어야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하는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규칙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위반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여부</t>
    </r>
  </si>
  <si>
    <r>
      <rPr>
        <sz val="9"/>
        <color theme="1"/>
        <rFont val="나눔고딕"/>
        <family val="3"/>
        <charset val="129"/>
      </rPr>
      <t>수식무결성</t>
    </r>
  </si>
  <si>
    <r>
      <rPr>
        <sz val="9"/>
        <color theme="1"/>
        <rFont val="나눔고딕"/>
        <family val="3"/>
        <charset val="129"/>
      </rPr>
      <t>원래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수식이어야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셀이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값으로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직접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입력되어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수식이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깨졌는지</t>
    </r>
  </si>
  <si>
    <r>
      <rPr>
        <sz val="9"/>
        <color theme="1"/>
        <rFont val="나눔고딕"/>
        <family val="3"/>
        <charset val="129"/>
      </rPr>
      <t>업무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규칙상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서로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연동되어야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하는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필드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정합성</t>
    </r>
  </si>
  <si>
    <r>
      <rPr>
        <sz val="9"/>
        <color theme="1"/>
        <rFont val="나눔고딕"/>
        <family val="3"/>
        <charset val="129"/>
      </rPr>
      <t>형식</t>
    </r>
  </si>
  <si>
    <r>
      <rPr>
        <sz val="9"/>
        <color theme="1"/>
        <rFont val="나눔고딕"/>
        <family val="3"/>
        <charset val="129"/>
      </rPr>
      <t>날짜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체크섬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명명규칙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형식적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유효성</t>
    </r>
  </si>
  <si>
    <r>
      <rPr>
        <sz val="9"/>
        <color theme="1"/>
        <rFont val="나눔고딕"/>
        <family val="3"/>
        <charset val="129"/>
      </rPr>
      <t>데이터신선도</t>
    </r>
  </si>
  <si>
    <r>
      <rPr>
        <sz val="9"/>
        <color theme="1"/>
        <rFont val="나눔고딕"/>
        <family val="3"/>
        <charset val="129"/>
      </rPr>
      <t>파생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캐시된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값이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원본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데이터보다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오래되어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실제와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다를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있는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상태</t>
    </r>
    <r>
      <rPr>
        <sz val="9"/>
        <color theme="1"/>
        <rFont val="Times New Roman"/>
        <family val="1"/>
      </rPr>
      <t xml:space="preserve">(v3 </t>
    </r>
    <r>
      <rPr>
        <sz val="9"/>
        <color theme="1"/>
        <rFont val="나눔고딕"/>
        <family val="3"/>
        <charset val="129"/>
      </rPr>
      <t>신규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</si>
  <si>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내적정합성</t>
    </r>
  </si>
  <si>
    <r>
      <rPr>
        <sz val="9"/>
        <color theme="1"/>
        <rFont val="나눔고딕"/>
        <family val="3"/>
        <charset val="129"/>
      </rPr>
      <t>같은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행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레코드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안에서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판정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필드와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근거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필드가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서로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논리적으로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모순되는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상태</t>
    </r>
    <r>
      <rPr>
        <sz val="9"/>
        <color theme="1"/>
        <rFont val="Times New Roman"/>
        <family val="1"/>
      </rPr>
      <t xml:space="preserve">(v3 </t>
    </r>
    <r>
      <rPr>
        <sz val="9"/>
        <color theme="1"/>
        <rFont val="나눔고딕"/>
        <family val="3"/>
        <charset val="129"/>
      </rPr>
      <t>신규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</si>
  <si>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심각도</t>
    </r>
  </si>
  <si>
    <r>
      <rPr>
        <sz val="9"/>
        <color theme="1"/>
        <rFont val="나눔고딕"/>
        <family val="3"/>
        <charset val="129"/>
      </rPr>
      <t>데이터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정합성이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깨진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상태</t>
    </r>
    <r>
      <rPr>
        <sz val="9"/>
        <color theme="1"/>
        <rFont val="Times New Roman"/>
        <family val="1"/>
      </rPr>
      <t xml:space="preserve"> - </t>
    </r>
    <r>
      <rPr>
        <sz val="9"/>
        <color theme="1"/>
        <rFont val="나눔고딕"/>
        <family val="3"/>
        <charset val="129"/>
      </rPr>
      <t>즉시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조치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필요</t>
    </r>
    <r>
      <rPr>
        <sz val="9"/>
        <color theme="1"/>
        <rFont val="Times New Roman"/>
        <family val="1"/>
      </rPr>
      <t>(</t>
    </r>
    <r>
      <rPr>
        <sz val="9"/>
        <color theme="1"/>
        <rFont val="나눔고딕"/>
        <family val="3"/>
        <charset val="129"/>
      </rPr>
      <t>감사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추적성에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직접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영향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</si>
  <si>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운영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프로세스상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확인이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필요한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상태</t>
    </r>
    <r>
      <rPr>
        <sz val="9"/>
        <color theme="1"/>
        <rFont val="Times New Roman"/>
        <family val="1"/>
      </rPr>
      <t xml:space="preserve"> - </t>
    </r>
    <r>
      <rPr>
        <sz val="9"/>
        <color theme="1"/>
        <rFont val="나눔고딕"/>
        <family val="3"/>
        <charset val="129"/>
      </rPr>
      <t>우선순위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높게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검토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권장</t>
    </r>
  </si>
  <si>
    <r>
      <rPr>
        <sz val="9"/>
        <color theme="1"/>
        <rFont val="나눔고딕"/>
        <family val="3"/>
        <charset val="129"/>
      </rPr>
      <t>참고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권고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수준</t>
    </r>
    <r>
      <rPr>
        <sz val="9"/>
        <color theme="1"/>
        <rFont val="Times New Roman"/>
        <family val="1"/>
      </rPr>
      <t xml:space="preserve"> - </t>
    </r>
    <r>
      <rPr>
        <sz val="9"/>
        <color theme="1"/>
        <rFont val="나눔고딕"/>
        <family val="3"/>
        <charset val="129"/>
      </rPr>
      <t>여유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있을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때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확인</t>
    </r>
  </si>
  <si>
    <r>
      <rPr>
        <sz val="11"/>
        <color theme="1"/>
        <rFont val="나눔고딕"/>
        <family val="3"/>
        <charset val="129"/>
      </rPr>
      <t>스냅샷</t>
    </r>
    <r>
      <rPr>
        <sz val="11"/>
        <color theme="1"/>
        <rFont val="Times New Roman"/>
        <family val="1"/>
      </rPr>
      <t>_</t>
    </r>
    <r>
      <rPr>
        <sz val="11"/>
        <color theme="1"/>
        <rFont val="나눔고딕"/>
        <family val="3"/>
        <charset val="129"/>
      </rPr>
      <t>보관</t>
    </r>
  </si>
  <si>
    <t>COMP-07</t>
  </si>
  <si>
    <t>vuln_status</t>
    <phoneticPr fontId="2" type="noConversion"/>
  </si>
  <si>
    <t>PURL_CPE</t>
    <phoneticPr fontId="2" type="noConversion"/>
  </si>
  <si>
    <r>
      <t xml:space="preserve">SelfAudit_Guide — SSoT </t>
    </r>
    <r>
      <rPr>
        <b/>
        <sz val="11"/>
        <color theme="1"/>
        <rFont val="나눔고딕"/>
        <family val="3"/>
        <charset val="129"/>
      </rPr>
      <t>무결성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검사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규칙</t>
    </r>
    <r>
      <rPr>
        <b/>
        <sz val="11"/>
        <color theme="1"/>
        <rFont val="Times New Roman"/>
        <family val="1"/>
      </rPr>
      <t>/</t>
    </r>
    <r>
      <rPr>
        <b/>
        <sz val="11"/>
        <color theme="1"/>
        <rFont val="나눔고딕"/>
        <family val="3"/>
        <charset val="129"/>
      </rPr>
      <t>카테고리</t>
    </r>
    <r>
      <rPr>
        <b/>
        <sz val="11"/>
        <color theme="1"/>
        <rFont val="Times New Roman"/>
        <family val="1"/>
      </rPr>
      <t>/</t>
    </r>
    <r>
      <rPr>
        <b/>
        <sz val="11"/>
        <color theme="1"/>
        <rFont val="나눔고딕"/>
        <family val="3"/>
        <charset val="129"/>
      </rPr>
      <t>심각도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안내</t>
    </r>
  </si>
  <si>
    <r>
      <rPr>
        <sz val="10"/>
        <color theme="1"/>
        <rFont val="나눔고딕"/>
        <family val="3"/>
        <charset val="129"/>
      </rPr>
      <t>※</t>
    </r>
    <r>
      <rPr>
        <sz val="10"/>
        <color theme="1"/>
        <rFont val="Times New Roman"/>
        <family val="1"/>
      </rPr>
      <t xml:space="preserve"> ssot_integrity_check.py v3.1(2026-08-24, COMP-07 </t>
    </r>
    <r>
      <rPr>
        <sz val="10"/>
        <color theme="1"/>
        <rFont val="나눔고딕"/>
        <family val="3"/>
        <charset val="129"/>
      </rPr>
      <t>신설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포함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기준으로</t>
    </r>
    <r>
      <rPr>
        <sz val="10"/>
        <color theme="1"/>
        <rFont val="Times New Roman"/>
        <family val="1"/>
      </rPr>
      <t xml:space="preserve"> 100% </t>
    </r>
    <r>
      <rPr>
        <sz val="10"/>
        <color theme="1"/>
        <rFont val="나눔고딕"/>
        <family val="3"/>
        <charset val="129"/>
      </rPr>
      <t>동기화됨</t>
    </r>
    <r>
      <rPr>
        <sz val="10"/>
        <color theme="1"/>
        <rFont val="Times New Roman"/>
        <family val="1"/>
      </rPr>
      <t>.</t>
    </r>
  </si>
  <si>
    <r>
      <rPr>
        <b/>
        <sz val="10"/>
        <color rgb="FFFFFFFF"/>
        <rFont val="나눔고딕"/>
        <family val="3"/>
        <charset val="129"/>
      </rPr>
      <t>카테고리</t>
    </r>
  </si>
  <si>
    <r>
      <rPr>
        <sz val="10"/>
        <rFont val="나눔고딕"/>
        <family val="3"/>
        <charset val="129"/>
      </rPr>
      <t>참조무결성</t>
    </r>
  </si>
  <si>
    <r>
      <t>SW_ID</t>
    </r>
    <r>
      <rPr>
        <sz val="10"/>
        <rFont val="나눔고딕"/>
        <family val="3"/>
        <charset val="129"/>
      </rPr>
      <t>가</t>
    </r>
    <r>
      <rPr>
        <sz val="10"/>
        <rFont val="Times New Roman"/>
        <family val="1"/>
      </rPr>
      <t xml:space="preserve"> SSoT </t>
    </r>
    <r>
      <rPr>
        <sz val="10"/>
        <rFont val="나눔고딕"/>
        <family val="3"/>
        <charset val="129"/>
      </rPr>
      <t>마스터에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등록되지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않았는데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다른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시트에서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사용됨</t>
    </r>
  </si>
  <si>
    <r>
      <t>SSoT</t>
    </r>
    <r>
      <rPr>
        <sz val="10"/>
        <rFont val="나눔고딕"/>
        <family val="3"/>
        <charset val="129"/>
      </rPr>
      <t>와</t>
    </r>
    <r>
      <rPr>
        <sz val="10"/>
        <rFont val="Times New Roman"/>
        <family val="1"/>
      </rPr>
      <t xml:space="preserve"> LevelDepth</t>
    </r>
    <r>
      <rPr>
        <sz val="10"/>
        <rFont val="나눔고딕"/>
        <family val="3"/>
        <charset val="129"/>
      </rPr>
      <t>의</t>
    </r>
    <r>
      <rPr>
        <sz val="10"/>
        <rFont val="Times New Roman"/>
        <family val="1"/>
      </rPr>
      <t xml:space="preserve"> SW_ID </t>
    </r>
    <r>
      <rPr>
        <sz val="10"/>
        <rFont val="나눔고딕"/>
        <family val="3"/>
        <charset val="129"/>
      </rPr>
      <t>등록이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서로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어긋남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한쪽에만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등록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</si>
  <si>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통합의</t>
    </r>
    <r>
      <rPr>
        <sz val="10"/>
        <rFont val="Times New Roman"/>
        <family val="1"/>
      </rPr>
      <t xml:space="preserve"> controller_id</t>
    </r>
    <r>
      <rPr>
        <sz val="10"/>
        <rFont val="나눔고딕"/>
        <family val="3"/>
        <charset val="129"/>
      </rPr>
      <t>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목록에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미등록</t>
    </r>
  </si>
  <si>
    <r>
      <rPr>
        <sz val="10"/>
        <rFont val="나눔고딕"/>
        <family val="3"/>
        <charset val="129"/>
      </rPr>
      <t>베이스라인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계보의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원본이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유지보수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어디에도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실재하지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않음</t>
    </r>
    <r>
      <rPr>
        <sz val="10"/>
        <rFont val="Times New Roman"/>
        <family val="1"/>
      </rPr>
      <t xml:space="preserve">(v3.1: </t>
    </r>
    <r>
      <rPr>
        <sz val="10"/>
        <rFont val="나눔고딕"/>
        <family val="3"/>
        <charset val="129"/>
      </rPr>
      <t>유지보수</t>
    </r>
    <r>
      <rPr>
        <sz val="10"/>
        <rFont val="Times New Roman"/>
        <family val="1"/>
      </rPr>
      <t>_SAMPLE_</t>
    </r>
    <r>
      <rPr>
        <sz val="10"/>
        <rFont val="나눔고딕"/>
        <family val="3"/>
        <charset val="129"/>
      </rPr>
      <t>함수단위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펌웨어단위까지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검색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범위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확장</t>
    </r>
    <r>
      <rPr>
        <sz val="10"/>
        <rFont val="Times New Roman"/>
        <family val="1"/>
      </rPr>
      <t>)</t>
    </r>
  </si>
  <si>
    <r>
      <t>SUP9_</t>
    </r>
    <r>
      <rPr>
        <sz val="10"/>
        <rFont val="나눔고딕"/>
        <family val="3"/>
        <charset val="129"/>
      </rPr>
      <t>이슈현황</t>
    </r>
    <r>
      <rPr>
        <sz val="10"/>
        <rFont val="Times New Roman"/>
        <family val="1"/>
      </rPr>
      <t>/MAN5_</t>
    </r>
    <r>
      <rPr>
        <sz val="10"/>
        <rFont val="나눔고딕"/>
        <family val="3"/>
        <charset val="129"/>
      </rPr>
      <t>리스크레지스터의</t>
    </r>
    <r>
      <rPr>
        <sz val="10"/>
        <rFont val="Times New Roman"/>
        <family val="1"/>
      </rPr>
      <t xml:space="preserve"> SW_ID(</t>
    </r>
    <r>
      <rPr>
        <sz val="10"/>
        <rFont val="나눔고딕"/>
        <family val="3"/>
        <charset val="129"/>
      </rPr>
      <t>또는</t>
    </r>
    <r>
      <rPr>
        <sz val="10"/>
        <rFont val="Times New Roman"/>
        <family val="1"/>
      </rPr>
      <t xml:space="preserve"> baseline_id)</t>
    </r>
    <r>
      <rPr>
        <sz val="10"/>
        <rFont val="나눔고딕"/>
        <family val="3"/>
        <charset val="129"/>
      </rPr>
      <t>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미등록</t>
    </r>
  </si>
  <si>
    <r>
      <rPr>
        <sz val="10"/>
        <rFont val="나눔고딕"/>
        <family val="3"/>
        <charset val="129"/>
      </rPr>
      <t>완전성</t>
    </r>
  </si>
  <si>
    <r>
      <t xml:space="preserve">formally_baselined </t>
    </r>
    <r>
      <rPr>
        <sz val="10"/>
        <rFont val="나눔고딕"/>
        <family val="3"/>
        <charset val="129"/>
      </rPr>
      <t>상태인데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스냅샷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보관에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없음</t>
    </r>
  </si>
  <si>
    <r>
      <t>SSoT_</t>
    </r>
    <r>
      <rPr>
        <sz val="10"/>
        <rFont val="나눔고딕"/>
        <family val="3"/>
        <charset val="129"/>
      </rPr>
      <t>변경이력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최신값과</t>
    </r>
    <r>
      <rPr>
        <sz val="10"/>
        <rFont val="Times New Roman"/>
        <family val="1"/>
      </rPr>
      <t xml:space="preserve"> SSoT </t>
    </r>
    <r>
      <rPr>
        <sz val="10"/>
        <rFont val="나눔고딕"/>
        <family val="3"/>
        <charset val="129"/>
      </rPr>
      <t>현재값이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다름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반영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매크로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미실행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의심</t>
    </r>
    <r>
      <rPr>
        <sz val="10"/>
        <rFont val="Times New Roman"/>
        <family val="1"/>
      </rPr>
      <t>)</t>
    </r>
  </si>
  <si>
    <r>
      <t>formally_baselined</t>
    </r>
    <r>
      <rPr>
        <sz val="10"/>
        <rFont val="나눔고딕"/>
        <family val="3"/>
        <charset val="129"/>
      </rPr>
      <t>인데</t>
    </r>
    <r>
      <rPr>
        <sz val="10"/>
        <rFont val="Times New Roman"/>
        <family val="1"/>
      </rPr>
      <t xml:space="preserve"> SWE_</t>
    </r>
    <r>
      <rPr>
        <sz val="10"/>
        <rFont val="나눔고딕"/>
        <family val="3"/>
        <charset val="129"/>
      </rPr>
      <t>검증현황에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해당</t>
    </r>
    <r>
      <rPr>
        <sz val="10"/>
        <rFont val="Times New Roman"/>
        <family val="1"/>
      </rPr>
      <t xml:space="preserve"> baseline</t>
    </r>
    <r>
      <rPr>
        <sz val="10"/>
        <rFont val="나눔고딕"/>
        <family val="3"/>
        <charset val="129"/>
      </rPr>
      <t>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검증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미완료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항목이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존재</t>
    </r>
  </si>
  <si>
    <r>
      <t>CCB_approval_id</t>
    </r>
    <r>
      <rPr>
        <sz val="10"/>
        <rFont val="나눔고딕"/>
        <family val="3"/>
        <charset val="129"/>
      </rPr>
      <t>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있는데</t>
    </r>
    <r>
      <rPr>
        <sz val="10"/>
        <rFont val="Times New Roman"/>
        <family val="1"/>
      </rPr>
      <t xml:space="preserve"> impact_analysis_ref</t>
    </r>
    <r>
      <rPr>
        <sz val="10"/>
        <rFont val="나눔고딕"/>
        <family val="3"/>
        <charset val="129"/>
      </rPr>
      <t>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공란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영향분석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참조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누락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</si>
  <si>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스냅샷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보관에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파일경로에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파일이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존재하지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않음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파일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소실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</si>
  <si>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스냅샷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보관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파일해시와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파일을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재계산한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현재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해시가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다름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위변조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의심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</si>
  <si>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유지보수</t>
    </r>
    <r>
      <rPr>
        <sz val="10"/>
        <rFont val="Times New Roman"/>
        <family val="1"/>
      </rPr>
      <t>_SAMPLE_</t>
    </r>
    <r>
      <rPr>
        <sz val="10"/>
        <rFont val="나눔고딕"/>
        <family val="3"/>
        <charset val="129"/>
      </rPr>
      <t>함수단위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펌웨어단위에서</t>
    </r>
    <r>
      <rPr>
        <sz val="10"/>
        <rFont val="Times New Roman"/>
        <family val="1"/>
      </rPr>
      <t xml:space="preserve"> formally_baselined</t>
    </r>
    <r>
      <rPr>
        <sz val="10"/>
        <rFont val="나눔고딕"/>
        <family val="3"/>
        <charset val="129"/>
      </rPr>
      <t>인데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스냅샷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보관에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없음</t>
    </r>
    <r>
      <rPr>
        <sz val="10"/>
        <rFont val="Times New Roman"/>
        <family val="1"/>
      </rPr>
      <t xml:space="preserve"> (v3.1 </t>
    </r>
    <r>
      <rPr>
        <sz val="10"/>
        <rFont val="나눔고딕"/>
        <family val="3"/>
        <charset val="129"/>
      </rPr>
      <t>신규</t>
    </r>
    <r>
      <rPr>
        <sz val="10"/>
        <rFont val="Times New Roman"/>
        <family val="1"/>
      </rPr>
      <t xml:space="preserve"> — COMP-01</t>
    </r>
    <r>
      <rPr>
        <sz val="10"/>
        <rFont val="나눔고딕"/>
        <family val="3"/>
        <charset val="129"/>
      </rPr>
      <t>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판정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로직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동일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대상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유지보수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단계로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확장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</si>
  <si>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값도메인</t>
    </r>
  </si>
  <si>
    <r>
      <t xml:space="preserve">phase/baseline_status/reflection_status/vuln_status/detection_source/safety_relevant_flag/origin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허용값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위반</t>
    </r>
  </si>
  <si>
    <r>
      <rPr>
        <sz val="10"/>
        <rFont val="나눔고딕"/>
        <family val="3"/>
        <charset val="129"/>
      </rPr>
      <t>신규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열거형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필드</t>
    </r>
    <r>
      <rPr>
        <sz val="10"/>
        <rFont val="Times New Roman"/>
        <family val="1"/>
      </rPr>
      <t>(severity/status/</t>
    </r>
    <r>
      <rPr>
        <sz val="10"/>
        <rFont val="나눔고딕"/>
        <family val="3"/>
        <charset val="129"/>
      </rPr>
      <t>검증상태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결정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위험도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등록구분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허용값을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벗어남</t>
    </r>
  </si>
  <si>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목록</t>
    </r>
    <r>
      <rPr>
        <sz val="10"/>
        <rFont val="Times New Roman"/>
        <family val="1"/>
      </rPr>
      <t>.schema_type</t>
    </r>
    <r>
      <rPr>
        <sz val="10"/>
        <rFont val="나눔고딕"/>
        <family val="3"/>
        <charset val="129"/>
      </rPr>
      <t>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정의된</t>
    </r>
    <r>
      <rPr>
        <sz val="10"/>
        <rFont val="Times New Roman"/>
        <family val="1"/>
      </rPr>
      <t xml:space="preserve"> 3</t>
    </r>
    <r>
      <rPr>
        <sz val="10"/>
        <rFont val="나눔고딕"/>
        <family val="3"/>
        <charset val="129"/>
      </rPr>
      <t>종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스키마가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아님</t>
    </r>
  </si>
  <si>
    <r>
      <rPr>
        <sz val="10"/>
        <rFont val="나눔고딕"/>
        <family val="3"/>
        <charset val="129"/>
      </rPr>
      <t>원핫규칙</t>
    </r>
  </si>
  <si>
    <r>
      <t>LevelDepth</t>
    </r>
    <r>
      <rPr>
        <sz val="10"/>
        <rFont val="나눔고딕"/>
        <family val="3"/>
        <charset val="129"/>
      </rPr>
      <t>의</t>
    </r>
    <r>
      <rPr>
        <sz val="10"/>
        <rFont val="Times New Roman"/>
        <family val="1"/>
      </rPr>
      <t xml:space="preserve"> L1~L5 </t>
    </r>
    <r>
      <rPr>
        <sz val="10"/>
        <rFont val="나눔고딕"/>
        <family val="3"/>
        <charset val="129"/>
      </rPr>
      <t>계층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표시가</t>
    </r>
    <r>
      <rPr>
        <sz val="10"/>
        <rFont val="Times New Roman"/>
        <family val="1"/>
      </rPr>
      <t xml:space="preserve"> 0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또는</t>
    </r>
    <r>
      <rPr>
        <sz val="10"/>
        <rFont val="Times New Roman"/>
        <family val="1"/>
      </rPr>
      <t xml:space="preserve"> 2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이상</t>
    </r>
  </si>
  <si>
    <r>
      <rPr>
        <sz val="10"/>
        <rFont val="나눔고딕"/>
        <family val="3"/>
        <charset val="129"/>
      </rPr>
      <t>수식무결성</t>
    </r>
  </si>
  <si>
    <r>
      <rPr>
        <sz val="10"/>
        <rFont val="나눔고딕"/>
        <family val="3"/>
        <charset val="129"/>
      </rPr>
      <t>수식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전용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셀이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하드코딩된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값으로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대체됨</t>
    </r>
    <r>
      <rPr>
        <sz val="10"/>
        <rFont val="Times New Roman"/>
        <family val="1"/>
      </rPr>
      <t>(SSoT_</t>
    </r>
    <r>
      <rPr>
        <sz val="10"/>
        <rFont val="나눔고딕"/>
        <family val="3"/>
        <charset val="129"/>
      </rPr>
      <t>변경이력</t>
    </r>
    <r>
      <rPr>
        <sz val="10"/>
        <rFont val="Times New Roman"/>
        <family val="1"/>
      </rPr>
      <t>.SW_name/level_depth</t>
    </r>
    <r>
      <rPr>
        <sz val="10"/>
        <rFont val="나눔고딕"/>
        <family val="3"/>
        <charset val="129"/>
      </rPr>
      <t>는</t>
    </r>
    <r>
      <rPr>
        <sz val="10"/>
        <rFont val="Times New Roman"/>
        <family val="1"/>
      </rPr>
      <t xml:space="preserve"> Medium)</t>
    </r>
  </si>
  <si>
    <r>
      <rPr>
        <sz val="10"/>
        <rFont val="나눔고딕"/>
        <family val="3"/>
        <charset val="129"/>
      </rPr>
      <t>비즈니스로직</t>
    </r>
  </si>
  <si>
    <r>
      <rPr>
        <sz val="10"/>
        <rFont val="나눔고딕"/>
        <family val="3"/>
        <charset val="129"/>
      </rPr>
      <t>생산단계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미반영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부분반영인데</t>
    </r>
    <r>
      <rPr>
        <sz val="10"/>
        <rFont val="Times New Roman"/>
        <family val="1"/>
      </rPr>
      <t xml:space="preserve"> reflection_action </t>
    </r>
    <r>
      <rPr>
        <sz val="10"/>
        <rFont val="나눔고딕"/>
        <family val="3"/>
        <charset val="129"/>
      </rPr>
      <t>공란</t>
    </r>
  </si>
  <si>
    <r>
      <t>vuln_status</t>
    </r>
    <r>
      <rPr>
        <sz val="10"/>
        <rFont val="나눔고딕"/>
        <family val="3"/>
        <charset val="129"/>
      </rPr>
      <t>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있는데</t>
    </r>
    <r>
      <rPr>
        <sz val="10"/>
        <rFont val="Times New Roman"/>
        <family val="1"/>
      </rPr>
      <t xml:space="preserve"> SSoT</t>
    </r>
    <r>
      <rPr>
        <sz val="10"/>
        <rFont val="나눔고딕"/>
        <family val="3"/>
        <charset val="129"/>
      </rPr>
      <t>에</t>
    </r>
    <r>
      <rPr>
        <sz val="10"/>
        <rFont val="Times New Roman"/>
        <family val="1"/>
      </rPr>
      <t xml:space="preserve"> CVE_ref/internal_vuln_id</t>
    </r>
    <r>
      <rPr>
        <sz val="10"/>
        <rFont val="나눔고딕"/>
        <family val="3"/>
        <charset val="129"/>
      </rPr>
      <t>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없음</t>
    </r>
  </si>
  <si>
    <r>
      <rPr>
        <sz val="10"/>
        <rFont val="나눔고딕"/>
        <family val="3"/>
        <charset val="129"/>
      </rPr>
      <t>형식</t>
    </r>
  </si>
  <si>
    <r>
      <t>checksum</t>
    </r>
    <r>
      <rPr>
        <sz val="10"/>
        <rFont val="나눔고딕"/>
        <family val="3"/>
        <charset val="129"/>
      </rPr>
      <t>이</t>
    </r>
    <r>
      <rPr>
        <sz val="10"/>
        <rFont val="Times New Roman"/>
        <family val="1"/>
      </rPr>
      <t xml:space="preserve"> 'sha256:' </t>
    </r>
    <r>
      <rPr>
        <sz val="10"/>
        <rFont val="나눔고딕"/>
        <family val="3"/>
        <charset val="129"/>
      </rPr>
      <t>접두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형식이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아님</t>
    </r>
  </si>
  <si>
    <r>
      <rPr>
        <sz val="10"/>
        <rFont val="나눔고딕"/>
        <family val="3"/>
        <charset val="129"/>
      </rPr>
      <t>날짜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필드를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날짜로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인식할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없음</t>
    </r>
  </si>
  <si>
    <r>
      <t>SW_ID</t>
    </r>
    <r>
      <rPr>
        <sz val="10"/>
        <rFont val="나눔고딕"/>
        <family val="3"/>
        <charset val="129"/>
      </rPr>
      <t>가</t>
    </r>
    <r>
      <rPr>
        <sz val="10"/>
        <rFont val="Times New Roman"/>
        <family val="1"/>
      </rPr>
      <t xml:space="preserve"> SWC_/SWU_ </t>
    </r>
    <r>
      <rPr>
        <sz val="10"/>
        <rFont val="나눔고딕"/>
        <family val="3"/>
        <charset val="129"/>
      </rPr>
      <t>명명규칙과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다름</t>
    </r>
  </si>
  <si>
    <r>
      <rPr>
        <sz val="10"/>
        <rFont val="나눔고딕"/>
        <family val="3"/>
        <charset val="129"/>
      </rPr>
      <t>데이터신선도</t>
    </r>
  </si>
  <si>
    <r>
      <t>open_critical_issue_count</t>
    </r>
    <r>
      <rPr>
        <sz val="10"/>
        <rFont val="나눔고딕"/>
        <family val="3"/>
        <charset val="129"/>
      </rPr>
      <t>가</t>
    </r>
    <r>
      <rPr>
        <sz val="10"/>
        <rFont val="Times New Roman"/>
        <family val="1"/>
      </rPr>
      <t xml:space="preserve"> SUP9_</t>
    </r>
    <r>
      <rPr>
        <sz val="10"/>
        <rFont val="나눔고딕"/>
        <family val="3"/>
        <charset val="129"/>
      </rPr>
      <t>이슈현황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재계산값과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다름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캐시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미갱신</t>
    </r>
    <r>
      <rPr>
        <sz val="10"/>
        <rFont val="Times New Roman"/>
        <family val="1"/>
      </rPr>
      <t>)</t>
    </r>
  </si>
  <si>
    <r>
      <t>MAN5_</t>
    </r>
    <r>
      <rPr>
        <sz val="10"/>
        <rFont val="나눔고딕"/>
        <family val="3"/>
        <charset val="129"/>
      </rPr>
      <t>리스크레지스터</t>
    </r>
    <r>
      <rPr>
        <sz val="10"/>
        <rFont val="Times New Roman"/>
        <family val="1"/>
      </rPr>
      <t xml:space="preserve"> AUTO </t>
    </r>
    <r>
      <rPr>
        <sz val="10"/>
        <rFont val="나눔고딕"/>
        <family val="3"/>
        <charset val="129"/>
      </rPr>
      <t>행이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소스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데이터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최신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갱신일보다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오래됨</t>
    </r>
    <r>
      <rPr>
        <sz val="10"/>
        <rFont val="Times New Roman"/>
        <family val="1"/>
      </rPr>
      <t xml:space="preserve">(RefreshRiskRegister </t>
    </r>
    <r>
      <rPr>
        <sz val="10"/>
        <rFont val="나눔고딕"/>
        <family val="3"/>
        <charset val="129"/>
      </rPr>
      <t>미실행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</si>
  <si>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내적정합성</t>
    </r>
  </si>
  <si>
    <r>
      <t>MAN3_</t>
    </r>
    <r>
      <rPr>
        <sz val="10"/>
        <rFont val="나눔고딕"/>
        <family val="3"/>
        <charset val="129"/>
      </rPr>
      <t>마일스톤리스크로그에서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결정</t>
    </r>
    <r>
      <rPr>
        <sz val="10"/>
        <rFont val="Times New Roman"/>
        <family val="1"/>
      </rPr>
      <t>=GO</t>
    </r>
    <r>
      <rPr>
        <sz val="10"/>
        <rFont val="나눔고딕"/>
        <family val="3"/>
        <charset val="129"/>
      </rPr>
      <t>인데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같은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행의</t>
    </r>
    <r>
      <rPr>
        <sz val="10"/>
        <rFont val="Times New Roman"/>
        <family val="1"/>
      </rPr>
      <t xml:space="preserve"> CVE</t>
    </r>
    <r>
      <rPr>
        <sz val="10"/>
        <rFont val="나눔고딕"/>
        <family val="3"/>
        <charset val="129"/>
      </rPr>
      <t>잔존건수</t>
    </r>
    <r>
      <rPr>
        <sz val="10"/>
        <rFont val="Times New Roman"/>
        <family val="1"/>
      </rPr>
      <t xml:space="preserve">&gt;0 </t>
    </r>
    <r>
      <rPr>
        <sz val="10"/>
        <rFont val="나눔고딕"/>
        <family val="3"/>
        <charset val="129"/>
      </rPr>
      <t>또는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스냅샷상태가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미기록</t>
    </r>
  </si>
  <si>
    <r>
      <t>MAN5_</t>
    </r>
    <r>
      <rPr>
        <sz val="10"/>
        <rFont val="나눔고딕"/>
        <family val="3"/>
        <charset val="129"/>
      </rPr>
      <t>리스크레지스터에서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등록구분</t>
    </r>
    <r>
      <rPr>
        <sz val="10"/>
        <rFont val="Times New Roman"/>
        <family val="1"/>
      </rPr>
      <t>=AUTO</t>
    </r>
    <r>
      <rPr>
        <sz val="10"/>
        <rFont val="나눔고딕"/>
        <family val="3"/>
        <charset val="129"/>
      </rPr>
      <t>인데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조치담당자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조치기한이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채워져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있음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수동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수정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의심</t>
    </r>
    <r>
      <rPr>
        <sz val="10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</si>
  <si>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검사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관점</t>
    </r>
  </si>
  <si>
    <r>
      <rPr>
        <sz val="10"/>
        <rFont val="나눔고딕"/>
        <family val="3"/>
        <charset val="129"/>
      </rPr>
      <t>다른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키</t>
    </r>
    <r>
      <rPr>
        <sz val="10"/>
        <rFont val="Times New Roman"/>
        <family val="1"/>
      </rPr>
      <t xml:space="preserve">(SW_ID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참조할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키가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실제로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존재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등록되어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있는지</t>
    </r>
  </si>
  <si>
    <r>
      <rPr>
        <sz val="10"/>
        <rFont val="나눔고딕"/>
        <family val="3"/>
        <charset val="129"/>
      </rPr>
      <t>특정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상태가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되면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반드시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있어야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대응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로그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스냅샷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실제로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존재하는지</t>
    </r>
  </si>
  <si>
    <r>
      <rPr>
        <sz val="10"/>
        <rFont val="나눔고딕"/>
        <family val="3"/>
        <charset val="129"/>
      </rPr>
      <t>정해진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허용값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열거형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안에서만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값이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입력되었는지</t>
    </r>
  </si>
  <si>
    <r>
      <rPr>
        <sz val="10"/>
        <rFont val="나눔고딕"/>
        <family val="3"/>
        <charset val="129"/>
      </rPr>
      <t>여러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후보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중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정확히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하나만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선택되어야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규칙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</si>
  <si>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r>
      <rPr>
        <sz val="10"/>
        <rFont val="나눔고딕"/>
        <family val="3"/>
        <charset val="129"/>
      </rPr>
      <t>원래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수식이어야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셀이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값으로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직접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입력되어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수식이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깨졌는지</t>
    </r>
  </si>
  <si>
    <r>
      <rPr>
        <sz val="10"/>
        <rFont val="나눔고딕"/>
        <family val="3"/>
        <charset val="129"/>
      </rPr>
      <t>업무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규칙상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서로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연동되어야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필드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정합성</t>
    </r>
  </si>
  <si>
    <r>
      <rPr>
        <sz val="10"/>
        <rFont val="나눔고딕"/>
        <family val="3"/>
        <charset val="129"/>
      </rPr>
      <t>날짜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체크섬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명명규칙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형식적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유효성</t>
    </r>
  </si>
  <si>
    <r>
      <rPr>
        <sz val="10"/>
        <rFont val="나눔고딕"/>
        <family val="3"/>
        <charset val="129"/>
      </rPr>
      <t>파생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캐시된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값이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원본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데이터보다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오래되어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실제와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다를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있는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상태</t>
    </r>
    <r>
      <rPr>
        <sz val="10"/>
        <rFont val="Times New Roman"/>
        <family val="1"/>
      </rPr>
      <t xml:space="preserve">(v3 </t>
    </r>
    <r>
      <rPr>
        <sz val="10"/>
        <rFont val="나눔고딕"/>
        <family val="3"/>
        <charset val="129"/>
      </rPr>
      <t>신규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</si>
  <si>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같은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레코드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안에서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판정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필드와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근거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필드가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서로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논리적으로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모순되는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상태</t>
    </r>
    <r>
      <rPr>
        <sz val="10"/>
        <rFont val="Times New Roman"/>
        <family val="1"/>
      </rPr>
      <t xml:space="preserve">(v3 </t>
    </r>
    <r>
      <rPr>
        <sz val="10"/>
        <rFont val="나눔고딕"/>
        <family val="3"/>
        <charset val="129"/>
      </rPr>
      <t>신규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</si>
  <si>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데이터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정합성이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깨진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상태</t>
    </r>
    <r>
      <rPr>
        <sz val="10"/>
        <rFont val="Times New Roman"/>
        <family val="1"/>
      </rPr>
      <t xml:space="preserve"> - </t>
    </r>
    <r>
      <rPr>
        <sz val="10"/>
        <rFont val="나눔고딕"/>
        <family val="3"/>
        <charset val="129"/>
      </rPr>
      <t>즉시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조치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필요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감사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추적성에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직접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영향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</si>
  <si>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운영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프로세스상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확인이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필요한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상태</t>
    </r>
    <r>
      <rPr>
        <sz val="10"/>
        <rFont val="Times New Roman"/>
        <family val="1"/>
      </rPr>
      <t xml:space="preserve"> - </t>
    </r>
    <r>
      <rPr>
        <sz val="10"/>
        <rFont val="나눔고딕"/>
        <family val="3"/>
        <charset val="129"/>
      </rPr>
      <t>우선순위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높게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검토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권장</t>
    </r>
  </si>
  <si>
    <r>
      <rPr>
        <sz val="10"/>
        <rFont val="나눔고딕"/>
        <family val="3"/>
        <charset val="129"/>
      </rPr>
      <t>참고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권고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수준</t>
    </r>
    <r>
      <rPr>
        <sz val="10"/>
        <rFont val="Times New Roman"/>
        <family val="1"/>
      </rPr>
      <t xml:space="preserve"> - </t>
    </r>
    <r>
      <rPr>
        <sz val="10"/>
        <rFont val="나눔고딕"/>
        <family val="3"/>
        <charset val="129"/>
      </rPr>
      <t>여유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있을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확인</t>
    </r>
  </si>
  <si>
    <t>J5</t>
  </si>
  <si>
    <t>A5</t>
  </si>
  <si>
    <t>V6</t>
  </si>
  <si>
    <t>V7</t>
  </si>
  <si>
    <t>S5</t>
  </si>
  <si>
    <t>S6</t>
  </si>
  <si>
    <t>S10</t>
  </si>
  <si>
    <t>S11</t>
  </si>
  <si>
    <t>X8</t>
  </si>
  <si>
    <t>X10</t>
  </si>
  <si>
    <r>
      <rPr>
        <sz val="10"/>
        <rFont val="나눔고딕"/>
        <family val="3"/>
        <charset val="129"/>
      </rPr>
      <t>공급자</t>
    </r>
    <r>
      <rPr>
        <sz val="10"/>
        <rFont val="Times New Roman"/>
        <family val="1"/>
      </rPr>
      <t>. self</t>
    </r>
    <r>
      <rPr>
        <sz val="10"/>
        <rFont val="나눔고딕"/>
        <family val="3"/>
        <charset val="129"/>
      </rPr>
      <t>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자사명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아니면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공급자</t>
    </r>
    <phoneticPr fontId="2" type="noConversion"/>
  </si>
  <si>
    <r>
      <rPr>
        <sz val="10"/>
        <rFont val="나눔고딕"/>
        <family val="3"/>
        <charset val="129"/>
      </rPr>
      <t>표준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 xml:space="preserve">식별자
</t>
    </r>
    <r>
      <rPr>
        <sz val="9"/>
        <color rgb="FFC00000"/>
        <rFont val="Times New Roman"/>
        <family val="1"/>
      </rPr>
      <t>PURL</t>
    </r>
    <r>
      <rPr>
        <sz val="9"/>
        <color rgb="FFC00000"/>
        <rFont val="나눔고딕"/>
        <family val="3"/>
        <charset val="129"/>
      </rPr>
      <t>과</t>
    </r>
    <r>
      <rPr>
        <sz val="9"/>
        <color rgb="FFC00000"/>
        <rFont val="Times New Roman"/>
        <family val="1"/>
      </rPr>
      <t xml:space="preserve"> CPE</t>
    </r>
    <r>
      <rPr>
        <sz val="9"/>
        <color rgb="FFC00000"/>
        <rFont val="나눔고딕"/>
        <family val="3"/>
        <charset val="129"/>
      </rPr>
      <t>는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소프트웨어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공급망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보안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및</t>
    </r>
    <r>
      <rPr>
        <sz val="9"/>
        <color rgb="FFC00000"/>
        <rFont val="Times New Roman"/>
        <family val="1"/>
      </rPr>
      <t xml:space="preserve"> SBOM(</t>
    </r>
    <r>
      <rPr>
        <sz val="9"/>
        <color rgb="FFC00000"/>
        <rFont val="나눔고딕"/>
        <family val="3"/>
        <charset val="129"/>
      </rPr>
      <t>소프트웨어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부품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명세서</t>
    </r>
    <r>
      <rPr>
        <sz val="9"/>
        <color rgb="FFC00000"/>
        <rFont val="Times New Roman"/>
        <family val="1"/>
      </rPr>
      <t xml:space="preserve">) </t>
    </r>
    <r>
      <rPr>
        <sz val="9"/>
        <color rgb="FFC00000"/>
        <rFont val="나눔고딕"/>
        <family val="3"/>
        <charset val="129"/>
      </rPr>
      <t>분야에서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소프트웨어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구성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요소</t>
    </r>
    <r>
      <rPr>
        <sz val="9"/>
        <color rgb="FFC00000"/>
        <rFont val="Times New Roman"/>
        <family val="1"/>
      </rPr>
      <t>(</t>
    </r>
    <r>
      <rPr>
        <sz val="9"/>
        <color rgb="FFC00000"/>
        <rFont val="나눔고딕"/>
        <family val="3"/>
        <charset val="129"/>
      </rPr>
      <t>라이브러리</t>
    </r>
    <r>
      <rPr>
        <sz val="9"/>
        <color rgb="FFC00000"/>
        <rFont val="Times New Roman"/>
        <family val="1"/>
      </rPr>
      <t xml:space="preserve">, </t>
    </r>
    <r>
      <rPr>
        <sz val="9"/>
        <color rgb="FFC00000"/>
        <rFont val="나눔고딕"/>
        <family val="3"/>
        <charset val="129"/>
      </rPr>
      <t>패키지</t>
    </r>
    <r>
      <rPr>
        <sz val="9"/>
        <color rgb="FFC00000"/>
        <rFont val="Times New Roman"/>
        <family val="1"/>
      </rPr>
      <t xml:space="preserve">, OS, </t>
    </r>
    <r>
      <rPr>
        <sz val="9"/>
        <color rgb="FFC00000"/>
        <rFont val="나눔고딕"/>
        <family val="3"/>
        <charset val="129"/>
      </rPr>
      <t>제품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등</t>
    </r>
    <r>
      <rPr>
        <sz val="9"/>
        <color rgb="FFC00000"/>
        <rFont val="Times New Roman"/>
        <family val="1"/>
      </rPr>
      <t>)</t>
    </r>
    <r>
      <rPr>
        <sz val="9"/>
        <color rgb="FFC00000"/>
        <rFont val="나눔고딕"/>
        <family val="3"/>
        <charset val="129"/>
      </rPr>
      <t>를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고유하게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식별하기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위해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사용하는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대표적인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표준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표준식별자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주소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규칙입니다</t>
    </r>
    <r>
      <rPr>
        <sz val="9"/>
        <color rgb="FFC00000"/>
        <rFont val="Times New Roman"/>
        <family val="1"/>
      </rPr>
      <t xml:space="preserve">.  </t>
    </r>
    <r>
      <rPr>
        <sz val="9"/>
        <color rgb="FFC00000"/>
        <rFont val="나눔고딕"/>
        <family val="3"/>
        <charset val="129"/>
      </rPr>
      <t>소프트웨어가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다양해지면서</t>
    </r>
    <r>
      <rPr>
        <sz val="9"/>
        <color rgb="FFC00000"/>
        <rFont val="Times New Roman"/>
        <family val="1"/>
      </rPr>
      <t xml:space="preserve"> "</t>
    </r>
    <r>
      <rPr>
        <sz val="9"/>
        <color rgb="FFC00000"/>
        <rFont val="나눔고딕"/>
        <family val="3"/>
        <charset val="129"/>
      </rPr>
      <t>어떤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패키지</t>
    </r>
    <r>
      <rPr>
        <sz val="9"/>
        <color rgb="FFC00000"/>
        <rFont val="Times New Roman"/>
        <family val="1"/>
      </rPr>
      <t xml:space="preserve">, </t>
    </r>
    <r>
      <rPr>
        <sz val="9"/>
        <color rgb="FFC00000"/>
        <rFont val="나눔고딕"/>
        <family val="3"/>
        <charset val="129"/>
      </rPr>
      <t>어떤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버전인가</t>
    </r>
    <r>
      <rPr>
        <sz val="9"/>
        <color rgb="FFC00000"/>
        <rFont val="Times New Roman"/>
        <family val="1"/>
      </rPr>
      <t>?"</t>
    </r>
    <r>
      <rPr>
        <sz val="9"/>
        <color rgb="FFC00000"/>
        <rFont val="나눔고딕"/>
        <family val="3"/>
        <charset val="129"/>
      </rPr>
      <t>를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명확히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정의하지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않으면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취약점</t>
    </r>
    <r>
      <rPr>
        <sz val="9"/>
        <color rgb="FFC00000"/>
        <rFont val="Times New Roman"/>
        <family val="1"/>
      </rPr>
      <t xml:space="preserve">(CVE) </t>
    </r>
    <r>
      <rPr>
        <sz val="9"/>
        <color rgb="FFC00000"/>
        <rFont val="나눔고딕"/>
        <family val="3"/>
        <charset val="129"/>
      </rPr>
      <t>탐지나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라이선스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관리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시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오차가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발생하므로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이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두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표준을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주로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함께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사용합니다</t>
    </r>
    <r>
      <rPr>
        <sz val="9"/>
        <color rgb="FFC00000"/>
        <rFont val="Times New Roman"/>
        <family val="1"/>
      </rPr>
      <t>.</t>
    </r>
    <phoneticPr fontId="2" type="noConversion"/>
  </si>
  <si>
    <r>
      <t xml:space="preserve">self-modified-OSS </t>
    </r>
    <r>
      <rPr>
        <sz val="10"/>
        <rFont val="나눔고딕"/>
        <family val="3"/>
        <charset val="129"/>
      </rPr>
      <t>패치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참조</t>
    </r>
    <r>
      <rPr>
        <sz val="10"/>
        <rFont val="Times New Roman"/>
        <family val="1"/>
      </rPr>
      <t>(self-modified-OSS</t>
    </r>
    <r>
      <rPr>
        <sz val="10"/>
        <rFont val="나눔고딕"/>
        <family val="3"/>
        <charset val="129"/>
      </rPr>
      <t>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때만</t>
    </r>
    <r>
      <rPr>
        <sz val="10"/>
        <rFont val="Times New Roman"/>
        <family val="1"/>
      </rPr>
      <t xml:space="preserve"> — </t>
    </r>
    <r>
      <rPr>
        <sz val="10"/>
        <rFont val="나눔고딕"/>
        <family val="3"/>
        <charset val="129"/>
      </rPr>
      <t>원본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대비</t>
    </r>
    <r>
      <rPr>
        <sz val="10"/>
        <rFont val="Times New Roman"/>
        <family val="1"/>
      </rPr>
      <t xml:space="preserve"> diff/patch </t>
    </r>
    <r>
      <rPr>
        <sz val="10"/>
        <rFont val="나눔고딕"/>
        <family val="3"/>
        <charset val="129"/>
      </rPr>
      <t>파일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포인터</t>
    </r>
    <r>
      <rPr>
        <sz val="10"/>
        <rFont val="Times New Roman"/>
        <family val="1"/>
      </rPr>
      <t>)</t>
    </r>
    <phoneticPr fontId="2" type="noConversion"/>
  </si>
  <si>
    <r>
      <rPr>
        <sz val="9"/>
        <color theme="1"/>
        <rFont val="나눔고딕"/>
        <family val="3"/>
        <charset val="129"/>
      </rPr>
      <t>유지보수</t>
    </r>
    <r>
      <rPr>
        <sz val="9"/>
        <color theme="1"/>
        <rFont val="Times New Roman"/>
        <family val="1"/>
      </rPr>
      <t>_SAMPLE_</t>
    </r>
    <r>
      <rPr>
        <sz val="9"/>
        <color theme="1"/>
        <rFont val="나눔고딕"/>
        <family val="3"/>
        <charset val="129"/>
      </rPr>
      <t>함수단위</t>
    </r>
  </si>
  <si>
    <r>
      <t>baseline 'BL-260810-01'(</t>
    </r>
    <r>
      <rPr>
        <sz val="9"/>
        <color theme="1"/>
        <rFont val="나눔고딕"/>
        <family val="3"/>
        <charset val="129"/>
      </rPr>
      <t>유지보수</t>
    </r>
    <r>
      <rPr>
        <sz val="9"/>
        <color theme="1"/>
        <rFont val="Times New Roman"/>
        <family val="1"/>
      </rPr>
      <t>_SAMPLE_</t>
    </r>
    <r>
      <rPr>
        <sz val="9"/>
        <color theme="1"/>
        <rFont val="나눔고딕"/>
        <family val="3"/>
        <charset val="129"/>
      </rPr>
      <t>함수단위</t>
    </r>
    <r>
      <rPr>
        <sz val="9"/>
        <color theme="1"/>
        <rFont val="Times New Roman"/>
        <family val="1"/>
      </rPr>
      <t>)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formally_baselined </t>
    </r>
    <r>
      <rPr>
        <sz val="9"/>
        <color theme="1"/>
        <rFont val="나눔고딕"/>
        <family val="3"/>
        <charset val="129"/>
      </rPr>
      <t>상태인데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스냅샷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보관에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기록이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없습니다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</si>
  <si>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나눔고딕"/>
        <family val="3"/>
        <charset val="129"/>
      </rPr>
      <t>유지보수</t>
    </r>
    <r>
      <rPr>
        <sz val="9"/>
        <color theme="1"/>
        <rFont val="Times New Roman"/>
        <family val="1"/>
      </rPr>
      <t>_SAMPLE_</t>
    </r>
    <r>
      <rPr>
        <sz val="9"/>
        <color theme="1"/>
        <rFont val="나눔고딕"/>
        <family val="3"/>
        <charset val="129"/>
      </rPr>
      <t>펌웨어단위</t>
    </r>
  </si>
  <si>
    <r>
      <t>baseline 'BL-260810-01'(</t>
    </r>
    <r>
      <rPr>
        <sz val="9"/>
        <color theme="1"/>
        <rFont val="나눔고딕"/>
        <family val="3"/>
        <charset val="129"/>
      </rPr>
      <t>유지보수</t>
    </r>
    <r>
      <rPr>
        <sz val="9"/>
        <color theme="1"/>
        <rFont val="Times New Roman"/>
        <family val="1"/>
      </rPr>
      <t>_SAMPLE_</t>
    </r>
    <r>
      <rPr>
        <sz val="9"/>
        <color theme="1"/>
        <rFont val="나눔고딕"/>
        <family val="3"/>
        <charset val="129"/>
      </rPr>
      <t>펌웨어단위</t>
    </r>
    <r>
      <rPr>
        <sz val="9"/>
        <color theme="1"/>
        <rFont val="Times New Roman"/>
        <family val="1"/>
      </rPr>
      <t>)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formally_baselined </t>
    </r>
    <r>
      <rPr>
        <sz val="9"/>
        <color theme="1"/>
        <rFont val="나눔고딕"/>
        <family val="3"/>
        <charset val="129"/>
      </rPr>
      <t>상태인데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스냅샷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보관에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기록이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없습니다</t>
    </r>
    <r>
      <rPr>
        <sz val="9"/>
        <color theme="1"/>
        <rFont val="Times New Roman"/>
        <family val="1"/>
      </rPr>
      <t>.</t>
    </r>
  </si>
  <si>
    <r>
      <t>CCB_approval_id='CCB-2026-015'</t>
    </r>
    <r>
      <rPr>
        <sz val="9"/>
        <color theme="1"/>
        <rFont val="나눔고딕"/>
        <family val="3"/>
        <charset val="129"/>
      </rPr>
      <t>인데</t>
    </r>
    <r>
      <rPr>
        <sz val="9"/>
        <color theme="1"/>
        <rFont val="Times New Roman"/>
        <family val="1"/>
      </rPr>
      <t xml:space="preserve"> impact_analysis_ref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비어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있습니다</t>
    </r>
    <r>
      <rPr>
        <sz val="9"/>
        <color theme="1"/>
        <rFont val="Times New Roman"/>
        <family val="1"/>
      </rPr>
      <t>.</t>
    </r>
  </si>
  <si>
    <r>
      <t>CCB_approval_id='CCB-2026-012'</t>
    </r>
    <r>
      <rPr>
        <sz val="9"/>
        <color theme="1"/>
        <rFont val="나눔고딕"/>
        <family val="3"/>
        <charset val="129"/>
      </rPr>
      <t>인데</t>
    </r>
    <r>
      <rPr>
        <sz val="9"/>
        <color theme="1"/>
        <rFont val="Times New Roman"/>
        <family val="1"/>
      </rPr>
      <t xml:space="preserve"> impact_analysis_ref</t>
    </r>
    <r>
      <rPr>
        <sz val="9"/>
        <color theme="1"/>
        <rFont val="나눔고딕"/>
        <family val="3"/>
        <charset val="129"/>
      </rPr>
      <t>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비어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있습니다</t>
    </r>
    <r>
      <rPr>
        <sz val="9"/>
        <color theme="1"/>
        <rFont val="Times New Roman"/>
        <family val="1"/>
      </rPr>
      <t>.</t>
    </r>
  </si>
  <si>
    <r>
      <t xml:space="preserve">open_critical_issue_count </t>
    </r>
    <r>
      <rPr>
        <sz val="9"/>
        <color theme="1"/>
        <rFont val="나눔고딕"/>
        <family val="3"/>
        <charset val="129"/>
      </rPr>
      <t>캐시값</t>
    </r>
    <r>
      <rPr>
        <sz val="9"/>
        <color theme="1"/>
        <rFont val="Times New Roman"/>
        <family val="1"/>
      </rPr>
      <t xml:space="preserve">=0, </t>
    </r>
    <r>
      <rPr>
        <sz val="9"/>
        <color theme="1"/>
        <rFont val="나눔고딕"/>
        <family val="3"/>
        <charset val="129"/>
      </rPr>
      <t>실제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재계산값</t>
    </r>
    <r>
      <rPr>
        <sz val="9"/>
        <color theme="1"/>
        <rFont val="Times New Roman"/>
        <family val="1"/>
      </rPr>
      <t xml:space="preserve">=1 — RefreshOpenCriticalIssueCount </t>
    </r>
    <r>
      <rPr>
        <sz val="9"/>
        <color theme="1"/>
        <rFont val="나눔고딕"/>
        <family val="3"/>
        <charset val="129"/>
      </rPr>
      <t>재실행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필요</t>
    </r>
    <r>
      <rPr>
        <sz val="9"/>
        <color theme="1"/>
        <rFont val="Times New Roman"/>
        <family val="1"/>
      </rPr>
      <t>.</t>
    </r>
  </si>
  <si>
    <r>
      <t xml:space="preserve">open_critical_issue_count </t>
    </r>
    <r>
      <rPr>
        <sz val="9"/>
        <color theme="1"/>
        <rFont val="나눔고딕"/>
        <family val="3"/>
        <charset val="129"/>
      </rPr>
      <t>캐시값</t>
    </r>
    <r>
      <rPr>
        <sz val="9"/>
        <color theme="1"/>
        <rFont val="Times New Roman"/>
        <family val="1"/>
      </rPr>
      <t xml:space="preserve">=1, </t>
    </r>
    <r>
      <rPr>
        <sz val="9"/>
        <color theme="1"/>
        <rFont val="나눔고딕"/>
        <family val="3"/>
        <charset val="129"/>
      </rPr>
      <t>실제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재계산값</t>
    </r>
    <r>
      <rPr>
        <sz val="9"/>
        <color theme="1"/>
        <rFont val="Times New Roman"/>
        <family val="1"/>
      </rPr>
      <t xml:space="preserve">=0 — RefreshOpenCriticalIssueCount </t>
    </r>
    <r>
      <rPr>
        <sz val="9"/>
        <color theme="1"/>
        <rFont val="나눔고딕"/>
        <family val="3"/>
        <charset val="129"/>
      </rPr>
      <t>재실행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필요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</si>
  <si>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나눔고딕"/>
        <family val="3"/>
        <charset val="129"/>
      </rPr>
      <t>베이스라인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계보의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파생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원본이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인스턴스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통합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유지보수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시트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어디에도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실재하지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않음</t>
    </r>
    <r>
      <rPr>
        <sz val="9"/>
        <color theme="1"/>
        <rFont val="Times New Roman"/>
        <family val="1"/>
      </rPr>
      <t xml:space="preserve">(v3.1: </t>
    </r>
    <r>
      <rPr>
        <sz val="9"/>
        <color theme="1"/>
        <rFont val="나눔고딕"/>
        <family val="3"/>
        <charset val="129"/>
      </rPr>
      <t>유지보수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시트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포함으로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확장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</si>
  <si>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나눔고딕"/>
        <family val="3"/>
        <charset val="129"/>
      </rPr>
      <t>유지보수</t>
    </r>
    <r>
      <rPr>
        <sz val="9"/>
        <color theme="1"/>
        <rFont val="Times New Roman"/>
        <family val="1"/>
      </rPr>
      <t>_SAMPLE_</t>
    </r>
    <r>
      <rPr>
        <sz val="9"/>
        <color theme="1"/>
        <rFont val="나눔고딕"/>
        <family val="3"/>
        <charset val="129"/>
      </rPr>
      <t>함수단위</t>
    </r>
    <r>
      <rPr>
        <sz val="9"/>
        <color theme="1"/>
        <rFont val="Times New Roman"/>
        <family val="1"/>
      </rPr>
      <t>/</t>
    </r>
    <r>
      <rPr>
        <sz val="9"/>
        <color theme="1"/>
        <rFont val="나눔고딕"/>
        <family val="3"/>
        <charset val="129"/>
      </rPr>
      <t>펌웨어단위에서</t>
    </r>
    <r>
      <rPr>
        <sz val="9"/>
        <color theme="1"/>
        <rFont val="Times New Roman"/>
        <family val="1"/>
      </rPr>
      <t xml:space="preserve"> formally_baselined</t>
    </r>
    <r>
      <rPr>
        <sz val="9"/>
        <color theme="1"/>
        <rFont val="나눔고딕"/>
        <family val="3"/>
        <charset val="129"/>
      </rPr>
      <t>인데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스냅샷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보관에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기록이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없음</t>
    </r>
    <r>
      <rPr>
        <sz val="9"/>
        <color theme="1"/>
        <rFont val="Times New Roman"/>
        <family val="1"/>
      </rPr>
      <t>(v3.1)</t>
    </r>
  </si>
  <si>
    <r>
      <rPr>
        <sz val="11"/>
        <color theme="1"/>
        <rFont val="나눔고딕"/>
        <family val="3"/>
        <charset val="129"/>
      </rPr>
      <t>유지보수</t>
    </r>
    <r>
      <rPr>
        <sz val="11"/>
        <color theme="1"/>
        <rFont val="Times New Roman"/>
        <family val="1"/>
      </rPr>
      <t>_SAMPLE_</t>
    </r>
    <r>
      <rPr>
        <sz val="11"/>
        <color theme="1"/>
        <rFont val="나눔고딕"/>
        <family val="3"/>
        <charset val="129"/>
      </rPr>
      <t>함수단위</t>
    </r>
  </si>
  <si>
    <r>
      <rPr>
        <sz val="11"/>
        <color theme="1"/>
        <rFont val="나눔고딕"/>
        <family val="3"/>
        <charset val="129"/>
      </rPr>
      <t>유지보수</t>
    </r>
    <r>
      <rPr>
        <sz val="11"/>
        <color theme="1"/>
        <rFont val="Times New Roman"/>
        <family val="1"/>
      </rPr>
      <t>_SAMPLE_</t>
    </r>
    <r>
      <rPr>
        <sz val="11"/>
        <color theme="1"/>
        <rFont val="나눔고딕"/>
        <family val="3"/>
        <charset val="129"/>
      </rPr>
      <t>펌웨어단위</t>
    </r>
  </si>
  <si>
    <r>
      <t>(</t>
    </r>
    <r>
      <rPr>
        <sz val="10"/>
        <color theme="1"/>
        <rFont val="나눔고딕"/>
        <family val="3"/>
        <charset val="129"/>
      </rPr>
      <t>심사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자동기록된</t>
    </r>
    <r>
      <rPr>
        <sz val="10"/>
        <color theme="1"/>
        <rFont val="Times New Roman"/>
        <family val="1"/>
      </rPr>
      <t xml:space="preserve"> SUP10_</t>
    </r>
    <r>
      <rPr>
        <sz val="10"/>
        <color theme="1"/>
        <rFont val="나눔고딕"/>
        <family val="3"/>
        <charset val="129"/>
      </rPr>
      <t>재발결함</t>
    </r>
  </si>
  <si>
    <r>
      <t>(</t>
    </r>
    <r>
      <rPr>
        <sz val="10"/>
        <color theme="1"/>
        <rFont val="나눔고딕"/>
        <family val="3"/>
        <charset val="129"/>
      </rPr>
      <t>심사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자동기록된</t>
    </r>
    <r>
      <rPr>
        <sz val="10"/>
        <color theme="1"/>
        <rFont val="Times New Roman"/>
        <family val="1"/>
      </rPr>
      <t xml:space="preserve"> SUP2_QA</t>
    </r>
    <r>
      <rPr>
        <sz val="10"/>
        <color theme="1"/>
        <rFont val="나눔고딕"/>
        <family val="3"/>
        <charset val="129"/>
      </rPr>
      <t>체크리스트</t>
    </r>
  </si>
  <si>
    <r>
      <t>(</t>
    </r>
    <r>
      <rPr>
        <sz val="10"/>
        <color theme="1"/>
        <rFont val="나눔고딕"/>
        <family val="3"/>
        <charset val="129"/>
      </rPr>
      <t>심사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자동기록된</t>
    </r>
    <r>
      <rPr>
        <sz val="10"/>
        <color theme="1"/>
        <rFont val="Times New Roman"/>
        <family val="1"/>
      </rPr>
      <t xml:space="preserve"> MAN4_</t>
    </r>
    <r>
      <rPr>
        <sz val="10"/>
        <color theme="1"/>
        <rFont val="나눔고딕"/>
        <family val="3"/>
        <charset val="129"/>
      </rPr>
      <t>마일스톤리스크로그</t>
    </r>
  </si>
  <si>
    <r>
      <t>(</t>
    </r>
    <r>
      <rPr>
        <sz val="10"/>
        <color theme="1"/>
        <rFont val="나눔고딕"/>
        <family val="3"/>
        <charset val="129"/>
      </rPr>
      <t>심사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자동기록된</t>
    </r>
    <r>
      <rPr>
        <sz val="10"/>
        <color theme="1"/>
        <rFont val="Times New Roman"/>
        <family val="1"/>
      </rPr>
      <t xml:space="preserve"> MAN6_</t>
    </r>
    <r>
      <rPr>
        <sz val="10"/>
        <color theme="1"/>
        <rFont val="나눔고딕"/>
        <family val="3"/>
        <charset val="129"/>
      </rPr>
      <t>리스크레지스터</t>
    </r>
  </si>
  <si>
    <r>
      <t>(</t>
    </r>
    <r>
      <rPr>
        <sz val="10"/>
        <color theme="1"/>
        <rFont val="나눔고딕"/>
        <family val="3"/>
        <charset val="129"/>
      </rPr>
      <t>심사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자동기록된</t>
    </r>
    <r>
      <rPr>
        <sz val="10"/>
        <color theme="1"/>
        <rFont val="Times New Roman"/>
        <family val="1"/>
      </rPr>
      <t xml:space="preserve"> REU3_</t>
    </r>
    <r>
      <rPr>
        <sz val="10"/>
        <color theme="1"/>
        <rFont val="나눔고딕"/>
        <family val="3"/>
        <charset val="129"/>
      </rPr>
      <t>재사용심사이력</t>
    </r>
  </si>
  <si>
    <r>
      <t>(</t>
    </r>
    <r>
      <rPr>
        <sz val="10"/>
        <color theme="1"/>
        <rFont val="나눔고딕"/>
        <family val="3"/>
        <charset val="129"/>
      </rPr>
      <t>심사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자동기록된</t>
    </r>
    <r>
      <rPr>
        <sz val="10"/>
        <color theme="1"/>
        <rFont val="Times New Roman"/>
        <family val="1"/>
      </rPr>
      <t xml:space="preserve"> SWE_</t>
    </r>
    <r>
      <rPr>
        <sz val="10"/>
        <color theme="1"/>
        <rFont val="나눔고딕"/>
        <family val="3"/>
        <charset val="129"/>
      </rPr>
      <t>검증현황</t>
    </r>
  </si>
  <si>
    <r>
      <t>(</t>
    </r>
    <r>
      <rPr>
        <sz val="10"/>
        <color theme="1"/>
        <rFont val="나눔고딕"/>
        <family val="3"/>
        <charset val="129"/>
      </rPr>
      <t>심사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자동기록된</t>
    </r>
    <r>
      <rPr>
        <sz val="10"/>
        <color theme="1"/>
        <rFont val="Times New Roman"/>
        <family val="1"/>
      </rPr>
      <t xml:space="preserve">  </t>
    </r>
    <r>
      <rPr>
        <sz val="10"/>
        <color theme="1"/>
        <rFont val="나눔고딕"/>
        <family val="3"/>
        <charset val="129"/>
      </rPr>
      <t>변경관리</t>
    </r>
    <r>
      <rPr>
        <sz val="10"/>
        <color theme="1"/>
        <rFont val="Times New Roman"/>
        <family val="1"/>
      </rPr>
      <t>_</t>
    </r>
    <r>
      <rPr>
        <sz val="10"/>
        <color theme="1"/>
        <rFont val="나눔고딕"/>
        <family val="3"/>
        <charset val="129"/>
      </rPr>
      <t>매트릭스</t>
    </r>
  </si>
  <si>
    <t>• Architecture Security Review Report
• Attack Surface Analysis Report</t>
    <phoneticPr fontId="2" type="noConversion"/>
  </si>
  <si>
    <t>• Hardware-Software Interface (HSI) Security Specification
• Security Interface Control Document (ICD)</t>
    <phoneticPr fontId="2" type="noConversion"/>
  </si>
  <si>
    <t>• Cybersecurity Requirements Traceability Matrix (RTM)
• Change Impact Analysis Report Template</t>
    <phoneticPr fontId="2" type="noConversion"/>
  </si>
  <si>
    <t>• Technical Cybersecurity Concept (TCC) Document
• System/SW Cybersecurity Architecture Design Specification</t>
    <phoneticPr fontId="2" type="noConversion"/>
  </si>
  <si>
    <t>• Technical Cybersecurity Requirements (TSR) Specification
• Requirements Feasibility &amp; Gap Analysis Report</t>
    <phoneticPr fontId="2" type="noConversion"/>
  </si>
  <si>
    <t>• Component Asset &amp; Attack Surface Identification Matrix
• Asset CIA Mapping Table</t>
    <phoneticPr fontId="2" type="noConversion"/>
  </si>
  <si>
    <t>• Data Flow Diagram (DFD) for Component
• Component STRIDE Analysis Report</t>
    <phoneticPr fontId="2" type="noConversion"/>
  </si>
  <si>
    <t>• Component Attack Tree Analysis Document
• Attack Feasibility Assessment Report</t>
    <phoneticPr fontId="2" type="noConversion"/>
  </si>
  <si>
    <t>• Threat Mitigation &amp; Countermeasure Mapping Table
• Residual Risk Assessment Report</t>
    <phoneticPr fontId="2" type="noConversion"/>
  </si>
  <si>
    <t>• Component-level Micro-TARA Final Report
• OEM Security Alignment &amp; Residual Risk Sign-off Sheet</t>
    <phoneticPr fontId="2" type="noConversion"/>
  </si>
  <si>
    <t>• SAST/DAST Security Analysis Report
• MISRA C/CERT C Compliance Matrix</t>
    <phoneticPr fontId="2" type="noConversion"/>
  </si>
  <si>
    <t>• Known Vulnerability Scanning Report
• CVE Impact &amp; Mitigation Analysis Sheet</t>
    <phoneticPr fontId="2" type="noConversion"/>
  </si>
  <si>
    <t>• Protocol &amp; Interface Fuzz Testing Report
• Crash Logs &amp; Anomaly Analysis Document</t>
    <phoneticPr fontId="2" type="noConversion"/>
  </si>
  <si>
    <t>• Component Penetration Testing Report
• Security Vulnerability Remediation Plan</t>
    <phoneticPr fontId="2" type="noConversion"/>
  </si>
  <si>
    <t>• Cybersecurity Verification &amp; Validation (V&amp;V) Report
• Security Requirement Verification Matrix (RVM)</t>
    <phoneticPr fontId="2" type="noConversion"/>
  </si>
  <si>
    <t>• Component Software Bill of Materials (SBOM)
• Software Inventory &amp; Dependency List</t>
    <phoneticPr fontId="2" type="noConversion"/>
  </si>
  <si>
    <t>• Continuous Vulnerability Monitoring Report
• Vulnerability Impact Analysis Sheet</t>
    <phoneticPr fontId="2" type="noConversion"/>
  </si>
  <si>
    <t>• PSIRT Incident Response Plan &amp; Procedure
• Cybersecurity Incident Handling Report</t>
    <phoneticPr fontId="2" type="noConversion"/>
  </si>
  <si>
    <t>• Security Patch Package &amp; Release Notes
• Patch Verification &amp; Regression Test Report</t>
    <phoneticPr fontId="2" type="noConversion"/>
  </si>
  <si>
    <t>• Post-SOP Cybersecurity Assessment Report
• Updated Micro-TARA &amp; TSR Specification</t>
    <phoneticPr fontId="2" type="noConversion"/>
  </si>
  <si>
    <r>
      <t xml:space="preserve">ISO/SAE 21434 </t>
    </r>
    <r>
      <rPr>
        <sz val="10"/>
        <color theme="1"/>
        <rFont val="나눔고딕"/>
        <family val="3"/>
        <charset val="129"/>
      </rPr>
      <t>절차</t>
    </r>
  </si>
  <si>
    <r>
      <t xml:space="preserve">OEM </t>
    </r>
    <r>
      <rPr>
        <sz val="10"/>
        <color theme="1"/>
        <rFont val="나눔고딕"/>
        <family val="3"/>
        <charset val="129"/>
      </rPr>
      <t>역할</t>
    </r>
    <r>
      <rPr>
        <sz val="10"/>
        <color theme="1"/>
        <rFont val="Times New Roman"/>
        <family val="1"/>
      </rPr>
      <t xml:space="preserve"> (TARA </t>
    </r>
    <r>
      <rPr>
        <sz val="10"/>
        <color theme="1"/>
        <rFont val="나눔고딕"/>
        <family val="3"/>
        <charset val="129"/>
      </rPr>
      <t>내재화</t>
    </r>
    <r>
      <rPr>
        <sz val="10"/>
        <color theme="1"/>
        <rFont val="Times New Roman"/>
        <family val="1"/>
      </rPr>
      <t>)</t>
    </r>
  </si>
  <si>
    <r>
      <t xml:space="preserve">Tier 1 </t>
    </r>
    <r>
      <rPr>
        <sz val="10"/>
        <color theme="1"/>
        <rFont val="나눔고딕"/>
        <family val="3"/>
        <charset val="129"/>
      </rPr>
      <t>역할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변화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기존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변경</t>
    </r>
    <r>
      <rPr>
        <sz val="10"/>
        <color theme="1"/>
        <rFont val="Times New Roman"/>
        <family val="1"/>
      </rPr>
      <t>)</t>
    </r>
  </si>
  <si>
    <r>
      <t xml:space="preserve">Tier 1 </t>
    </r>
    <r>
      <rPr>
        <sz val="10"/>
        <color theme="1"/>
        <rFont val="나눔고딕"/>
        <family val="3"/>
        <charset val="129"/>
      </rPr>
      <t>핵심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집중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분야</t>
    </r>
  </si>
  <si>
    <r>
      <t>Clause 6</t>
    </r>
    <r>
      <rPr>
        <sz val="10"/>
        <color theme="1"/>
        <rFont val="나눔고딕"/>
        <family val="3"/>
        <charset val="129"/>
      </rPr>
      <t>분산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사이버보안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활동</t>
    </r>
  </si>
  <si>
    <r>
      <t>CIA(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인터페이스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계약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정의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요구사항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하향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전달</t>
    </r>
  </si>
  <si>
    <r>
      <rPr>
        <sz val="10"/>
        <color theme="1"/>
        <rFont val="나눔고딕"/>
        <family val="3"/>
        <charset val="129"/>
      </rPr>
      <t>수동적</t>
    </r>
    <r>
      <rPr>
        <sz val="10"/>
        <color theme="1"/>
        <rFont val="Times New Roman"/>
        <family val="1"/>
      </rPr>
      <t xml:space="preserve"> CIA </t>
    </r>
    <r>
      <rPr>
        <sz val="10"/>
        <color theme="1"/>
        <rFont val="나눔고딕"/>
        <family val="3"/>
        <charset val="129"/>
      </rPr>
      <t>서명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책임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경계</t>
    </r>
    <r>
      <rPr>
        <sz val="10"/>
        <color theme="1"/>
        <rFont val="Times New Roman"/>
        <family val="1"/>
      </rPr>
      <t xml:space="preserve">(Responsibility Matrix) </t>
    </r>
    <r>
      <rPr>
        <sz val="10"/>
        <color theme="1"/>
        <rFont val="나눔고딕"/>
        <family val="3"/>
        <charset val="129"/>
      </rPr>
      <t>명확화</t>
    </r>
  </si>
  <si>
    <r>
      <rPr>
        <sz val="10"/>
        <color theme="1"/>
        <rFont val="나눔고딕"/>
        <family val="3"/>
        <charset val="129"/>
      </rPr>
      <t>컴포넌트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한계</t>
    </r>
    <r>
      <rPr>
        <sz val="10"/>
        <color theme="1"/>
        <rFont val="Times New Roman"/>
        <family val="1"/>
      </rPr>
      <t xml:space="preserve">(Constraint) </t>
    </r>
    <r>
      <rPr>
        <sz val="10"/>
        <color theme="1"/>
        <rFont val="나눔고딕"/>
        <family val="3"/>
        <charset val="129"/>
      </rPr>
      <t>정의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OEM </t>
    </r>
    <r>
      <rPr>
        <sz val="10"/>
        <color theme="1"/>
        <rFont val="나눔고딕"/>
        <family val="3"/>
        <charset val="129"/>
      </rPr>
      <t>요구사항의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검토</t>
    </r>
  </si>
  <si>
    <r>
      <t>Clause 9</t>
    </r>
    <r>
      <rPr>
        <sz val="10"/>
        <color theme="1"/>
        <rFont val="나눔고딕"/>
        <family val="3"/>
        <charset val="129"/>
      </rPr>
      <t>컨셉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단계</t>
    </r>
  </si>
  <si>
    <r>
      <rPr>
        <sz val="10"/>
        <color theme="1"/>
        <rFont val="나눔고딕"/>
        <family val="3"/>
        <charset val="129"/>
      </rPr>
      <t>차량</t>
    </r>
    <r>
      <rPr>
        <sz val="10"/>
        <color theme="1"/>
        <rFont val="Times New Roman"/>
        <family val="1"/>
      </rPr>
      <t xml:space="preserve"> TARA, CSG(</t>
    </r>
    <r>
      <rPr>
        <sz val="10"/>
        <color theme="1"/>
        <rFont val="나눔고딕"/>
        <family val="3"/>
        <charset val="129"/>
      </rPr>
      <t>보안목표</t>
    </r>
    <r>
      <rPr>
        <sz val="10"/>
        <color theme="1"/>
        <rFont val="Times New Roman"/>
        <family val="1"/>
      </rPr>
      <t>), CSC(</t>
    </r>
    <r>
      <rPr>
        <sz val="10"/>
        <color theme="1"/>
        <rFont val="나눔고딕"/>
        <family val="3"/>
        <charset val="129"/>
      </rPr>
      <t>보안컨셉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수립</t>
    </r>
  </si>
  <si>
    <r>
      <rPr>
        <sz val="10"/>
        <color theme="1"/>
        <rFont val="나눔고딕"/>
        <family val="3"/>
        <charset val="129"/>
      </rPr>
      <t>차량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</t>
    </r>
    <r>
      <rPr>
        <sz val="10"/>
        <color theme="1"/>
        <rFont val="Times New Roman"/>
        <family val="1"/>
      </rPr>
      <t xml:space="preserve"> TARA </t>
    </r>
    <r>
      <rPr>
        <sz val="10"/>
        <color theme="1"/>
        <rFont val="나눔고딕"/>
        <family val="3"/>
        <charset val="129"/>
      </rPr>
      <t>수행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 xml:space="preserve"> TSR(</t>
    </r>
    <r>
      <rPr>
        <sz val="10"/>
        <color theme="1"/>
        <rFont val="나눔고딕"/>
        <family val="3"/>
        <charset val="129"/>
      </rPr>
      <t>기술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요구사항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분해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설계</t>
    </r>
  </si>
  <si>
    <r>
      <t xml:space="preserve">OEM </t>
    </r>
    <r>
      <rPr>
        <sz val="10"/>
        <color theme="1"/>
        <rFont val="나눔고딕"/>
        <family val="3"/>
        <charset val="129"/>
      </rPr>
      <t>요구사항의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추적성</t>
    </r>
    <r>
      <rPr>
        <sz val="10"/>
        <color theme="1"/>
        <rFont val="Times New Roman"/>
        <family val="1"/>
      </rPr>
      <t xml:space="preserve">(Traceability) </t>
    </r>
    <r>
      <rPr>
        <sz val="10"/>
        <color theme="1"/>
        <rFont val="나눔고딕"/>
        <family val="3"/>
        <charset val="129"/>
      </rPr>
      <t>확보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아키텍처</t>
    </r>
    <r>
      <rPr>
        <sz val="10"/>
        <color theme="1"/>
        <rFont val="Times New Roman"/>
        <family val="1"/>
      </rPr>
      <t xml:space="preserve">(TCC) </t>
    </r>
    <r>
      <rPr>
        <sz val="10"/>
        <color theme="1"/>
        <rFont val="나눔고딕"/>
        <family val="3"/>
        <charset val="129"/>
      </rPr>
      <t>설계</t>
    </r>
  </si>
  <si>
    <r>
      <t>Clause 10</t>
    </r>
    <r>
      <rPr>
        <sz val="10"/>
        <color theme="1"/>
        <rFont val="나눔고딕"/>
        <family val="3"/>
        <charset val="129"/>
      </rPr>
      <t>제품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개발</t>
    </r>
    <r>
      <rPr>
        <sz val="10"/>
        <color theme="1"/>
        <rFont val="Times New Roman"/>
        <family val="1"/>
      </rPr>
      <t xml:space="preserve"> (HW/SW)</t>
    </r>
  </si>
  <si>
    <r>
      <rPr>
        <sz val="10"/>
        <color theme="1"/>
        <rFont val="나눔고딕"/>
        <family val="3"/>
        <charset val="129"/>
      </rPr>
      <t>시스템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설계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승인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통합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검토</t>
    </r>
  </si>
  <si>
    <r>
      <rPr>
        <sz val="10"/>
        <color theme="1"/>
        <rFont val="나눔고딕"/>
        <family val="3"/>
        <charset val="129"/>
      </rPr>
      <t>단순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컴포넌트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</t>
    </r>
    <r>
      <rPr>
        <sz val="10"/>
        <color theme="1"/>
        <rFont val="Times New Roman"/>
        <family val="1"/>
      </rPr>
      <t xml:space="preserve"> Micro </t>
    </r>
    <r>
      <rPr>
        <sz val="10"/>
        <color theme="1"/>
        <rFont val="나눔고딕"/>
        <family val="3"/>
        <charset val="129"/>
      </rPr>
      <t>위협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모델링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하드닝</t>
    </r>
  </si>
  <si>
    <r>
      <t xml:space="preserve">HSM/SecOC/Secure Boot </t>
    </r>
    <r>
      <rPr>
        <sz val="10"/>
        <color theme="1"/>
        <rFont val="나눔고딕"/>
        <family val="3"/>
        <charset val="129"/>
      </rPr>
      <t>구현</t>
    </r>
    <r>
      <rPr>
        <sz val="10"/>
        <color theme="1"/>
        <rFont val="Times New Roman"/>
        <family val="1"/>
      </rPr>
      <t xml:space="preserve">, STRIDE </t>
    </r>
    <r>
      <rPr>
        <sz val="10"/>
        <color theme="1"/>
        <rFont val="나눔고딕"/>
        <family val="3"/>
        <charset val="129"/>
      </rPr>
      <t>기반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세부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아키텍처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분석</t>
    </r>
  </si>
  <si>
    <r>
      <t>Clause 11</t>
    </r>
    <r>
      <rPr>
        <sz val="10"/>
        <color theme="1"/>
        <rFont val="나눔고딕"/>
        <family val="3"/>
        <charset val="129"/>
      </rPr>
      <t>사이버보안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검증</t>
    </r>
  </si>
  <si>
    <r>
      <rPr>
        <sz val="10"/>
        <color theme="1"/>
        <rFont val="나눔고딕"/>
        <family val="3"/>
        <charset val="129"/>
      </rPr>
      <t>차량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시스템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최종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타당성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검증</t>
    </r>
  </si>
  <si>
    <r>
      <rPr>
        <sz val="10"/>
        <color theme="1"/>
        <rFont val="나눔고딕"/>
        <family val="3"/>
        <charset val="129"/>
      </rPr>
      <t>시스템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테스트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 xml:space="preserve"> ECU/</t>
    </r>
    <r>
      <rPr>
        <sz val="10"/>
        <color theme="1"/>
        <rFont val="나눔고딕"/>
        <family val="3"/>
        <charset val="129"/>
      </rPr>
      <t>컴포넌트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침투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Fuzzing</t>
    </r>
  </si>
  <si>
    <r>
      <t xml:space="preserve">SAST/DAST, </t>
    </r>
    <r>
      <rPr>
        <sz val="10"/>
        <color theme="1"/>
        <rFont val="나눔고딕"/>
        <family val="3"/>
        <charset val="129"/>
      </rPr>
      <t>취약점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스캐닝</t>
    </r>
    <r>
      <rPr>
        <sz val="10"/>
        <color theme="1"/>
        <rFont val="Times New Roman"/>
        <family val="1"/>
      </rPr>
      <t xml:space="preserve">, Fuzz Testing, </t>
    </r>
    <r>
      <rPr>
        <sz val="10"/>
        <color theme="1"/>
        <rFont val="나눔고딕"/>
        <family val="3"/>
        <charset val="129"/>
      </rPr>
      <t>인터페이스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모의침투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테스트</t>
    </r>
    <r>
      <rPr>
        <sz val="10"/>
        <color theme="1"/>
        <rFont val="Times New Roman"/>
        <family val="1"/>
      </rPr>
      <t>(Pen-Test)</t>
    </r>
  </si>
  <si>
    <r>
      <t>Clause 8 &amp; 12</t>
    </r>
    <r>
      <rPr>
        <sz val="10"/>
        <color theme="1"/>
        <rFont val="나눔고딕"/>
        <family val="3"/>
        <charset val="129"/>
      </rPr>
      <t>지속적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활동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운영</t>
    </r>
  </si>
  <si>
    <r>
      <rPr>
        <sz val="10"/>
        <color theme="1"/>
        <rFont val="나눔고딕"/>
        <family val="3"/>
        <charset val="129"/>
      </rPr>
      <t>차량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모니터링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Incident Response</t>
    </r>
  </si>
  <si>
    <r>
      <rPr>
        <sz val="10"/>
        <color theme="1"/>
        <rFont val="나눔고딕"/>
        <family val="3"/>
        <charset val="129"/>
      </rPr>
      <t>이슈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발생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수동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→</t>
    </r>
    <r>
      <rPr>
        <sz val="10"/>
        <color theme="1"/>
        <rFont val="Times New Roman"/>
        <family val="1"/>
      </rPr>
      <t xml:space="preserve"> SBOM </t>
    </r>
    <r>
      <rPr>
        <sz val="10"/>
        <color theme="1"/>
        <rFont val="나눔고딕"/>
        <family val="3"/>
        <charset val="129"/>
      </rPr>
      <t>관리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컴포넌트</t>
    </r>
    <r>
      <rPr>
        <sz val="10"/>
        <color theme="1"/>
        <rFont val="Times New Roman"/>
        <family val="1"/>
      </rPr>
      <t xml:space="preserve"> PSIRT </t>
    </r>
    <r>
      <rPr>
        <sz val="10"/>
        <color theme="1"/>
        <rFont val="나눔고딕"/>
        <family val="3"/>
        <charset val="129"/>
      </rPr>
      <t>대응</t>
    </r>
  </si>
  <si>
    <r>
      <rPr>
        <sz val="10"/>
        <color theme="1"/>
        <rFont val="나눔고딕"/>
        <family val="3"/>
        <charset val="129"/>
      </rPr>
      <t>서드파티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라이브러리</t>
    </r>
    <r>
      <rPr>
        <sz val="10"/>
        <color theme="1"/>
        <rFont val="Times New Roman"/>
        <family val="1"/>
      </rPr>
      <t xml:space="preserve">(AUTOSAR, OS) CVE </t>
    </r>
    <r>
      <rPr>
        <sz val="10"/>
        <color theme="1"/>
        <rFont val="나눔고딕"/>
        <family val="3"/>
        <charset val="129"/>
      </rPr>
      <t>모니터링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패치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수명주기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관리</t>
    </r>
  </si>
  <si>
    <r>
      <t>TARA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이관은</t>
    </r>
    <r>
      <rPr>
        <sz val="10"/>
        <color theme="1"/>
        <rFont val="Times New Roman"/>
        <family val="1"/>
      </rPr>
      <t xml:space="preserve"> Tier 1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사이버보안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부담이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줄어드는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것이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아니라</t>
    </r>
    <r>
      <rPr>
        <sz val="10"/>
        <color theme="1"/>
        <rFont val="Times New Roman"/>
        <family val="1"/>
      </rPr>
      <t>, '</t>
    </r>
    <r>
      <rPr>
        <sz val="10"/>
        <color theme="1"/>
        <rFont val="나눔고딕"/>
        <family val="3"/>
        <charset val="129"/>
      </rPr>
      <t>상위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분석</t>
    </r>
    <r>
      <rPr>
        <sz val="10"/>
        <color theme="1"/>
        <rFont val="Times New Roman"/>
        <family val="1"/>
      </rPr>
      <t>'</t>
    </r>
    <r>
      <rPr>
        <sz val="10"/>
        <color theme="1"/>
        <rFont val="나눔고딕"/>
        <family val="3"/>
        <charset val="129"/>
      </rPr>
      <t>에서</t>
    </r>
    <r>
      <rPr>
        <sz val="10"/>
        <color theme="1"/>
        <rFont val="Times New Roman"/>
        <family val="1"/>
      </rPr>
      <t xml:space="preserve"> '</t>
    </r>
    <r>
      <rPr>
        <sz val="10"/>
        <color theme="1"/>
        <rFont val="나눔고딕"/>
        <family val="3"/>
        <charset val="129"/>
      </rPr>
      <t>하위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입증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품질</t>
    </r>
    <r>
      <rPr>
        <sz val="10"/>
        <color theme="1"/>
        <rFont val="Times New Roman"/>
        <family val="1"/>
      </rPr>
      <t>'</t>
    </r>
    <r>
      <rPr>
        <sz val="10"/>
        <color theme="1"/>
        <rFont val="나눔고딕"/>
        <family val="3"/>
        <charset val="129"/>
      </rPr>
      <t>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사이버보안의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무게중심이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이동함을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의미합니다</t>
    </r>
    <r>
      <rPr>
        <sz val="10"/>
        <color theme="1"/>
        <rFont val="Times New Roman"/>
        <family val="1"/>
      </rPr>
      <t>.</t>
    </r>
  </si>
  <si>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단계의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핵심은</t>
    </r>
    <r>
      <rPr>
        <sz val="10"/>
        <color theme="1"/>
        <rFont val="Times New Roman"/>
        <family val="1"/>
      </rPr>
      <t xml:space="preserve"> "OEM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정의한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상위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개념</t>
    </r>
    <r>
      <rPr>
        <sz val="10"/>
        <color theme="1"/>
        <rFont val="Times New Roman"/>
        <family val="1"/>
      </rPr>
      <t>(CSG/CSC)</t>
    </r>
    <r>
      <rPr>
        <sz val="10"/>
        <color theme="1"/>
        <rFont val="나눔고딕"/>
        <family val="3"/>
        <charset val="129"/>
      </rPr>
      <t>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완벽히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이해하고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이를</t>
    </r>
    <r>
      <rPr>
        <sz val="10"/>
        <color theme="1"/>
        <rFont val="Times New Roman"/>
        <family val="1"/>
      </rPr>
      <t xml:space="preserve"> ECU </t>
    </r>
    <r>
      <rPr>
        <sz val="10"/>
        <color theme="1"/>
        <rFont val="나눔고딕"/>
        <family val="3"/>
        <charset val="129"/>
      </rPr>
      <t>하드웨어</t>
    </r>
    <r>
      <rPr>
        <sz val="10"/>
        <color theme="1"/>
        <rFont val="Times New Roman"/>
        <family val="1"/>
      </rPr>
      <t>(HW)</t>
    </r>
    <r>
      <rPr>
        <sz val="10"/>
        <color theme="1"/>
        <rFont val="나눔고딕"/>
        <family val="3"/>
        <charset val="129"/>
      </rPr>
      <t>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소프트웨어</t>
    </r>
    <r>
      <rPr>
        <sz val="10"/>
        <color theme="1"/>
        <rFont val="Times New Roman"/>
        <family val="1"/>
      </rPr>
      <t xml:space="preserve">(SW) </t>
    </r>
    <r>
      <rPr>
        <sz val="10"/>
        <color theme="1"/>
        <rFont val="나눔고딕"/>
        <family val="3"/>
        <charset val="129"/>
      </rPr>
      <t>수준에서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요구사항</t>
    </r>
    <r>
      <rPr>
        <sz val="10"/>
        <color theme="1"/>
        <rFont val="Times New Roman"/>
        <family val="1"/>
      </rPr>
      <t xml:space="preserve">(TSR)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아키텍처로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정밀하게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변환</t>
    </r>
    <r>
      <rPr>
        <sz val="10"/>
        <color theme="1"/>
        <rFont val="Times New Roman"/>
        <family val="1"/>
      </rPr>
      <t>·</t>
    </r>
    <r>
      <rPr>
        <sz val="10"/>
        <color theme="1"/>
        <rFont val="나눔고딕"/>
        <family val="3"/>
        <charset val="129"/>
      </rPr>
      <t>입증하는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것</t>
    </r>
    <r>
      <rPr>
        <sz val="10"/>
        <color theme="1"/>
        <rFont val="Times New Roman"/>
        <family val="1"/>
      </rPr>
      <t>"</t>
    </r>
    <r>
      <rPr>
        <sz val="10"/>
        <color theme="1"/>
        <rFont val="나눔고딕"/>
        <family val="3"/>
        <charset val="129"/>
      </rPr>
      <t>입니다</t>
    </r>
    <r>
      <rPr>
        <sz val="10"/>
        <color theme="1"/>
        <rFont val="Times New Roman"/>
        <family val="1"/>
      </rPr>
      <t>.</t>
    </r>
  </si>
  <si>
    <r>
      <rPr>
        <sz val="10"/>
        <color rgb="FF1F1F1F"/>
        <rFont val="나눔고딕"/>
        <family val="3"/>
        <charset val="129"/>
      </rPr>
      <t>세분화된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업무</t>
    </r>
    <r>
      <rPr>
        <sz val="10"/>
        <color rgb="FF1F1F1F"/>
        <rFont val="Times New Roman"/>
        <family val="1"/>
      </rPr>
      <t xml:space="preserve"> (Task)</t>
    </r>
  </si>
  <si>
    <r>
      <rPr>
        <sz val="10"/>
        <color rgb="FF1F1F1F"/>
        <rFont val="나눔고딕"/>
        <family val="3"/>
        <charset val="129"/>
      </rPr>
      <t>목적</t>
    </r>
    <r>
      <rPr>
        <sz val="10"/>
        <color rgb="FF1F1F1F"/>
        <rFont val="Times New Roman"/>
        <family val="1"/>
      </rPr>
      <t xml:space="preserve"> (Purpose)</t>
    </r>
  </si>
  <si>
    <r>
      <rPr>
        <sz val="10"/>
        <color rgb="FF1F1F1F"/>
        <rFont val="나눔고딕"/>
        <family val="3"/>
        <charset val="129"/>
      </rPr>
      <t>목표</t>
    </r>
    <r>
      <rPr>
        <sz val="10"/>
        <color rgb="FF1F1F1F"/>
        <rFont val="Times New Roman"/>
        <family val="1"/>
      </rPr>
      <t xml:space="preserve"> (Goal)</t>
    </r>
  </si>
  <si>
    <r>
      <rPr>
        <sz val="10"/>
        <color rgb="FF1F1F1F"/>
        <rFont val="나눔고딕"/>
        <family val="3"/>
        <charset val="129"/>
      </rPr>
      <t>수행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내용</t>
    </r>
    <r>
      <rPr>
        <sz val="10"/>
        <color rgb="FF1F1F1F"/>
        <rFont val="Times New Roman"/>
        <family val="1"/>
      </rPr>
      <t xml:space="preserve"> (Execution Details)</t>
    </r>
  </si>
  <si>
    <r>
      <rPr>
        <sz val="10"/>
        <color rgb="FF1F1F1F"/>
        <rFont val="나눔고딕"/>
        <family val="3"/>
        <charset val="129"/>
      </rPr>
      <t>예상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산출물</t>
    </r>
    <r>
      <rPr>
        <sz val="10"/>
        <color rgb="FF1F1F1F"/>
        <rFont val="Times New Roman"/>
        <family val="1"/>
      </rPr>
      <t xml:space="preserve"> (Work Products)</t>
    </r>
  </si>
  <si>
    <r>
      <t xml:space="preserve">1.1. OEM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요구사항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분석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TSR </t>
    </r>
    <r>
      <rPr>
        <sz val="10"/>
        <color rgb="FF1F1F1F"/>
        <rFont val="나눔고딕"/>
        <family val="3"/>
        <charset val="129"/>
      </rPr>
      <t>도출</t>
    </r>
  </si>
  <si>
    <r>
      <t>OEM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상위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목표</t>
    </r>
    <r>
      <rPr>
        <sz val="10"/>
        <color rgb="FF1F1F1F"/>
        <rFont val="Times New Roman"/>
        <family val="1"/>
      </rPr>
      <t>(CSG/CSC)</t>
    </r>
    <r>
      <rPr>
        <sz val="10"/>
        <color rgb="FF1F1F1F"/>
        <rFont val="나눔고딕"/>
        <family val="3"/>
        <charset val="129"/>
      </rPr>
      <t>를</t>
    </r>
    <r>
      <rPr>
        <sz val="10"/>
        <color rgb="FF1F1F1F"/>
        <rFont val="Times New Roman"/>
        <family val="1"/>
      </rPr>
      <t xml:space="preserve"> ECU/</t>
    </r>
    <r>
      <rPr>
        <sz val="10"/>
        <color rgb="FF1F1F1F"/>
        <rFont val="나눔고딕"/>
        <family val="3"/>
        <charset val="129"/>
      </rPr>
      <t>컴포넌트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수준에서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가능한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요구사항</t>
    </r>
    <r>
      <rPr>
        <sz val="10"/>
        <color rgb="FF1F1F1F"/>
        <rFont val="Times New Roman"/>
        <family val="1"/>
      </rPr>
      <t>(TSR)</t>
    </r>
    <r>
      <rPr>
        <sz val="10"/>
        <color rgb="FF1F1F1F"/>
        <rFont val="나눔고딕"/>
        <family val="3"/>
        <charset val="129"/>
      </rPr>
      <t>으로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분해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재정의</t>
    </r>
  </si>
  <si>
    <r>
      <t xml:space="preserve">OEM </t>
    </r>
    <r>
      <rPr>
        <sz val="10"/>
        <color rgb="FF1F1F1F"/>
        <rFont val="나눔고딕"/>
        <family val="3"/>
        <charset val="129"/>
      </rPr>
      <t>요구사항의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기술적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실행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가능성</t>
    </r>
    <r>
      <rPr>
        <sz val="10"/>
        <color rgb="FF1F1F1F"/>
        <rFont val="Times New Roman"/>
        <family val="1"/>
      </rPr>
      <t xml:space="preserve">(Feasibility) </t>
    </r>
    <r>
      <rPr>
        <sz val="10"/>
        <color rgb="FF1F1F1F"/>
        <rFont val="나눔고딕"/>
        <family val="3"/>
        <charset val="129"/>
      </rPr>
      <t>검토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완료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모호성</t>
    </r>
    <r>
      <rPr>
        <sz val="10"/>
        <color rgb="FF1F1F1F"/>
        <rFont val="Times New Roman"/>
        <family val="1"/>
      </rPr>
      <t xml:space="preserve"> 100% </t>
    </r>
    <r>
      <rPr>
        <sz val="10"/>
        <color rgb="FF1F1F1F"/>
        <rFont val="나눔고딕"/>
        <family val="3"/>
        <charset val="129"/>
      </rPr>
      <t>제거</t>
    </r>
  </si>
  <si>
    <r>
      <t xml:space="preserve">• OEM </t>
    </r>
    <r>
      <rPr>
        <sz val="10"/>
        <color rgb="FF1F1F1F"/>
        <rFont val="나눔고딕"/>
        <family val="3"/>
        <charset val="129"/>
      </rPr>
      <t>수신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문서</t>
    </r>
    <r>
      <rPr>
        <sz val="10"/>
        <color rgb="FF1F1F1F"/>
        <rFont val="Times New Roman"/>
        <family val="1"/>
      </rPr>
      <t xml:space="preserve">(CSG, CSC, CIA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) </t>
    </r>
    <r>
      <rPr>
        <sz val="10"/>
        <color rgb="FF1F1F1F"/>
        <rFont val="나눔고딕"/>
        <family val="3"/>
        <charset val="129"/>
      </rPr>
      <t xml:space="preserve">분석
</t>
    </r>
    <r>
      <rPr>
        <sz val="10"/>
        <color rgb="FF1F1F1F"/>
        <rFont val="Times New Roman"/>
        <family val="1"/>
      </rPr>
      <t xml:space="preserve">• HW/SW </t>
    </r>
    <r>
      <rPr>
        <sz val="10"/>
        <color rgb="FF1F1F1F"/>
        <rFont val="나눔고딕"/>
        <family val="3"/>
        <charset val="129"/>
      </rPr>
      <t>제약사항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타임라인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고려한</t>
    </r>
    <r>
      <rPr>
        <sz val="10"/>
        <color rgb="FF1F1F1F"/>
        <rFont val="Times New Roman"/>
        <family val="1"/>
      </rPr>
      <t xml:space="preserve"> Feasibility </t>
    </r>
    <r>
      <rPr>
        <sz val="10"/>
        <color rgb="FF1F1F1F"/>
        <rFont val="나눔고딕"/>
        <family val="3"/>
        <charset val="129"/>
      </rPr>
      <t xml:space="preserve">평가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상위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요구사항을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기능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통신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메모리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디버그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단위의</t>
    </r>
    <r>
      <rPr>
        <sz val="10"/>
        <color rgb="FF1F1F1F"/>
        <rFont val="Times New Roman"/>
        <family val="1"/>
      </rPr>
      <t xml:space="preserve"> TSR</t>
    </r>
    <r>
      <rPr>
        <sz val="10"/>
        <color rgb="FF1F1F1F"/>
        <rFont val="나눔고딕"/>
        <family val="3"/>
        <charset val="129"/>
      </rPr>
      <t>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구체화</t>
    </r>
    <phoneticPr fontId="2" type="noConversion"/>
  </si>
  <si>
    <r>
      <t xml:space="preserve">1.2. </t>
    </r>
    <r>
      <rPr>
        <sz val="10"/>
        <color rgb="FF1F1F1F"/>
        <rFont val="나눔고딕"/>
        <family val="3"/>
        <charset val="129"/>
      </rPr>
      <t>기술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컨셉</t>
    </r>
    <r>
      <rPr>
        <sz val="10"/>
        <color rgb="FF1F1F1F"/>
        <rFont val="Times New Roman"/>
        <family val="1"/>
      </rPr>
      <t xml:space="preserve">(TCC)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시스템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설계</t>
    </r>
  </si>
  <si>
    <r>
      <t>TSR</t>
    </r>
    <r>
      <rPr>
        <sz val="10"/>
        <color rgb="FF1F1F1F"/>
        <rFont val="나눔고딕"/>
        <family val="3"/>
        <charset val="129"/>
      </rPr>
      <t>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구현하기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위해</t>
    </r>
    <r>
      <rPr>
        <sz val="10"/>
        <color rgb="FF1F1F1F"/>
        <rFont val="Times New Roman"/>
        <family val="1"/>
      </rPr>
      <t xml:space="preserve"> HSM, Crypto Driver, AUTOSAR BSW, App </t>
    </r>
    <r>
      <rPr>
        <sz val="10"/>
        <color rgb="FF1F1F1F"/>
        <rFont val="나눔고딕"/>
        <family val="3"/>
        <charset val="129"/>
      </rPr>
      <t>간의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결합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신뢰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영역</t>
    </r>
    <r>
      <rPr>
        <sz val="10"/>
        <color rgb="FF1F1F1F"/>
        <rFont val="Times New Roman"/>
        <family val="1"/>
      </rPr>
      <t xml:space="preserve">(Trust Zone) </t>
    </r>
    <r>
      <rPr>
        <sz val="10"/>
        <color rgb="FF1F1F1F"/>
        <rFont val="나눔고딕"/>
        <family val="3"/>
        <charset val="129"/>
      </rPr>
      <t>정립</t>
    </r>
  </si>
  <si>
    <r>
      <rPr>
        <sz val="10"/>
        <color rgb="FF1F1F1F"/>
        <rFont val="나눔고딕"/>
        <family val="3"/>
        <charset val="129"/>
      </rPr>
      <t>신뢰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앵커</t>
    </r>
    <r>
      <rPr>
        <sz val="10"/>
        <color rgb="FF1F1F1F"/>
        <rFont val="Times New Roman"/>
        <family val="1"/>
      </rPr>
      <t xml:space="preserve">(Trust Anchor) </t>
    </r>
    <r>
      <rPr>
        <sz val="10"/>
        <color rgb="FF1F1F1F"/>
        <rFont val="나눔고딕"/>
        <family val="3"/>
        <charset val="129"/>
      </rPr>
      <t>중심의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강건한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컴포넌트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아키텍처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설계</t>
    </r>
  </si>
  <si>
    <r>
      <t xml:space="preserve">1.3. </t>
    </r>
    <r>
      <rPr>
        <sz val="10"/>
        <color rgb="FF1F1F1F"/>
        <rFont val="나눔고딕"/>
        <family val="3"/>
        <charset val="129"/>
      </rPr>
      <t>양방향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추적성</t>
    </r>
    <r>
      <rPr>
        <sz val="10"/>
        <color rgb="FF1F1F1F"/>
        <rFont val="Times New Roman"/>
        <family val="1"/>
      </rPr>
      <t xml:space="preserve">(Bidirectional Traceability) </t>
    </r>
    <r>
      <rPr>
        <sz val="10"/>
        <color rgb="FF1F1F1F"/>
        <rFont val="나눔고딕"/>
        <family val="3"/>
        <charset val="129"/>
      </rPr>
      <t>체계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구축</t>
    </r>
  </si>
  <si>
    <r>
      <t xml:space="preserve">OEM </t>
    </r>
    <r>
      <rPr>
        <sz val="10"/>
        <color rgb="FF1F1F1F"/>
        <rFont val="나눔고딕"/>
        <family val="3"/>
        <charset val="129"/>
      </rPr>
      <t>상위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요구사항부터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자사</t>
    </r>
    <r>
      <rPr>
        <sz val="10"/>
        <color rgb="FF1F1F1F"/>
        <rFont val="Times New Roman"/>
        <family val="1"/>
      </rPr>
      <t xml:space="preserve"> TSR, </t>
    </r>
    <r>
      <rPr>
        <sz val="10"/>
        <color rgb="FF1F1F1F"/>
        <rFont val="나눔고딕"/>
        <family val="3"/>
        <charset val="129"/>
      </rPr>
      <t>아키텍처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소스코드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테스트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케이스까지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누락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없는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추적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라인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확보</t>
    </r>
  </si>
  <si>
    <r>
      <t xml:space="preserve">ISO 21434 </t>
    </r>
    <r>
      <rPr>
        <sz val="10"/>
        <color rgb="FF1F1F1F"/>
        <rFont val="나눔고딕"/>
        <family val="3"/>
        <charset val="129"/>
      </rPr>
      <t>준수를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요구사항</t>
    </r>
    <r>
      <rPr>
        <sz val="10"/>
        <color rgb="FF1F1F1F"/>
        <rFont val="Times New Roman"/>
        <family val="1"/>
      </rPr>
      <t>-</t>
    </r>
    <r>
      <rPr>
        <sz val="10"/>
        <color rgb="FF1F1F1F"/>
        <rFont val="나눔고딕"/>
        <family val="3"/>
        <charset val="129"/>
      </rPr>
      <t>아키텍처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간</t>
    </r>
    <r>
      <rPr>
        <sz val="10"/>
        <color rgb="FF1F1F1F"/>
        <rFont val="Times New Roman"/>
        <family val="1"/>
      </rPr>
      <t xml:space="preserve"> 100% </t>
    </r>
    <r>
      <rPr>
        <sz val="10"/>
        <color rgb="FF1F1F1F"/>
        <rFont val="나눔고딕"/>
        <family val="3"/>
        <charset val="129"/>
      </rPr>
      <t>양방향</t>
    </r>
    <r>
      <rPr>
        <sz val="10"/>
        <color rgb="FF1F1F1F"/>
        <rFont val="Times New Roman"/>
        <family val="1"/>
      </rPr>
      <t xml:space="preserve"> Traceability </t>
    </r>
    <r>
      <rPr>
        <sz val="10"/>
        <color rgb="FF1F1F1F"/>
        <rFont val="나눔고딕"/>
        <family val="3"/>
        <charset val="129"/>
      </rPr>
      <t>매핑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달성</t>
    </r>
  </si>
  <si>
    <r>
      <t xml:space="preserve">• ALM(Codebeamer, Jira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) </t>
    </r>
    <r>
      <rPr>
        <sz val="10"/>
        <color rgb="FF1F1F1F"/>
        <rFont val="나눔고딕"/>
        <family val="3"/>
        <charset val="129"/>
      </rPr>
      <t>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요구사항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추적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데이터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모델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구성
</t>
    </r>
    <r>
      <rPr>
        <sz val="10"/>
        <color rgb="FF1F1F1F"/>
        <rFont val="Times New Roman"/>
        <family val="1"/>
      </rPr>
      <t xml:space="preserve">• OEM Requirement ID </t>
    </r>
    <r>
      <rPr>
        <sz val="10"/>
        <color rgb="FF1F1F1F"/>
        <rFont val="나눔고딕"/>
        <family val="3"/>
        <charset val="129"/>
      </rPr>
      <t>↔</t>
    </r>
    <r>
      <rPr>
        <sz val="10"/>
        <color rgb="FF1F1F1F"/>
        <rFont val="Times New Roman"/>
        <family val="1"/>
      </rPr>
      <t xml:space="preserve"> TSR ID </t>
    </r>
    <r>
      <rPr>
        <sz val="10"/>
        <color rgb="FF1F1F1F"/>
        <rFont val="나눔고딕"/>
        <family val="3"/>
        <charset val="129"/>
      </rPr>
      <t>↔</t>
    </r>
    <r>
      <rPr>
        <sz val="10"/>
        <color rgb="FF1F1F1F"/>
        <rFont val="Times New Roman"/>
        <family val="1"/>
      </rPr>
      <t xml:space="preserve"> Arch Component ID </t>
    </r>
    <r>
      <rPr>
        <sz val="10"/>
        <color rgb="FF1F1F1F"/>
        <rFont val="나눔고딕"/>
        <family val="3"/>
        <charset val="129"/>
      </rPr>
      <t>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매핑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요구사항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변경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영향도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</t>
    </r>
    <r>
      <rPr>
        <sz val="10"/>
        <color rgb="FF1F1F1F"/>
        <rFont val="Times New Roman"/>
        <family val="1"/>
      </rPr>
      <t xml:space="preserve">(Impact Analysis) </t>
    </r>
    <r>
      <rPr>
        <sz val="10"/>
        <color rgb="FF1F1F1F"/>
        <rFont val="나눔고딕"/>
        <family val="3"/>
        <charset val="129"/>
      </rPr>
      <t>프로세스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연동</t>
    </r>
    <phoneticPr fontId="2" type="noConversion"/>
  </si>
  <si>
    <r>
      <t xml:space="preserve">1.4.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인터페이스</t>
    </r>
    <r>
      <rPr>
        <sz val="10"/>
        <color rgb="FF1F1F1F"/>
        <rFont val="Times New Roman"/>
        <family val="1"/>
      </rPr>
      <t xml:space="preserve">(HSI)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제약조건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규격화</t>
    </r>
  </si>
  <si>
    <r>
      <t>HW</t>
    </r>
    <r>
      <rPr>
        <sz val="10"/>
        <color rgb="FF1F1F1F"/>
        <rFont val="나눔고딕"/>
        <family val="3"/>
        <charset val="129"/>
      </rPr>
      <t>와</t>
    </r>
    <r>
      <rPr>
        <sz val="10"/>
        <color rgb="FF1F1F1F"/>
        <rFont val="Times New Roman"/>
        <family val="1"/>
      </rPr>
      <t xml:space="preserve"> SW, </t>
    </r>
    <r>
      <rPr>
        <sz val="10"/>
        <color rgb="FF1F1F1F"/>
        <rFont val="나눔고딕"/>
        <family val="3"/>
        <charset val="129"/>
      </rPr>
      <t>메인</t>
    </r>
    <r>
      <rPr>
        <sz val="10"/>
        <color rgb="FF1F1F1F"/>
        <rFont val="Times New Roman"/>
        <family val="1"/>
      </rPr>
      <t xml:space="preserve"> MCU</t>
    </r>
    <r>
      <rPr>
        <sz val="10"/>
        <color rgb="FF1F1F1F"/>
        <rFont val="나눔고딕"/>
        <family val="3"/>
        <charset val="129"/>
      </rPr>
      <t>와</t>
    </r>
    <r>
      <rPr>
        <sz val="10"/>
        <color rgb="FF1F1F1F"/>
        <rFont val="Times New Roman"/>
        <family val="1"/>
      </rPr>
      <t xml:space="preserve"> HSM, </t>
    </r>
    <r>
      <rPr>
        <sz val="10"/>
        <color rgb="FF1F1F1F"/>
        <rFont val="나눔고딕"/>
        <family val="3"/>
        <charset val="129"/>
      </rPr>
      <t>외부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통신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제어기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데이터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전달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인터페이스를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명확히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규격화</t>
    </r>
  </si>
  <si>
    <r>
      <rPr>
        <sz val="10"/>
        <color rgb="FF1F1F1F"/>
        <rFont val="나눔고딕"/>
        <family val="3"/>
        <charset val="129"/>
      </rPr>
      <t>구현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통합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단계에서의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구멍</t>
    </r>
    <r>
      <rPr>
        <sz val="10"/>
        <color rgb="FF1F1F1F"/>
        <rFont val="Times New Roman"/>
        <family val="1"/>
      </rPr>
      <t xml:space="preserve">(Security Hole)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표준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미준수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방지</t>
    </r>
  </si>
  <si>
    <r>
      <t xml:space="preserve">1.5. </t>
    </r>
    <r>
      <rPr>
        <sz val="10"/>
        <color rgb="FF1F1F1F"/>
        <rFont val="나눔고딕"/>
        <family val="3"/>
        <charset val="129"/>
      </rPr>
      <t>아키텍처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레벨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검토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표면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분석</t>
    </r>
  </si>
  <si>
    <r>
      <rPr>
        <sz val="10"/>
        <color rgb="FF1F1F1F"/>
        <rFont val="나눔고딕"/>
        <family val="3"/>
        <charset val="129"/>
      </rPr>
      <t>코드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전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설계된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아키텍처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내에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존재하는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구조적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표면</t>
    </r>
    <r>
      <rPr>
        <sz val="10"/>
        <color rgb="FF1F1F1F"/>
        <rFont val="Times New Roman"/>
        <family val="1"/>
      </rPr>
      <t>(Attack Surface)</t>
    </r>
    <r>
      <rPr>
        <sz val="10"/>
        <color rgb="FF1F1F1F"/>
        <rFont val="나눔고딕"/>
        <family val="3"/>
        <charset val="129"/>
      </rPr>
      <t>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사전에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식별</t>
    </r>
  </si>
  <si>
    <r>
      <rPr>
        <sz val="10"/>
        <color rgb="FF1F1F1F"/>
        <rFont val="나눔고딕"/>
        <family val="3"/>
        <charset val="129"/>
      </rPr>
      <t>설계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단계의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결함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아키텍처적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요소</t>
    </r>
    <r>
      <rPr>
        <sz val="10"/>
        <color rgb="FF1F1F1F"/>
        <rFont val="Times New Roman"/>
        <family val="1"/>
      </rPr>
      <t xml:space="preserve">(Architectural Flaw) </t>
    </r>
    <r>
      <rPr>
        <sz val="10"/>
        <color rgb="FF1F1F1F"/>
        <rFont val="나눔고딕"/>
        <family val="3"/>
        <charset val="129"/>
      </rPr>
      <t>사전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제거</t>
    </r>
  </si>
  <si>
    <r>
      <rPr>
        <sz val="10"/>
        <color theme="1"/>
        <rFont val="나눔고딕"/>
        <family val="3"/>
        <charset val="129"/>
      </rPr>
      <t>▶</t>
    </r>
    <r>
      <rPr>
        <sz val="10"/>
        <color theme="1"/>
        <rFont val="Times New Roman"/>
        <family val="1"/>
      </rPr>
      <t xml:space="preserve"> Tier 1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실무적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핵심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포인트</t>
    </r>
    <phoneticPr fontId="2" type="noConversion"/>
  </si>
  <si>
    <r>
      <rPr>
        <sz val="10"/>
        <color theme="1"/>
        <rFont val="나눔고딕"/>
        <family val="3"/>
        <charset val="129"/>
      </rPr>
      <t>역할의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변화</t>
    </r>
    <r>
      <rPr>
        <sz val="10"/>
        <color theme="1"/>
        <rFont val="Times New Roman"/>
        <family val="1"/>
      </rPr>
      <t>: OEM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TARA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수행했더라도</t>
    </r>
    <r>
      <rPr>
        <sz val="10"/>
        <color theme="1"/>
        <rFont val="Times New Roman"/>
        <family val="1"/>
      </rPr>
      <t>, Tier 1</t>
    </r>
    <r>
      <rPr>
        <sz val="10"/>
        <color theme="1"/>
        <rFont val="나눔고딕"/>
        <family val="3"/>
        <charset val="129"/>
      </rPr>
      <t>은</t>
    </r>
    <r>
      <rPr>
        <sz val="10"/>
        <color theme="1"/>
        <rFont val="Times New Roman"/>
        <family val="1"/>
      </rPr>
      <t xml:space="preserve"> "OEM </t>
    </r>
    <r>
      <rPr>
        <sz val="10"/>
        <color theme="1"/>
        <rFont val="나눔고딕"/>
        <family val="3"/>
        <charset val="129"/>
      </rPr>
      <t>요구사항이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자사</t>
    </r>
    <r>
      <rPr>
        <sz val="10"/>
        <color theme="1"/>
        <rFont val="Times New Roman"/>
        <family val="1"/>
      </rPr>
      <t xml:space="preserve"> ECU</t>
    </r>
    <r>
      <rPr>
        <sz val="10"/>
        <color theme="1"/>
        <rFont val="나눔고딕"/>
        <family val="3"/>
        <charset val="129"/>
      </rPr>
      <t>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어떻게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구체적으로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적용되는가</t>
    </r>
    <r>
      <rPr>
        <sz val="10"/>
        <color theme="1"/>
        <rFont val="Times New Roman"/>
        <family val="1"/>
      </rPr>
      <t>"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TCC </t>
    </r>
    <r>
      <rPr>
        <sz val="10"/>
        <color theme="1"/>
        <rFont val="나눔고딕"/>
        <family val="3"/>
        <charset val="129"/>
      </rPr>
      <t>문서와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아키텍처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다이어그램으로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증명해야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합니다</t>
    </r>
    <r>
      <rPr>
        <sz val="10"/>
        <color theme="1"/>
        <rFont val="Times New Roman"/>
        <family val="1"/>
      </rPr>
      <t>.</t>
    </r>
  </si>
  <si>
    <r>
      <rPr>
        <sz val="10"/>
        <color theme="1"/>
        <rFont val="나눔고딕"/>
        <family val="3"/>
        <charset val="129"/>
      </rPr>
      <t>추적성</t>
    </r>
    <r>
      <rPr>
        <sz val="10"/>
        <color theme="1"/>
        <rFont val="Times New Roman"/>
        <family val="1"/>
      </rPr>
      <t xml:space="preserve">(Traceability): ISO 21434 </t>
    </r>
    <r>
      <rPr>
        <sz val="10"/>
        <color theme="1"/>
        <rFont val="나눔고딕"/>
        <family val="3"/>
        <charset val="129"/>
      </rPr>
      <t>심사</t>
    </r>
    <r>
      <rPr>
        <sz val="10"/>
        <color theme="1"/>
        <rFont val="Times New Roman"/>
        <family val="1"/>
      </rPr>
      <t xml:space="preserve">(Audit) </t>
    </r>
    <r>
      <rPr>
        <sz val="10"/>
        <color theme="1"/>
        <rFont val="나눔고딕"/>
        <family val="3"/>
        <charset val="129"/>
      </rPr>
      <t>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자주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지적되는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항목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하나가</t>
    </r>
    <r>
      <rPr>
        <sz val="10"/>
        <color theme="1"/>
        <rFont val="Times New Roman"/>
        <family val="1"/>
      </rPr>
      <t xml:space="preserve"> OEM CSG</t>
    </r>
    <r>
      <rPr>
        <sz val="10"/>
        <color theme="1"/>
        <rFont val="나눔고딕"/>
        <family val="3"/>
        <charset val="129"/>
      </rPr>
      <t>와</t>
    </r>
    <r>
      <rPr>
        <sz val="10"/>
        <color theme="1"/>
        <rFont val="Times New Roman"/>
        <family val="1"/>
      </rPr>
      <t xml:space="preserve"> Tier 1 TSR </t>
    </r>
    <r>
      <rPr>
        <sz val="10"/>
        <color theme="1"/>
        <rFont val="나눔고딕"/>
        <family val="3"/>
        <charset val="129"/>
      </rPr>
      <t>간의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연결고리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누락입니다</t>
    </r>
    <r>
      <rPr>
        <sz val="10"/>
        <color theme="1"/>
        <rFont val="Times New Roman"/>
        <family val="1"/>
      </rPr>
      <t xml:space="preserve">. Traceability Matrix </t>
    </r>
    <r>
      <rPr>
        <sz val="10"/>
        <color theme="1"/>
        <rFont val="나눔고딕"/>
        <family val="3"/>
        <charset val="129"/>
      </rPr>
      <t>작성이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시스템화되어야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합니다</t>
    </r>
    <r>
      <rPr>
        <sz val="10"/>
        <color theme="1"/>
        <rFont val="Times New Roman"/>
        <family val="1"/>
      </rPr>
      <t>.</t>
    </r>
  </si>
  <si>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단계의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핵심은</t>
    </r>
    <r>
      <rPr>
        <sz val="10"/>
        <color theme="1"/>
        <rFont val="Times New Roman"/>
        <family val="1"/>
      </rPr>
      <t xml:space="preserve"> "</t>
    </r>
    <r>
      <rPr>
        <sz val="10"/>
        <color theme="1"/>
        <rFont val="나눔고딕"/>
        <family val="3"/>
        <charset val="129"/>
      </rPr>
      <t>차량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</t>
    </r>
    <r>
      <rPr>
        <sz val="10"/>
        <color theme="1"/>
        <rFont val="Times New Roman"/>
        <family val="1"/>
      </rPr>
      <t xml:space="preserve"> TARA</t>
    </r>
    <r>
      <rPr>
        <sz val="10"/>
        <color theme="1"/>
        <rFont val="나눔고딕"/>
        <family val="3"/>
        <charset val="129"/>
      </rPr>
      <t>는</t>
    </r>
    <r>
      <rPr>
        <sz val="10"/>
        <color theme="1"/>
        <rFont val="Times New Roman"/>
        <family val="1"/>
      </rPr>
      <t xml:space="preserve"> OEM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수행하지만</t>
    </r>
    <r>
      <rPr>
        <sz val="10"/>
        <color theme="1"/>
        <rFont val="Times New Roman"/>
        <family val="1"/>
      </rPr>
      <t xml:space="preserve">, ECU </t>
    </r>
    <r>
      <rPr>
        <sz val="10"/>
        <color theme="1"/>
        <rFont val="나눔고딕"/>
        <family val="3"/>
        <charset val="129"/>
      </rPr>
      <t>내부</t>
    </r>
    <r>
      <rPr>
        <sz val="10"/>
        <color theme="1"/>
        <rFont val="Times New Roman"/>
        <family val="1"/>
      </rPr>
      <t xml:space="preserve"> HW/SW </t>
    </r>
    <r>
      <rPr>
        <sz val="10"/>
        <color theme="1"/>
        <rFont val="나눔고딕"/>
        <family val="3"/>
        <charset val="129"/>
      </rPr>
      <t>모듈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</t>
    </r>
    <r>
      <rPr>
        <sz val="10"/>
        <color theme="1"/>
        <rFont val="Times New Roman"/>
        <family val="1"/>
      </rPr>
      <t>, Bus/</t>
    </r>
    <r>
      <rPr>
        <sz val="10"/>
        <color theme="1"/>
        <rFont val="나눔고딕"/>
        <family val="3"/>
        <charset val="129"/>
      </rPr>
      <t>메모리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영역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제</t>
    </r>
    <r>
      <rPr>
        <sz val="10"/>
        <color theme="1"/>
        <rFont val="Times New Roman"/>
        <family val="1"/>
      </rPr>
      <t>3</t>
    </r>
    <r>
      <rPr>
        <sz val="10"/>
        <color theme="1"/>
        <rFont val="나눔고딕"/>
        <family val="3"/>
        <charset val="129"/>
      </rPr>
      <t>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라이브러리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접점에서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발생하는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세부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위협은</t>
    </r>
    <r>
      <rPr>
        <sz val="10"/>
        <color theme="1"/>
        <rFont val="Times New Roman"/>
        <family val="1"/>
      </rPr>
      <t xml:space="preserve"> Tier 1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STRIDE </t>
    </r>
    <r>
      <rPr>
        <sz val="10"/>
        <color theme="1"/>
        <rFont val="나눔고딕"/>
        <family val="3"/>
        <charset val="129"/>
      </rPr>
      <t>등의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기법으로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미시적으로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식별하고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완화책을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입증하는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것</t>
    </r>
    <r>
      <rPr>
        <sz val="10"/>
        <color theme="1"/>
        <rFont val="Times New Roman"/>
        <family val="1"/>
      </rPr>
      <t>"</t>
    </r>
    <r>
      <rPr>
        <sz val="10"/>
        <color theme="1"/>
        <rFont val="나눔고딕"/>
        <family val="3"/>
        <charset val="129"/>
      </rPr>
      <t>입니다</t>
    </r>
    <r>
      <rPr>
        <sz val="10"/>
        <color theme="1"/>
        <rFont val="Times New Roman"/>
        <family val="1"/>
      </rPr>
      <t>.</t>
    </r>
  </si>
  <si>
    <r>
      <t xml:space="preserve">2.1. </t>
    </r>
    <r>
      <rPr>
        <sz val="10"/>
        <color rgb="FF1F1F1F"/>
        <rFont val="나눔고딕"/>
        <family val="3"/>
        <charset val="129"/>
      </rPr>
      <t>컴포넌트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자산</t>
    </r>
    <r>
      <rPr>
        <sz val="10"/>
        <color rgb="FF1F1F1F"/>
        <rFont val="Times New Roman"/>
        <family val="1"/>
      </rPr>
      <t xml:space="preserve">(Asset)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표면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식별</t>
    </r>
  </si>
  <si>
    <r>
      <t xml:space="preserve">ECU </t>
    </r>
    <r>
      <rPr>
        <sz val="10"/>
        <color rgb="FF1F1F1F"/>
        <rFont val="나눔고딕"/>
        <family val="3"/>
        <charset val="129"/>
      </rPr>
      <t>내부의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대상</t>
    </r>
    <r>
      <rPr>
        <sz val="10"/>
        <color rgb="FF1F1F1F"/>
        <rFont val="Times New Roman"/>
        <family val="1"/>
      </rPr>
      <t>(</t>
    </r>
    <r>
      <rPr>
        <sz val="10"/>
        <color rgb="FF1F1F1F"/>
        <rFont val="나눔고딕"/>
        <family val="3"/>
        <charset val="129"/>
      </rPr>
      <t>자산</t>
    </r>
    <r>
      <rPr>
        <sz val="10"/>
        <color rgb="FF1F1F1F"/>
        <rFont val="Times New Roman"/>
        <family val="1"/>
      </rPr>
      <t>)</t>
    </r>
    <r>
      <rPr>
        <sz val="10"/>
        <color rgb="FF1F1F1F"/>
        <rFont val="나눔고딕"/>
        <family val="3"/>
        <charset val="129"/>
      </rPr>
      <t>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외부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접점</t>
    </r>
    <r>
      <rPr>
        <sz val="10"/>
        <color rgb="FF1F1F1F"/>
        <rFont val="Times New Roman"/>
        <family val="1"/>
      </rPr>
      <t>(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표면</t>
    </r>
    <r>
      <rPr>
        <sz val="10"/>
        <color rgb="FF1F1F1F"/>
        <rFont val="Times New Roman"/>
        <family val="1"/>
      </rPr>
      <t>)</t>
    </r>
    <r>
      <rPr>
        <sz val="10"/>
        <color rgb="FF1F1F1F"/>
        <rFont val="나눔고딕"/>
        <family val="3"/>
        <charset val="129"/>
      </rPr>
      <t>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세밀하게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정의하여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분석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범위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확정</t>
    </r>
  </si>
  <si>
    <r>
      <t xml:space="preserve">ECU </t>
    </r>
    <r>
      <rPr>
        <sz val="10"/>
        <color rgb="FF1F1F1F"/>
        <rFont val="나눔고딕"/>
        <family val="3"/>
        <charset val="129"/>
      </rPr>
      <t>내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외부의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모든</t>
    </r>
    <r>
      <rPr>
        <sz val="10"/>
        <color rgb="FF1F1F1F"/>
        <rFont val="Times New Roman"/>
        <family val="1"/>
      </rPr>
      <t xml:space="preserve"> Security Asset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Attack Surface 100% </t>
    </r>
    <r>
      <rPr>
        <sz val="10"/>
        <color rgb="FF1F1F1F"/>
        <rFont val="나눔고딕"/>
        <family val="3"/>
        <charset val="129"/>
      </rPr>
      <t>식별</t>
    </r>
  </si>
  <si>
    <r>
      <t xml:space="preserve">2.2. DFD </t>
    </r>
    <r>
      <rPr>
        <sz val="10"/>
        <color rgb="FF1F1F1F"/>
        <rFont val="나눔고딕"/>
        <family val="3"/>
        <charset val="129"/>
      </rPr>
      <t>기반</t>
    </r>
    <r>
      <rPr>
        <sz val="10"/>
        <color rgb="FF1F1F1F"/>
        <rFont val="Times New Roman"/>
        <family val="1"/>
      </rPr>
      <t xml:space="preserve"> STRIDE </t>
    </r>
    <r>
      <rPr>
        <sz val="10"/>
        <color rgb="FF1F1F1F"/>
        <rFont val="나눔고딕"/>
        <family val="3"/>
        <charset val="129"/>
      </rPr>
      <t>위협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모델링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수행</t>
    </r>
  </si>
  <si>
    <r>
      <t xml:space="preserve">ECU </t>
    </r>
    <r>
      <rPr>
        <sz val="10"/>
        <color rgb="FF1F1F1F"/>
        <rFont val="나눔고딕"/>
        <family val="3"/>
        <charset val="129"/>
      </rPr>
      <t>내부</t>
    </r>
    <r>
      <rPr>
        <sz val="10"/>
        <color rgb="FF1F1F1F"/>
        <rFont val="Times New Roman"/>
        <family val="1"/>
      </rPr>
      <t xml:space="preserve"> HW/SW </t>
    </r>
    <r>
      <rPr>
        <sz val="10"/>
        <color rgb="FF1F1F1F"/>
        <rFont val="나눔고딕"/>
        <family val="3"/>
        <charset val="129"/>
      </rPr>
      <t>아키텍처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수준에서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발생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가능한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구조적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위협을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체계적으로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도출</t>
    </r>
  </si>
  <si>
    <r>
      <t xml:space="preserve">STRIDE </t>
    </r>
    <r>
      <rPr>
        <sz val="10"/>
        <color rgb="FF1F1F1F"/>
        <rFont val="나눔고딕"/>
        <family val="3"/>
        <charset val="129"/>
      </rPr>
      <t>방법론을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적용한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컴포넌트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단위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도출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누락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방지</t>
    </r>
  </si>
  <si>
    <r>
      <t xml:space="preserve">2.3.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트리</t>
    </r>
    <r>
      <rPr>
        <sz val="10"/>
        <color rgb="FF1F1F1F"/>
        <rFont val="Times New Roman"/>
        <family val="1"/>
      </rPr>
      <t xml:space="preserve">(Attack Tree) </t>
    </r>
    <r>
      <rPr>
        <sz val="10"/>
        <color rgb="FF1F1F1F"/>
        <rFont val="나눔고딕"/>
        <family val="3"/>
        <charset val="129"/>
      </rPr>
      <t>분석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Feasibility </t>
    </r>
    <r>
      <rPr>
        <sz val="10"/>
        <color rgb="FF1F1F1F"/>
        <rFont val="나눔고딕"/>
        <family val="3"/>
        <charset val="129"/>
      </rPr>
      <t>평가</t>
    </r>
  </si>
  <si>
    <r>
      <rPr>
        <sz val="10"/>
        <color rgb="FF1F1F1F"/>
        <rFont val="나눔고딕"/>
        <family val="3"/>
        <charset val="129"/>
      </rPr>
      <t>도출된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미시적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위협에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구체적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경로를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시각화하고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용이성</t>
    </r>
    <r>
      <rPr>
        <sz val="10"/>
        <color rgb="FF1F1F1F"/>
        <rFont val="Times New Roman"/>
        <family val="1"/>
      </rPr>
      <t xml:space="preserve">(Feasibility) </t>
    </r>
    <r>
      <rPr>
        <sz val="10"/>
        <color rgb="FF1F1F1F"/>
        <rFont val="나눔고딕"/>
        <family val="3"/>
        <charset val="129"/>
      </rPr>
      <t>산정</t>
    </r>
  </si>
  <si>
    <r>
      <t xml:space="preserve">ISO 21434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타당성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기준</t>
    </r>
    <r>
      <rPr>
        <sz val="10"/>
        <color rgb="FF1F1F1F"/>
        <rFont val="Times New Roman"/>
        <family val="1"/>
      </rPr>
      <t>(</t>
    </r>
    <r>
      <rPr>
        <sz val="10"/>
        <color rgb="FF1F1F1F"/>
        <rFont val="나눔고딕"/>
        <family val="3"/>
        <charset val="129"/>
      </rPr>
      <t>시간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전문성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정보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기회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장비</t>
    </r>
    <r>
      <rPr>
        <sz val="10"/>
        <color rgb="FF1F1F1F"/>
        <rFont val="Times New Roman"/>
        <family val="1"/>
      </rPr>
      <t>)</t>
    </r>
    <r>
      <rPr>
        <sz val="10"/>
        <color rgb="FF1F1F1F"/>
        <rFont val="나눔고딕"/>
        <family val="3"/>
        <charset val="129"/>
      </rPr>
      <t>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따른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정량적</t>
    </r>
    <r>
      <rPr>
        <sz val="10"/>
        <color rgb="FF1F1F1F"/>
        <rFont val="Times New Roman"/>
        <family val="1"/>
      </rPr>
      <t xml:space="preserve"> Risk Level </t>
    </r>
    <r>
      <rPr>
        <sz val="10"/>
        <color rgb="FF1F1F1F"/>
        <rFont val="나눔고딕"/>
        <family val="3"/>
        <charset val="129"/>
      </rPr>
      <t>산출</t>
    </r>
  </si>
  <si>
    <r>
      <t xml:space="preserve">2.4. </t>
    </r>
    <r>
      <rPr>
        <sz val="10"/>
        <color rgb="FF1F1F1F"/>
        <rFont val="나눔고딕"/>
        <family val="3"/>
        <charset val="129"/>
      </rPr>
      <t>위협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완화</t>
    </r>
    <r>
      <rPr>
        <sz val="10"/>
        <color rgb="FF1F1F1F"/>
        <rFont val="Times New Roman"/>
        <family val="1"/>
      </rPr>
      <t xml:space="preserve">(Mitigation) </t>
    </r>
    <r>
      <rPr>
        <sz val="10"/>
        <color rgb="FF1F1F1F"/>
        <rFont val="나눔고딕"/>
        <family val="3"/>
        <charset val="129"/>
      </rPr>
      <t>조치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요구사항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반영</t>
    </r>
  </si>
  <si>
    <r>
      <rPr>
        <sz val="10"/>
        <color rgb="FF1F1F1F"/>
        <rFont val="나눔고딕"/>
        <family val="3"/>
        <charset val="129"/>
      </rPr>
      <t>식별된</t>
    </r>
    <r>
      <rPr>
        <sz val="10"/>
        <color rgb="FF1F1F1F"/>
        <rFont val="Times New Roman"/>
        <family val="1"/>
      </rPr>
      <t xml:space="preserve"> Risk</t>
    </r>
    <r>
      <rPr>
        <sz val="10"/>
        <color rgb="FF1F1F1F"/>
        <rFont val="나눔고딕"/>
        <family val="3"/>
        <charset val="129"/>
      </rPr>
      <t>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컴포넌트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레벨의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메커니즘을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매핑하여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잔여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위험</t>
    </r>
    <r>
      <rPr>
        <sz val="10"/>
        <color rgb="FF1F1F1F"/>
        <rFont val="Times New Roman"/>
        <family val="1"/>
      </rPr>
      <t xml:space="preserve">(Residual Risk) </t>
    </r>
    <r>
      <rPr>
        <sz val="10"/>
        <color rgb="FF1F1F1F"/>
        <rFont val="나눔고딕"/>
        <family val="3"/>
        <charset val="129"/>
      </rPr>
      <t>최소화</t>
    </r>
  </si>
  <si>
    <r>
      <rPr>
        <sz val="10"/>
        <color rgb="FF1F1F1F"/>
        <rFont val="나눔고딕"/>
        <family val="3"/>
        <charset val="129"/>
      </rPr>
      <t>수용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불가능한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위험에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대해</t>
    </r>
    <r>
      <rPr>
        <sz val="10"/>
        <color rgb="FF1F1F1F"/>
        <rFont val="Times New Roman"/>
        <family val="1"/>
      </rPr>
      <t xml:space="preserve"> 100% </t>
    </r>
    <r>
      <rPr>
        <sz val="10"/>
        <color rgb="FF1F1F1F"/>
        <rFont val="나눔고딕"/>
        <family val="3"/>
        <charset val="129"/>
      </rPr>
      <t>완화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통제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항목</t>
    </r>
    <r>
      <rPr>
        <sz val="10"/>
        <color rgb="FF1F1F1F"/>
        <rFont val="Times New Roman"/>
        <family val="1"/>
      </rPr>
      <t xml:space="preserve">(Control) </t>
    </r>
    <r>
      <rPr>
        <sz val="10"/>
        <color rgb="FF1F1F1F"/>
        <rFont val="나눔고딕"/>
        <family val="3"/>
        <charset val="129"/>
      </rPr>
      <t>수립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TSR/HW/SW </t>
    </r>
    <r>
      <rPr>
        <sz val="10"/>
        <color rgb="FF1F1F1F"/>
        <rFont val="나눔고딕"/>
        <family val="3"/>
        <charset val="129"/>
      </rPr>
      <t>요구사항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할당</t>
    </r>
  </si>
  <si>
    <r>
      <t xml:space="preserve">2.5. TARA </t>
    </r>
    <r>
      <rPr>
        <sz val="10"/>
        <color rgb="FF1F1F1F"/>
        <rFont val="나눔고딕"/>
        <family val="3"/>
        <charset val="129"/>
      </rPr>
      <t>피드백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루프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OEM </t>
    </r>
    <r>
      <rPr>
        <sz val="10"/>
        <color rgb="FF1F1F1F"/>
        <rFont val="나눔고딕"/>
        <family val="3"/>
        <charset val="129"/>
      </rPr>
      <t>리포팅</t>
    </r>
  </si>
  <si>
    <r>
      <t>Tier 1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미시적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분석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결과를</t>
    </r>
    <r>
      <rPr>
        <sz val="10"/>
        <color rgb="FF1F1F1F"/>
        <rFont val="Times New Roman"/>
        <family val="1"/>
      </rPr>
      <t xml:space="preserve"> OEM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상위</t>
    </r>
    <r>
      <rPr>
        <sz val="10"/>
        <color rgb="FF1F1F1F"/>
        <rFont val="Times New Roman"/>
        <family val="1"/>
      </rPr>
      <t xml:space="preserve"> TARA </t>
    </r>
    <r>
      <rPr>
        <sz val="10"/>
        <color rgb="FF1F1F1F"/>
        <rFont val="나눔고딕"/>
        <family val="3"/>
        <charset val="129"/>
      </rPr>
      <t>가정</t>
    </r>
    <r>
      <rPr>
        <sz val="10"/>
        <color rgb="FF1F1F1F"/>
        <rFont val="Times New Roman"/>
        <family val="1"/>
      </rPr>
      <t>(Assumptions)</t>
    </r>
    <r>
      <rPr>
        <sz val="10"/>
        <color rgb="FF1F1F1F"/>
        <rFont val="나눔고딕"/>
        <family val="3"/>
        <charset val="129"/>
      </rPr>
      <t>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검증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공유</t>
    </r>
  </si>
  <si>
    <r>
      <t xml:space="preserve">OEM </t>
    </r>
    <r>
      <rPr>
        <sz val="10"/>
        <color rgb="FF1F1F1F"/>
        <rFont val="나눔고딕"/>
        <family val="3"/>
        <charset val="129"/>
      </rPr>
      <t>상위</t>
    </r>
    <r>
      <rPr>
        <sz val="10"/>
        <color rgb="FF1F1F1F"/>
        <rFont val="Times New Roman"/>
        <family val="1"/>
      </rPr>
      <t xml:space="preserve"> TARA</t>
    </r>
    <r>
      <rPr>
        <sz val="10"/>
        <color rgb="FF1F1F1F"/>
        <rFont val="나눔고딕"/>
        <family val="3"/>
        <charset val="129"/>
      </rPr>
      <t>와</t>
    </r>
    <r>
      <rPr>
        <sz val="10"/>
        <color rgb="FF1F1F1F"/>
        <rFont val="Times New Roman"/>
        <family val="1"/>
      </rPr>
      <t xml:space="preserve"> Tier 1 </t>
    </r>
    <r>
      <rPr>
        <sz val="10"/>
        <color rgb="FF1F1F1F"/>
        <rFont val="나눔고딕"/>
        <family val="3"/>
        <charset val="129"/>
      </rPr>
      <t>미시</t>
    </r>
    <r>
      <rPr>
        <sz val="10"/>
        <color rgb="FF1F1F1F"/>
        <rFont val="Times New Roman"/>
        <family val="1"/>
      </rPr>
      <t xml:space="preserve"> TARA </t>
    </r>
    <r>
      <rPr>
        <sz val="10"/>
        <color rgb="FF1F1F1F"/>
        <rFont val="나눔고딕"/>
        <family val="3"/>
        <charset val="129"/>
      </rPr>
      <t>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정합성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확보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책무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명확화</t>
    </r>
  </si>
  <si>
    <r>
      <t xml:space="preserve">• OEM TARA </t>
    </r>
    <r>
      <rPr>
        <sz val="10"/>
        <color rgb="FF1F1F1F"/>
        <rFont val="나눔고딕"/>
        <family val="3"/>
        <charset val="129"/>
      </rPr>
      <t>내</t>
    </r>
    <r>
      <rPr>
        <sz val="10"/>
        <color rgb="FF1F1F1F"/>
        <rFont val="Times New Roman"/>
        <family val="1"/>
      </rPr>
      <t xml:space="preserve"> ECU </t>
    </r>
    <r>
      <rPr>
        <sz val="10"/>
        <color rgb="FF1F1F1F"/>
        <rFont val="나눔고딕"/>
        <family val="3"/>
        <charset val="129"/>
      </rPr>
      <t>관련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가정사항</t>
    </r>
    <r>
      <rPr>
        <sz val="10"/>
        <color rgb="FF1F1F1F"/>
        <rFont val="Times New Roman"/>
        <family val="1"/>
      </rPr>
      <t xml:space="preserve">(Assumption) </t>
    </r>
    <r>
      <rPr>
        <sz val="10"/>
        <color rgb="FF1F1F1F"/>
        <rFont val="나눔고딕"/>
        <family val="3"/>
        <charset val="129"/>
      </rPr>
      <t xml:space="preserve">검증
</t>
    </r>
    <r>
      <rPr>
        <sz val="10"/>
        <color rgb="FF1F1F1F"/>
        <rFont val="Times New Roman"/>
        <family val="1"/>
      </rPr>
      <t xml:space="preserve">• OEM TARA </t>
    </r>
    <r>
      <rPr>
        <sz val="10"/>
        <color rgb="FF1F1F1F"/>
        <rFont val="나눔고딕"/>
        <family val="3"/>
        <charset val="129"/>
      </rPr>
      <t>수용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범위를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벗어난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컴포넌트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잔여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위험을</t>
    </r>
    <r>
      <rPr>
        <sz val="10"/>
        <color rgb="FF1F1F1F"/>
        <rFont val="Times New Roman"/>
        <family val="1"/>
      </rPr>
      <t xml:space="preserve"> OEM</t>
    </r>
    <r>
      <rPr>
        <sz val="10"/>
        <color rgb="FF1F1F1F"/>
        <rFont val="나눔고딕"/>
        <family val="3"/>
        <charset val="129"/>
      </rPr>
      <t>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서명</t>
    </r>
    <r>
      <rPr>
        <sz val="10"/>
        <color rgb="FF1F1F1F"/>
        <rFont val="Times New Roman"/>
        <family val="1"/>
      </rPr>
      <t xml:space="preserve">(Sign-off) </t>
    </r>
    <r>
      <rPr>
        <sz val="10"/>
        <color rgb="FF1F1F1F"/>
        <rFont val="나눔고딕"/>
        <family val="3"/>
        <charset val="129"/>
      </rPr>
      <t xml:space="preserve">유도
</t>
    </r>
    <r>
      <rPr>
        <sz val="10"/>
        <color rgb="FF1F1F1F"/>
        <rFont val="Times New Roman"/>
        <family val="1"/>
      </rPr>
      <t xml:space="preserve">• CIA(Security Interface Agreement) </t>
    </r>
    <r>
      <rPr>
        <sz val="10"/>
        <color rgb="FF1F1F1F"/>
        <rFont val="나눔고딕"/>
        <family val="3"/>
        <charset val="129"/>
      </rPr>
      <t>업데이트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반영</t>
    </r>
    <phoneticPr fontId="2" type="noConversion"/>
  </si>
  <si>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단계의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핵심은</t>
    </r>
    <r>
      <rPr>
        <sz val="10"/>
        <color theme="1"/>
        <rFont val="Times New Roman"/>
        <family val="1"/>
      </rPr>
      <t xml:space="preserve"> "OEM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하달한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요구사항</t>
    </r>
    <r>
      <rPr>
        <sz val="10"/>
        <color theme="1"/>
        <rFont val="Times New Roman"/>
        <family val="1"/>
      </rPr>
      <t xml:space="preserve">(TSR)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Tier 1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수립한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컨셉</t>
    </r>
    <r>
      <rPr>
        <sz val="10"/>
        <color theme="1"/>
        <rFont val="Times New Roman"/>
        <family val="1"/>
      </rPr>
      <t>(TCC)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실제로</t>
    </r>
    <r>
      <rPr>
        <sz val="10"/>
        <color theme="1"/>
        <rFont val="Times New Roman"/>
        <family val="1"/>
      </rPr>
      <t xml:space="preserve"> SW </t>
    </r>
    <r>
      <rPr>
        <sz val="10"/>
        <color theme="1"/>
        <rFont val="나눔고딕"/>
        <family val="3"/>
        <charset val="129"/>
      </rPr>
      <t>코드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HW </t>
    </r>
    <r>
      <rPr>
        <sz val="10"/>
        <color theme="1"/>
        <rFont val="나눔고딕"/>
        <family val="3"/>
        <charset val="129"/>
      </rPr>
      <t>단품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상에서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허점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없이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구현되었는지를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코드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수준부터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물리적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논리적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모의침투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레벨까지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종합적으로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입증하는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것</t>
    </r>
    <r>
      <rPr>
        <sz val="10"/>
        <color theme="1"/>
        <rFont val="Times New Roman"/>
        <family val="1"/>
      </rPr>
      <t>"</t>
    </r>
    <r>
      <rPr>
        <sz val="10"/>
        <color theme="1"/>
        <rFont val="나눔고딕"/>
        <family val="3"/>
        <charset val="129"/>
      </rPr>
      <t>입니다</t>
    </r>
    <r>
      <rPr>
        <sz val="10"/>
        <color theme="1"/>
        <rFont val="Times New Roman"/>
        <family val="1"/>
      </rPr>
      <t xml:space="preserve">. (ISO/SAE 21434 Clause 11 </t>
    </r>
    <r>
      <rPr>
        <sz val="10"/>
        <color theme="1"/>
        <rFont val="나눔고딕"/>
        <family val="3"/>
        <charset val="129"/>
      </rPr>
      <t>관련</t>
    </r>
    <r>
      <rPr>
        <sz val="10"/>
        <color theme="1"/>
        <rFont val="Times New Roman"/>
        <family val="1"/>
      </rPr>
      <t>)</t>
    </r>
  </si>
  <si>
    <r>
      <t xml:space="preserve">3.1. </t>
    </r>
    <r>
      <rPr>
        <sz val="10"/>
        <color rgb="FF1F1F1F"/>
        <rFont val="나눔고딕"/>
        <family val="3"/>
        <charset val="129"/>
      </rPr>
      <t>정적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동적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코드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분석</t>
    </r>
    <r>
      <rPr>
        <sz val="10"/>
        <color rgb="FF1F1F1F"/>
        <rFont val="Times New Roman"/>
        <family val="1"/>
      </rPr>
      <t xml:space="preserve"> (SAST/DAST)</t>
    </r>
  </si>
  <si>
    <r>
      <rPr>
        <sz val="10"/>
        <color rgb="FF1F1F1F"/>
        <rFont val="나눔고딕"/>
        <family val="3"/>
        <charset val="129"/>
      </rPr>
      <t>소스코드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단계의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코딩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컨벤션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위반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메모리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암호화</t>
    </r>
    <r>
      <rPr>
        <sz val="10"/>
        <color rgb="FF1F1F1F"/>
        <rFont val="Times New Roman"/>
        <family val="1"/>
      </rPr>
      <t xml:space="preserve"> API </t>
    </r>
    <r>
      <rPr>
        <sz val="10"/>
        <color rgb="FF1F1F1F"/>
        <rFont val="나눔고딕"/>
        <family val="3"/>
        <charset val="129"/>
      </rPr>
      <t>오용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구현상의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결함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식별</t>
    </r>
  </si>
  <si>
    <r>
      <t xml:space="preserve">MISRA C:2012/CERT C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규칙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준수율</t>
    </r>
    <r>
      <rPr>
        <sz val="10"/>
        <color rgb="FF1F1F1F"/>
        <rFont val="Times New Roman"/>
        <family val="1"/>
      </rPr>
      <t xml:space="preserve"> 100% </t>
    </r>
    <r>
      <rPr>
        <sz val="10"/>
        <color rgb="FF1F1F1F"/>
        <rFont val="나눔고딕"/>
        <family val="3"/>
        <charset val="129"/>
      </rPr>
      <t>달성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Critical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 xml:space="preserve"> Zero</t>
    </r>
    <r>
      <rPr>
        <sz val="10"/>
        <color rgb="FF1F1F1F"/>
        <rFont val="나눔고딕"/>
        <family val="3"/>
        <charset val="129"/>
      </rPr>
      <t>화</t>
    </r>
  </si>
  <si>
    <r>
      <t xml:space="preserve">• SAST </t>
    </r>
    <r>
      <rPr>
        <sz val="10"/>
        <color rgb="FF1F1F1F"/>
        <rFont val="나눔고딕"/>
        <family val="3"/>
        <charset val="129"/>
      </rPr>
      <t>도구</t>
    </r>
    <r>
      <rPr>
        <sz val="10"/>
        <color rgb="FF1F1F1F"/>
        <rFont val="Times New Roman"/>
        <family val="1"/>
      </rPr>
      <t xml:space="preserve">(Coverity, QAC, Klocwork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) </t>
    </r>
    <r>
      <rPr>
        <sz val="10"/>
        <color rgb="FF1F1F1F"/>
        <rFont val="나눔고딕"/>
        <family val="3"/>
        <charset val="129"/>
      </rPr>
      <t>기반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코딩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규칙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분석
</t>
    </r>
    <r>
      <rPr>
        <sz val="10"/>
        <color rgb="FF1F1F1F"/>
        <rFont val="Times New Roman"/>
        <family val="1"/>
      </rPr>
      <t>• DAST/</t>
    </r>
    <r>
      <rPr>
        <sz val="10"/>
        <color rgb="FF1F1F1F"/>
        <rFont val="나눔고딕"/>
        <family val="3"/>
        <charset val="129"/>
      </rPr>
      <t>메모리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분석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도구를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통한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런타임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메모리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누수</t>
    </r>
    <r>
      <rPr>
        <sz val="10"/>
        <color rgb="FF1F1F1F"/>
        <rFont val="Times New Roman"/>
        <family val="1"/>
      </rPr>
      <t xml:space="preserve">, Buffer Overflow, Stack Smashing </t>
    </r>
    <r>
      <rPr>
        <sz val="10"/>
        <color rgb="FF1F1F1F"/>
        <rFont val="나눔고딕"/>
        <family val="3"/>
        <charset val="129"/>
      </rPr>
      <t xml:space="preserve">검증
</t>
    </r>
    <r>
      <rPr>
        <sz val="10"/>
        <color rgb="FF1F1F1F"/>
        <rFont val="Times New Roman"/>
        <family val="1"/>
      </rPr>
      <t xml:space="preserve">• Secure Coding Guidelines </t>
    </r>
    <r>
      <rPr>
        <sz val="10"/>
        <color rgb="FF1F1F1F"/>
        <rFont val="나눔고딕"/>
        <family val="3"/>
        <charset val="129"/>
      </rPr>
      <t>적용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검증</t>
    </r>
    <phoneticPr fontId="2" type="noConversion"/>
  </si>
  <si>
    <r>
      <t xml:space="preserve">3.2.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스캐닝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Known Vulnerability </t>
    </r>
    <r>
      <rPr>
        <sz val="10"/>
        <color rgb="FF1F1F1F"/>
        <rFont val="나눔고딕"/>
        <family val="3"/>
        <charset val="129"/>
      </rPr>
      <t>검증</t>
    </r>
  </si>
  <si>
    <r>
      <rPr>
        <sz val="10"/>
        <color rgb="FF1F1F1F"/>
        <rFont val="나눔고딕"/>
        <family val="3"/>
        <charset val="129"/>
      </rPr>
      <t>컴포넌트에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포함된</t>
    </r>
    <r>
      <rPr>
        <sz val="10"/>
        <color rgb="FF1F1F1F"/>
        <rFont val="Times New Roman"/>
        <family val="1"/>
      </rPr>
      <t xml:space="preserve"> OS, AUTOSAR BSW, </t>
    </r>
    <r>
      <rPr>
        <sz val="10"/>
        <color rgb="FF1F1F1F"/>
        <rFont val="나눔고딕"/>
        <family val="3"/>
        <charset val="129"/>
      </rPr>
      <t>제</t>
    </r>
    <r>
      <rPr>
        <sz val="10"/>
        <color rgb="FF1F1F1F"/>
        <rFont val="Times New Roman"/>
        <family val="1"/>
      </rPr>
      <t>3</t>
    </r>
    <r>
      <rPr>
        <sz val="10"/>
        <color rgb="FF1F1F1F"/>
        <rFont val="나눔고딕"/>
        <family val="3"/>
        <charset val="129"/>
      </rPr>
      <t>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라이브러리의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 xml:space="preserve">(CVE) </t>
    </r>
    <r>
      <rPr>
        <sz val="10"/>
        <color rgb="FF1F1F1F"/>
        <rFont val="나눔고딕"/>
        <family val="3"/>
        <charset val="129"/>
      </rPr>
      <t>탐지</t>
    </r>
  </si>
  <si>
    <r>
      <t xml:space="preserve">Known Vulnerability (CVE) </t>
    </r>
    <r>
      <rPr>
        <sz val="10"/>
        <color rgb="FF1F1F1F"/>
        <rFont val="나눔고딕"/>
        <family val="3"/>
        <charset val="129"/>
      </rPr>
      <t>미해결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건수</t>
    </r>
    <r>
      <rPr>
        <sz val="10"/>
        <color rgb="FF1F1F1F"/>
        <rFont val="Times New Roman"/>
        <family val="1"/>
      </rPr>
      <t xml:space="preserve"> Zero </t>
    </r>
    <r>
      <rPr>
        <sz val="10"/>
        <color rgb="FF1F1F1F"/>
        <rFont val="나눔고딕"/>
        <family val="3"/>
        <charset val="129"/>
      </rPr>
      <t>달성</t>
    </r>
  </si>
  <si>
    <r>
      <t xml:space="preserve">• SW </t>
    </r>
    <r>
      <rPr>
        <sz val="10"/>
        <color rgb="FF1F1F1F"/>
        <rFont val="나눔고딕"/>
        <family val="3"/>
        <charset val="129"/>
      </rPr>
      <t>바이너리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소스코드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스캐닝</t>
    </r>
    <r>
      <rPr>
        <sz val="10"/>
        <color rgb="FF1F1F1F"/>
        <rFont val="Times New Roman"/>
        <family val="1"/>
      </rPr>
      <t xml:space="preserve">(CVE DB </t>
    </r>
    <r>
      <rPr>
        <sz val="10"/>
        <color rgb="FF1F1F1F"/>
        <rFont val="나눔고딕"/>
        <family val="3"/>
        <charset val="129"/>
      </rPr>
      <t>연동</t>
    </r>
    <r>
      <rPr>
        <sz val="10"/>
        <color rgb="FF1F1F1F"/>
        <rFont val="Times New Roman"/>
        <family val="1"/>
      </rPr>
      <t xml:space="preserve">)
• </t>
    </r>
    <r>
      <rPr>
        <sz val="10"/>
        <color rgb="FF1F1F1F"/>
        <rFont val="나눔고딕"/>
        <family val="3"/>
        <charset val="129"/>
      </rPr>
      <t>발견된</t>
    </r>
    <r>
      <rPr>
        <sz val="10"/>
        <color rgb="FF1F1F1F"/>
        <rFont val="Times New Roman"/>
        <family val="1"/>
      </rPr>
      <t xml:space="preserve"> CVE</t>
    </r>
    <r>
      <rPr>
        <sz val="10"/>
        <color rgb="FF1F1F1F"/>
        <rFont val="나눔고딕"/>
        <family val="3"/>
        <charset val="129"/>
      </rPr>
      <t>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대한</t>
    </r>
    <r>
      <rPr>
        <sz val="10"/>
        <color rgb="FF1F1F1F"/>
        <rFont val="Times New Roman"/>
        <family val="1"/>
      </rPr>
      <t xml:space="preserve"> CVSS Score </t>
    </r>
    <r>
      <rPr>
        <sz val="10"/>
        <color rgb="FF1F1F1F"/>
        <rFont val="나눔고딕"/>
        <family val="3"/>
        <charset val="129"/>
      </rPr>
      <t>평가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영향도</t>
    </r>
    <r>
      <rPr>
        <sz val="10"/>
        <color rgb="FF1F1F1F"/>
        <rFont val="Times New Roman"/>
        <family val="1"/>
      </rPr>
      <t xml:space="preserve">(Exploitability) </t>
    </r>
    <r>
      <rPr>
        <sz val="10"/>
        <color rgb="FF1F1F1F"/>
        <rFont val="나눔고딕"/>
        <family val="3"/>
        <charset val="129"/>
      </rPr>
      <t xml:space="preserve">분석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필요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패치</t>
    </r>
    <r>
      <rPr>
        <sz val="10"/>
        <color rgb="FF1F1F1F"/>
        <rFont val="Times New Roman"/>
        <family val="1"/>
      </rPr>
      <t xml:space="preserve">(Hotfix) </t>
    </r>
    <r>
      <rPr>
        <sz val="10"/>
        <color rgb="FF1F1F1F"/>
        <rFont val="나눔고딕"/>
        <family val="3"/>
        <charset val="129"/>
      </rPr>
      <t>적용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또는</t>
    </r>
    <r>
      <rPr>
        <sz val="10"/>
        <color rgb="FF1F1F1F"/>
        <rFont val="Times New Roman"/>
        <family val="1"/>
      </rPr>
      <t xml:space="preserve"> Mitigation </t>
    </r>
    <r>
      <rPr>
        <sz val="10"/>
        <color rgb="FF1F1F1F"/>
        <rFont val="나눔고딕"/>
        <family val="3"/>
        <charset val="129"/>
      </rPr>
      <t>수립</t>
    </r>
    <phoneticPr fontId="2" type="noConversion"/>
  </si>
  <si>
    <r>
      <t xml:space="preserve">3.3. </t>
    </r>
    <r>
      <rPr>
        <sz val="10"/>
        <color rgb="FF1F1F1F"/>
        <rFont val="나눔고딕"/>
        <family val="3"/>
        <charset val="129"/>
      </rPr>
      <t>프로토콜</t>
    </r>
    <r>
      <rPr>
        <sz val="10"/>
        <color rgb="FF1F1F1F"/>
        <rFont val="Times New Roman"/>
        <family val="1"/>
      </rPr>
      <t xml:space="preserve"> &amp; </t>
    </r>
    <r>
      <rPr>
        <sz val="10"/>
        <color rgb="FF1F1F1F"/>
        <rFont val="나눔고딕"/>
        <family val="3"/>
        <charset val="129"/>
      </rPr>
      <t>인터페이스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퍼징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테스트</t>
    </r>
    <r>
      <rPr>
        <sz val="10"/>
        <color rgb="FF1F1F1F"/>
        <rFont val="Times New Roman"/>
        <family val="1"/>
      </rPr>
      <t xml:space="preserve"> (Fuzzing)</t>
    </r>
  </si>
  <si>
    <r>
      <rPr>
        <sz val="10"/>
        <color rgb="FF1F1F1F"/>
        <rFont val="나눔고딕"/>
        <family val="3"/>
        <charset val="129"/>
      </rPr>
      <t>무작위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변형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데이터</t>
    </r>
    <r>
      <rPr>
        <sz val="10"/>
        <color rgb="FF1F1F1F"/>
        <rFont val="Times New Roman"/>
        <family val="1"/>
      </rPr>
      <t xml:space="preserve">(Malformed Data) </t>
    </r>
    <r>
      <rPr>
        <sz val="10"/>
        <color rgb="FF1F1F1F"/>
        <rFont val="나눔고딕"/>
        <family val="3"/>
        <charset val="129"/>
      </rPr>
      <t>투입을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통해</t>
    </r>
    <r>
      <rPr>
        <sz val="10"/>
        <color rgb="FF1F1F1F"/>
        <rFont val="Times New Roman"/>
        <family val="1"/>
      </rPr>
      <t xml:space="preserve"> ECU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예외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처리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견고성</t>
    </r>
    <r>
      <rPr>
        <sz val="10"/>
        <color rgb="FF1F1F1F"/>
        <rFont val="Times New Roman"/>
        <family val="1"/>
      </rPr>
      <t xml:space="preserve">(Robustness) </t>
    </r>
    <r>
      <rPr>
        <sz val="10"/>
        <color rgb="FF1F1F1F"/>
        <rFont val="나눔고딕"/>
        <family val="3"/>
        <charset val="129"/>
      </rPr>
      <t>검증</t>
    </r>
  </si>
  <si>
    <r>
      <rPr>
        <sz val="10"/>
        <color rgb="FF1F1F1F"/>
        <rFont val="나눔고딕"/>
        <family val="3"/>
        <charset val="129"/>
      </rPr>
      <t>프로토콜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스택별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무제한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입력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조건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리셋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크래시</t>
    </r>
    <r>
      <rPr>
        <sz val="10"/>
        <color rgb="FF1F1F1F"/>
        <rFont val="Times New Roman"/>
        <family val="1"/>
      </rPr>
      <t xml:space="preserve">(Crash) </t>
    </r>
    <r>
      <rPr>
        <sz val="10"/>
        <color rgb="FF1F1F1F"/>
        <rFont val="나눔고딕"/>
        <family val="3"/>
        <charset val="129"/>
      </rPr>
      <t>방지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입증</t>
    </r>
  </si>
  <si>
    <r>
      <t xml:space="preserve">3.4. ECU </t>
    </r>
    <r>
      <rPr>
        <sz val="10"/>
        <color rgb="FF1F1F1F"/>
        <rFont val="나눔고딕"/>
        <family val="3"/>
        <charset val="129"/>
      </rPr>
      <t>단품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모의침투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테스트</t>
    </r>
    <r>
      <rPr>
        <sz val="10"/>
        <color rgb="FF1F1F1F"/>
        <rFont val="Times New Roman"/>
        <family val="1"/>
      </rPr>
      <t xml:space="preserve"> (Penetration Testing)</t>
    </r>
  </si>
  <si>
    <r>
      <rPr>
        <sz val="10"/>
        <color rgb="FF1F1F1F"/>
        <rFont val="나눔고딕"/>
        <family val="3"/>
        <charset val="129"/>
      </rPr>
      <t>공격자의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관점에서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물리적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논리적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시나리오를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실행하여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컴포넌트의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방어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성능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최종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검증</t>
    </r>
  </si>
  <si>
    <r>
      <t xml:space="preserve">OEM </t>
    </r>
    <r>
      <rPr>
        <sz val="10"/>
        <color rgb="FF1F1F1F"/>
        <rFont val="나눔고딕"/>
        <family val="3"/>
        <charset val="129"/>
      </rPr>
      <t>하달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요구사항</t>
    </r>
    <r>
      <rPr>
        <sz val="10"/>
        <color rgb="FF1F1F1F"/>
        <rFont val="Times New Roman"/>
        <family val="1"/>
      </rPr>
      <t xml:space="preserve">(TSR) </t>
    </r>
    <r>
      <rPr>
        <sz val="10"/>
        <color rgb="FF1F1F1F"/>
        <rFont val="나눔고딕"/>
        <family val="3"/>
        <charset val="129"/>
      </rPr>
      <t>누수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우회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경로</t>
    </r>
    <r>
      <rPr>
        <sz val="10"/>
        <color rgb="FF1F1F1F"/>
        <rFont val="Times New Roman"/>
        <family val="1"/>
      </rPr>
      <t xml:space="preserve">(Bypass) </t>
    </r>
    <r>
      <rPr>
        <sz val="10"/>
        <color rgb="FF1F1F1F"/>
        <rFont val="나눔고딕"/>
        <family val="3"/>
        <charset val="129"/>
      </rPr>
      <t>부재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입증</t>
    </r>
  </si>
  <si>
    <r>
      <t xml:space="preserve">3.5. </t>
    </r>
    <r>
      <rPr>
        <sz val="10"/>
        <color rgb="FF1F1F1F"/>
        <rFont val="나눔고딕"/>
        <family val="3"/>
        <charset val="129"/>
      </rPr>
      <t>종합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검증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리포팅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OEM </t>
    </r>
    <r>
      <rPr>
        <sz val="10"/>
        <color rgb="FF1F1F1F"/>
        <rFont val="나눔고딕"/>
        <family val="3"/>
        <charset val="129"/>
      </rPr>
      <t>타당성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입증</t>
    </r>
  </si>
  <si>
    <r>
      <rPr>
        <sz val="10"/>
        <color rgb="FF1F1F1F"/>
        <rFont val="나눔고딕"/>
        <family val="3"/>
        <charset val="129"/>
      </rPr>
      <t>정적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동적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퍼징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모의침투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결과를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종합하여</t>
    </r>
    <r>
      <rPr>
        <sz val="10"/>
        <color rgb="FF1F1F1F"/>
        <rFont val="Times New Roman"/>
        <family val="1"/>
      </rPr>
      <t xml:space="preserve"> OEM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타당성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검증</t>
    </r>
    <r>
      <rPr>
        <sz val="10"/>
        <color rgb="FF1F1F1F"/>
        <rFont val="Times New Roman"/>
        <family val="1"/>
      </rPr>
      <t xml:space="preserve">(Validation) </t>
    </r>
    <r>
      <rPr>
        <sz val="10"/>
        <color rgb="FF1F1F1F"/>
        <rFont val="나눔고딕"/>
        <family val="3"/>
        <charset val="129"/>
      </rPr>
      <t>수용성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확보</t>
    </r>
  </si>
  <si>
    <r>
      <t xml:space="preserve">ISO 21434 Clause 11 </t>
    </r>
    <r>
      <rPr>
        <sz val="10"/>
        <color rgb="FF1F1F1F"/>
        <rFont val="나눔고딕"/>
        <family val="3"/>
        <charset val="129"/>
      </rPr>
      <t>심사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OEM </t>
    </r>
    <r>
      <rPr>
        <sz val="10"/>
        <color rgb="FF1F1F1F"/>
        <rFont val="나눔고딕"/>
        <family val="3"/>
        <charset val="129"/>
      </rPr>
      <t>서명</t>
    </r>
    <r>
      <rPr>
        <sz val="10"/>
        <color rgb="FF1F1F1F"/>
        <rFont val="Times New Roman"/>
        <family val="1"/>
      </rPr>
      <t xml:space="preserve">(Sign-off) </t>
    </r>
    <r>
      <rPr>
        <sz val="10"/>
        <color rgb="FF1F1F1F"/>
        <rFont val="나눔고딕"/>
        <family val="3"/>
        <charset val="129"/>
      </rPr>
      <t>획득</t>
    </r>
  </si>
  <si>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단계의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핵심은</t>
    </r>
    <r>
      <rPr>
        <sz val="10"/>
        <color theme="1"/>
        <rFont val="Times New Roman"/>
        <family val="1"/>
      </rPr>
      <t xml:space="preserve"> "</t>
    </r>
    <r>
      <rPr>
        <sz val="10"/>
        <color theme="1"/>
        <rFont val="나눔고딕"/>
        <family val="3"/>
        <charset val="129"/>
      </rPr>
      <t>양산</t>
    </r>
    <r>
      <rPr>
        <sz val="10"/>
        <color theme="1"/>
        <rFont val="Times New Roman"/>
        <family val="1"/>
      </rPr>
      <t xml:space="preserve">(SOP) </t>
    </r>
    <r>
      <rPr>
        <sz val="10"/>
        <color theme="1"/>
        <rFont val="나눔고딕"/>
        <family val="3"/>
        <charset val="129"/>
      </rPr>
      <t>이후에도</t>
    </r>
    <r>
      <rPr>
        <sz val="10"/>
        <color theme="1"/>
        <rFont val="Times New Roman"/>
        <family val="1"/>
      </rPr>
      <t xml:space="preserve"> ECU</t>
    </r>
    <r>
      <rPr>
        <sz val="10"/>
        <color theme="1"/>
        <rFont val="나눔고딕"/>
        <family val="3"/>
        <charset val="129"/>
      </rPr>
      <t>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탑재된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모든</t>
    </r>
    <r>
      <rPr>
        <sz val="10"/>
        <color theme="1"/>
        <rFont val="Times New Roman"/>
        <family val="1"/>
      </rPr>
      <t xml:space="preserve"> SW </t>
    </r>
    <r>
      <rPr>
        <sz val="10"/>
        <color theme="1"/>
        <rFont val="나눔고딕"/>
        <family val="3"/>
        <charset val="129"/>
      </rPr>
      <t>요소의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투명성을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확보하고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신규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취약점</t>
    </r>
    <r>
      <rPr>
        <sz val="10"/>
        <color theme="1"/>
        <rFont val="Times New Roman"/>
        <family val="1"/>
      </rPr>
      <t xml:space="preserve">(CVE) </t>
    </r>
    <r>
      <rPr>
        <sz val="10"/>
        <color theme="1"/>
        <rFont val="나눔고딕"/>
        <family val="3"/>
        <charset val="129"/>
      </rPr>
      <t>감지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</t>
    </r>
    <r>
      <rPr>
        <sz val="10"/>
        <color theme="1"/>
        <rFont val="Times New Roman"/>
        <family val="1"/>
      </rPr>
      <t xml:space="preserve"> OEM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공급망과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연계하여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즉각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패치</t>
    </r>
    <r>
      <rPr>
        <sz val="10"/>
        <color theme="1"/>
        <rFont val="Times New Roman"/>
        <family val="1"/>
      </rPr>
      <t>·</t>
    </r>
    <r>
      <rPr>
        <sz val="10"/>
        <color theme="1"/>
        <rFont val="나눔고딕"/>
        <family val="3"/>
        <charset val="129"/>
      </rPr>
      <t>대응할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있는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체계를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정착시키는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것</t>
    </r>
    <r>
      <rPr>
        <sz val="10"/>
        <color theme="1"/>
        <rFont val="Times New Roman"/>
        <family val="1"/>
      </rPr>
      <t>"</t>
    </r>
    <r>
      <rPr>
        <sz val="10"/>
        <color theme="1"/>
        <rFont val="나눔고딕"/>
        <family val="3"/>
        <charset val="129"/>
      </rPr>
      <t>입니다</t>
    </r>
    <r>
      <rPr>
        <sz val="10"/>
        <color theme="1"/>
        <rFont val="Times New Roman"/>
        <family val="1"/>
      </rPr>
      <t xml:space="preserve">. (ISO/SAE 21434 Clause 8 </t>
    </r>
    <r>
      <rPr>
        <sz val="10"/>
        <color theme="1"/>
        <rFont val="나눔고딕"/>
        <family val="3"/>
        <charset val="129"/>
      </rPr>
      <t>지속적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사이버보안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활동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Clause 12 </t>
    </r>
    <r>
      <rPr>
        <sz val="10"/>
        <color theme="1"/>
        <rFont val="나눔고딕"/>
        <family val="3"/>
        <charset val="129"/>
      </rPr>
      <t>사후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개발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관련</t>
    </r>
    <r>
      <rPr>
        <sz val="10"/>
        <color theme="1"/>
        <rFont val="Times New Roman"/>
        <family val="1"/>
      </rPr>
      <t>)</t>
    </r>
  </si>
  <si>
    <r>
      <t xml:space="preserve">4.1. SBOM </t>
    </r>
    <r>
      <rPr>
        <sz val="10"/>
        <color rgb="FF1F1F1F"/>
        <rFont val="나눔고딕"/>
        <family val="3"/>
        <charset val="129"/>
      </rPr>
      <t>수립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관리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자동화</t>
    </r>
  </si>
  <si>
    <r>
      <t>ECU SW(</t>
    </r>
    <r>
      <rPr>
        <sz val="10"/>
        <color rgb="FF1F1F1F"/>
        <rFont val="나눔고딕"/>
        <family val="3"/>
        <charset val="129"/>
      </rPr>
      <t>오픈소스</t>
    </r>
    <r>
      <rPr>
        <sz val="10"/>
        <color rgb="FF1F1F1F"/>
        <rFont val="Times New Roman"/>
        <family val="1"/>
      </rPr>
      <t xml:space="preserve">, AUTOSAR BSW, 3rd Party, </t>
    </r>
    <r>
      <rPr>
        <sz val="10"/>
        <color rgb="FF1F1F1F"/>
        <rFont val="나눔고딕"/>
        <family val="3"/>
        <charset val="129"/>
      </rPr>
      <t>자체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개발</t>
    </r>
    <r>
      <rPr>
        <sz val="10"/>
        <color rgb="FF1F1F1F"/>
        <rFont val="Times New Roman"/>
        <family val="1"/>
      </rPr>
      <t xml:space="preserve"> SW) </t>
    </r>
    <r>
      <rPr>
        <sz val="10"/>
        <color rgb="FF1F1F1F"/>
        <rFont val="나눔고딕"/>
        <family val="3"/>
        <charset val="129"/>
      </rPr>
      <t>구성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요소의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출처와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의존관계를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투명하게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관리</t>
    </r>
  </si>
  <si>
    <r>
      <rPr>
        <sz val="10"/>
        <color rgb="FF1F1F1F"/>
        <rFont val="나눔고딕"/>
        <family val="3"/>
        <charset val="129"/>
      </rPr>
      <t>표준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규격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기반</t>
    </r>
    <r>
      <rPr>
        <sz val="10"/>
        <color rgb="FF1F1F1F"/>
        <rFont val="Times New Roman"/>
        <family val="1"/>
      </rPr>
      <t xml:space="preserve"> SBOM 100% </t>
    </r>
    <r>
      <rPr>
        <sz val="10"/>
        <color rgb="FF1F1F1F"/>
        <rFont val="나눔고딕"/>
        <family val="3"/>
        <charset val="129"/>
      </rPr>
      <t>생성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SW </t>
    </r>
    <r>
      <rPr>
        <sz val="10"/>
        <color rgb="FF1F1F1F"/>
        <rFont val="나눔고딕"/>
        <family val="3"/>
        <charset val="129"/>
      </rPr>
      <t>공급망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투명성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확보</t>
    </r>
  </si>
  <si>
    <r>
      <t xml:space="preserve">4.2. </t>
    </r>
    <r>
      <rPr>
        <sz val="10"/>
        <color rgb="FF1F1F1F"/>
        <rFont val="나눔고딕"/>
        <family val="3"/>
        <charset val="129"/>
      </rPr>
      <t>지속적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모니터링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CVE </t>
    </r>
    <r>
      <rPr>
        <sz val="10"/>
        <color rgb="FF1F1F1F"/>
        <rFont val="나눔고딕"/>
        <family val="3"/>
        <charset val="129"/>
      </rPr>
      <t>평가</t>
    </r>
  </si>
  <si>
    <r>
      <rPr>
        <sz val="10"/>
        <color rgb="FF1F1F1F"/>
        <rFont val="나눔고딕"/>
        <family val="3"/>
        <charset val="129"/>
      </rPr>
      <t>양산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출하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새롭게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발표되는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제</t>
    </r>
    <r>
      <rPr>
        <sz val="10"/>
        <color rgb="FF1F1F1F"/>
        <rFont val="Times New Roman"/>
        <family val="1"/>
      </rPr>
      <t>3</t>
    </r>
    <r>
      <rPr>
        <sz val="10"/>
        <color rgb="FF1F1F1F"/>
        <rFont val="나눔고딕"/>
        <family val="3"/>
        <charset val="129"/>
      </rPr>
      <t>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라이브러리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오픈소스의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>(CVE)</t>
    </r>
    <r>
      <rPr>
        <sz val="10"/>
        <color rgb="FF1F1F1F"/>
        <rFont val="나눔고딕"/>
        <family val="3"/>
        <charset val="129"/>
      </rPr>
      <t>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실시간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감지</t>
    </r>
  </si>
  <si>
    <r>
      <t xml:space="preserve">NVD/CVE DB </t>
    </r>
    <r>
      <rPr>
        <sz val="10"/>
        <color rgb="FF1F1F1F"/>
        <rFont val="나눔고딕"/>
        <family val="3"/>
        <charset val="129"/>
      </rPr>
      <t>기반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신규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 xml:space="preserve"> 24/7 </t>
    </r>
    <r>
      <rPr>
        <sz val="10"/>
        <color rgb="FF1F1F1F"/>
        <rFont val="나눔고딕"/>
        <family val="3"/>
        <charset val="129"/>
      </rPr>
      <t>모니터링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즉시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영향도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분석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수행</t>
    </r>
  </si>
  <si>
    <r>
      <t xml:space="preserve">4.3. PSIRT </t>
    </r>
    <r>
      <rPr>
        <sz val="10"/>
        <color rgb="FF1F1F1F"/>
        <rFont val="나눔고딕"/>
        <family val="3"/>
        <charset val="129"/>
      </rPr>
      <t>운영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체계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구축</t>
    </r>
  </si>
  <si>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침해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또는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고위험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제보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신속히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분석하고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수습하는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전담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조직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프로세스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가동</t>
    </r>
  </si>
  <si>
    <r>
      <t xml:space="preserve">ISO 21434 </t>
    </r>
    <r>
      <rPr>
        <sz val="10"/>
        <color rgb="FF1F1F1F"/>
        <rFont val="나눔고딕"/>
        <family val="3"/>
        <charset val="129"/>
      </rPr>
      <t>기준을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준수하는</t>
    </r>
    <r>
      <rPr>
        <sz val="10"/>
        <color rgb="FF1F1F1F"/>
        <rFont val="Times New Roman"/>
        <family val="1"/>
      </rPr>
      <t xml:space="preserve"> PSIRT </t>
    </r>
    <r>
      <rPr>
        <sz val="10"/>
        <color rgb="FF1F1F1F"/>
        <rFont val="나눔고딕"/>
        <family val="3"/>
        <charset val="129"/>
      </rPr>
      <t>프로세스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수립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대응</t>
    </r>
    <r>
      <rPr>
        <sz val="10"/>
        <color rgb="FF1F1F1F"/>
        <rFont val="Times New Roman"/>
        <family val="1"/>
      </rPr>
      <t xml:space="preserve"> SLA </t>
    </r>
    <r>
      <rPr>
        <sz val="10"/>
        <color rgb="FF1F1F1F"/>
        <rFont val="나눔고딕"/>
        <family val="3"/>
        <charset val="129"/>
      </rPr>
      <t>달성</t>
    </r>
  </si>
  <si>
    <r>
      <t xml:space="preserve">• PSIRT </t>
    </r>
    <r>
      <rPr>
        <sz val="10"/>
        <color rgb="FF1F1F1F"/>
        <rFont val="나눔고딕"/>
        <family val="3"/>
        <charset val="129"/>
      </rPr>
      <t>조직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정립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절차</t>
    </r>
    <r>
      <rPr>
        <sz val="10"/>
        <color rgb="FF1F1F1F"/>
        <rFont val="Times New Roman"/>
        <family val="1"/>
      </rPr>
      <t>(</t>
    </r>
    <r>
      <rPr>
        <sz val="10"/>
        <color rgb="FF1F1F1F"/>
        <rFont val="나눔고딕"/>
        <family val="3"/>
        <charset val="129"/>
      </rPr>
      <t>식별</t>
    </r>
    <r>
      <rPr>
        <sz val="10"/>
        <color rgb="FF1F1F1F"/>
        <rFont val="Times New Roman"/>
        <family val="1"/>
      </rPr>
      <t>-</t>
    </r>
    <r>
      <rPr>
        <sz val="10"/>
        <color rgb="FF1F1F1F"/>
        <rFont val="나눔고딕"/>
        <family val="3"/>
        <charset val="129"/>
      </rPr>
      <t>분석</t>
    </r>
    <r>
      <rPr>
        <sz val="10"/>
        <color rgb="FF1F1F1F"/>
        <rFont val="Times New Roman"/>
        <family val="1"/>
      </rPr>
      <t>-</t>
    </r>
    <r>
      <rPr>
        <sz val="10"/>
        <color rgb="FF1F1F1F"/>
        <rFont val="나눔고딕"/>
        <family val="3"/>
        <charset val="129"/>
      </rPr>
      <t>수습</t>
    </r>
    <r>
      <rPr>
        <sz val="10"/>
        <color rgb="FF1F1F1F"/>
        <rFont val="Times New Roman"/>
        <family val="1"/>
      </rPr>
      <t>-</t>
    </r>
    <r>
      <rPr>
        <sz val="10"/>
        <color rgb="FF1F1F1F"/>
        <rFont val="나눔고딕"/>
        <family val="3"/>
        <charset val="129"/>
      </rPr>
      <t>보고</t>
    </r>
    <r>
      <rPr>
        <sz val="10"/>
        <color rgb="FF1F1F1F"/>
        <rFont val="Times New Roman"/>
        <family val="1"/>
      </rPr>
      <t xml:space="preserve">) </t>
    </r>
    <r>
      <rPr>
        <sz val="10"/>
        <color rgb="FF1F1F1F"/>
        <rFont val="나눔고딕"/>
        <family val="3"/>
        <charset val="129"/>
      </rPr>
      <t xml:space="preserve">표준화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외부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연구원</t>
    </r>
    <r>
      <rPr>
        <sz val="10"/>
        <color rgb="FF1F1F1F"/>
        <rFont val="Times New Roman"/>
        <family val="1"/>
      </rPr>
      <t xml:space="preserve">/OEM </t>
    </r>
    <r>
      <rPr>
        <sz val="10"/>
        <color rgb="FF1F1F1F"/>
        <rFont val="나눔고딕"/>
        <family val="3"/>
        <charset val="129"/>
      </rPr>
      <t>제보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채널</t>
    </r>
    <r>
      <rPr>
        <sz val="10"/>
        <color rgb="FF1F1F1F"/>
        <rFont val="Times New Roman"/>
        <family val="1"/>
      </rPr>
      <t xml:space="preserve">(Vulnerability Disclosure Policy) </t>
    </r>
    <r>
      <rPr>
        <sz val="10"/>
        <color rgb="FF1F1F1F"/>
        <rFont val="나눔고딕"/>
        <family val="3"/>
        <charset val="129"/>
      </rPr>
      <t xml:space="preserve">운영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침해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발생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</t>
    </r>
    <r>
      <rPr>
        <sz val="10"/>
        <color rgb="FF1F1F1F"/>
        <rFont val="Times New Roman"/>
        <family val="1"/>
      </rPr>
      <t xml:space="preserve"> OEM </t>
    </r>
    <r>
      <rPr>
        <sz val="10"/>
        <color rgb="FF1F1F1F"/>
        <rFont val="나눔고딕"/>
        <family val="3"/>
        <charset val="129"/>
      </rPr>
      <t>통지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타임라인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준수</t>
    </r>
    <phoneticPr fontId="2" type="noConversion"/>
  </si>
  <si>
    <r>
      <t xml:space="preserve">4.4.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패치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개발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수명주기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관리</t>
    </r>
  </si>
  <si>
    <r>
      <rPr>
        <sz val="10"/>
        <color rgb="FF1F1F1F"/>
        <rFont val="나눔고딕"/>
        <family val="3"/>
        <charset val="129"/>
      </rPr>
      <t>식별된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취약점에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핫픽스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패치를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개발하고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무결성을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검증하여</t>
    </r>
    <r>
      <rPr>
        <sz val="10"/>
        <color rgb="FF1F1F1F"/>
        <rFont val="Times New Roman"/>
        <family val="1"/>
      </rPr>
      <t xml:space="preserve"> OEM</t>
    </r>
    <r>
      <rPr>
        <sz val="10"/>
        <color rgb="FF1F1F1F"/>
        <rFont val="나눔고딕"/>
        <family val="3"/>
        <charset val="129"/>
      </rPr>
      <t>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안정적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공급</t>
    </r>
  </si>
  <si>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패치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개발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검증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코드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서명</t>
    </r>
    <r>
      <rPr>
        <sz val="10"/>
        <color rgb="FF1F1F1F"/>
        <rFont val="Times New Roman"/>
        <family val="1"/>
      </rPr>
      <t xml:space="preserve">(Code Signing)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배포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준비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소요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최적화</t>
    </r>
  </si>
  <si>
    <r>
      <t xml:space="preserve">4.5. </t>
    </r>
    <r>
      <rPr>
        <sz val="10"/>
        <color rgb="FF1F1F1F"/>
        <rFont val="나눔고딕"/>
        <family val="3"/>
        <charset val="129"/>
      </rPr>
      <t>양산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TARA </t>
    </r>
    <r>
      <rPr>
        <sz val="10"/>
        <color rgb="FF1F1F1F"/>
        <rFont val="나눔고딕"/>
        <family val="3"/>
        <charset val="129"/>
      </rPr>
      <t>피드백</t>
    </r>
    <r>
      <rPr>
        <sz val="10"/>
        <color rgb="FF1F1F1F"/>
        <rFont val="Times New Roman"/>
        <family val="1"/>
      </rPr>
      <t xml:space="preserve"> (Post-SOP)</t>
    </r>
  </si>
  <si>
    <r>
      <rPr>
        <sz val="10"/>
        <color rgb="FF1F1F1F"/>
        <rFont val="나눔고딕"/>
        <family val="3"/>
        <charset val="129"/>
      </rPr>
      <t>양산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이후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모니터링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현황을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평가하고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신규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등장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</t>
    </r>
    <r>
      <rPr>
        <sz val="10"/>
        <color rgb="FF1F1F1F"/>
        <rFont val="Times New Roman"/>
        <family val="1"/>
      </rPr>
      <t xml:space="preserve"> TARA/TSR</t>
    </r>
    <r>
      <rPr>
        <sz val="10"/>
        <color rgb="FF1F1F1F"/>
        <rFont val="나눔고딕"/>
        <family val="3"/>
        <charset val="129"/>
      </rPr>
      <t>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피드백</t>
    </r>
  </si>
  <si>
    <r>
      <rPr>
        <sz val="10"/>
        <color rgb="FF1F1F1F"/>
        <rFont val="나눔고딕"/>
        <family val="3"/>
        <charset val="129"/>
      </rPr>
      <t>차량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수명주기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전반에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걸쳐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자사</t>
    </r>
    <r>
      <rPr>
        <sz val="10"/>
        <color rgb="FF1F1F1F"/>
        <rFont val="Times New Roman"/>
        <family val="1"/>
      </rPr>
      <t xml:space="preserve"> ECU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태세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유지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요구사항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동기화</t>
    </r>
  </si>
  <si>
    <r>
      <t xml:space="preserve">• </t>
    </r>
    <r>
      <rPr>
        <sz val="10"/>
        <color rgb="FF1F1F1F"/>
        <rFont val="나눔고딕"/>
        <family val="3"/>
        <charset val="129"/>
      </rPr>
      <t>정기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사이버보안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모니터링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이행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실적</t>
    </r>
    <r>
      <rPr>
        <sz val="10"/>
        <color rgb="FF1F1F1F"/>
        <rFont val="Times New Roman"/>
        <family val="1"/>
      </rPr>
      <t xml:space="preserve"> Audit </t>
    </r>
    <r>
      <rPr>
        <sz val="10"/>
        <color rgb="FF1F1F1F"/>
        <rFont val="나눔고딕"/>
        <family val="3"/>
        <charset val="129"/>
      </rPr>
      <t xml:space="preserve">수행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신규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유형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환경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변화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발생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</t>
    </r>
    <r>
      <rPr>
        <sz val="10"/>
        <color rgb="FF1F1F1F"/>
        <rFont val="Times New Roman"/>
        <family val="1"/>
      </rPr>
      <t xml:space="preserve"> Micro-TARA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TSR </t>
    </r>
    <r>
      <rPr>
        <sz val="10"/>
        <color rgb="FF1F1F1F"/>
        <rFont val="나눔고딕"/>
        <family val="3"/>
        <charset val="129"/>
      </rPr>
      <t xml:space="preserve">업데이트
</t>
    </r>
    <r>
      <rPr>
        <sz val="10"/>
        <color rgb="FF1F1F1F"/>
        <rFont val="Times New Roman"/>
        <family val="1"/>
      </rPr>
      <t xml:space="preserve">• OEM </t>
    </r>
    <r>
      <rPr>
        <sz val="10"/>
        <color rgb="FF1F1F1F"/>
        <rFont val="나눔고딕"/>
        <family val="3"/>
        <charset val="129"/>
      </rPr>
      <t>대상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모니터링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보고서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공유</t>
    </r>
    <phoneticPr fontId="2" type="noConversion"/>
  </si>
  <si>
    <r>
      <t>SBOM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정교함이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경쟁력</t>
    </r>
    <r>
      <rPr>
        <sz val="10"/>
        <color theme="1"/>
        <rFont val="Times New Roman"/>
        <family val="1"/>
      </rPr>
      <t>: OEM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차량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</t>
    </r>
    <r>
      <rPr>
        <sz val="10"/>
        <color theme="1"/>
        <rFont val="Times New Roman"/>
        <family val="1"/>
      </rPr>
      <t xml:space="preserve"> TARA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내재화할수록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문제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발생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</t>
    </r>
    <r>
      <rPr>
        <sz val="10"/>
        <color theme="1"/>
        <rFont val="Times New Roman"/>
        <family val="1"/>
      </rPr>
      <t xml:space="preserve"> "</t>
    </r>
    <r>
      <rPr>
        <sz val="10"/>
        <color theme="1"/>
        <rFont val="나눔고딕"/>
        <family val="3"/>
        <charset val="129"/>
      </rPr>
      <t>어느</t>
    </r>
    <r>
      <rPr>
        <sz val="10"/>
        <color theme="1"/>
        <rFont val="Times New Roman"/>
        <family val="1"/>
      </rPr>
      <t xml:space="preserve"> Tier 1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어떤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모듈에서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터진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취약점인가</t>
    </r>
    <r>
      <rPr>
        <sz val="10"/>
        <color theme="1"/>
        <rFont val="Times New Roman"/>
        <family val="1"/>
      </rPr>
      <t>"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가려내는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것이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핵심이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됩니다</t>
    </r>
    <r>
      <rPr>
        <sz val="10"/>
        <color theme="1"/>
        <rFont val="Times New Roman"/>
        <family val="1"/>
      </rPr>
      <t xml:space="preserve">. </t>
    </r>
    <r>
      <rPr>
        <sz val="10"/>
        <color theme="1"/>
        <rFont val="나눔고딕"/>
        <family val="3"/>
        <charset val="129"/>
      </rPr>
      <t>정밀한</t>
    </r>
    <r>
      <rPr>
        <sz val="10"/>
        <color theme="1"/>
        <rFont val="Times New Roman"/>
        <family val="1"/>
      </rPr>
      <t xml:space="preserve"> SBOM</t>
    </r>
    <r>
      <rPr>
        <sz val="10"/>
        <color theme="1"/>
        <rFont val="나눔고딕"/>
        <family val="3"/>
        <charset val="129"/>
      </rPr>
      <t>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즉시</t>
    </r>
    <r>
      <rPr>
        <sz val="10"/>
        <color theme="1"/>
        <rFont val="Times New Roman"/>
        <family val="1"/>
      </rPr>
      <t xml:space="preserve"> OEM</t>
    </r>
    <r>
      <rPr>
        <sz val="10"/>
        <color theme="1"/>
        <rFont val="나눔고딕"/>
        <family val="3"/>
        <charset val="129"/>
      </rPr>
      <t>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제출할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있는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체계가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필수적입니다</t>
    </r>
    <r>
      <rPr>
        <sz val="10"/>
        <color theme="1"/>
        <rFont val="Times New Roman"/>
        <family val="1"/>
      </rPr>
      <t>.</t>
    </r>
  </si>
  <si>
    <r>
      <rPr>
        <sz val="10"/>
        <color theme="1"/>
        <rFont val="나눔고딕"/>
        <family val="3"/>
        <charset val="129"/>
      </rPr>
      <t>개발</t>
    </r>
    <r>
      <rPr>
        <sz val="10"/>
        <color theme="1"/>
        <rFont val="Times New Roman"/>
        <family val="1"/>
      </rPr>
      <t>(Dev)</t>
    </r>
    <r>
      <rPr>
        <sz val="10"/>
        <color theme="1"/>
        <rFont val="나눔고딕"/>
        <family val="3"/>
        <charset val="129"/>
      </rPr>
      <t>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양산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후</t>
    </r>
    <r>
      <rPr>
        <sz val="10"/>
        <color theme="1"/>
        <rFont val="Times New Roman"/>
        <family val="1"/>
      </rPr>
      <t>(Ops)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연결</t>
    </r>
    <r>
      <rPr>
        <sz val="10"/>
        <color theme="1"/>
        <rFont val="Times New Roman"/>
        <family val="1"/>
      </rPr>
      <t>: ISO 21434</t>
    </r>
    <r>
      <rPr>
        <sz val="10"/>
        <color theme="1"/>
        <rFont val="나눔고딕"/>
        <family val="3"/>
        <charset val="129"/>
      </rPr>
      <t>는</t>
    </r>
    <r>
      <rPr>
        <sz val="10"/>
        <color theme="1"/>
        <rFont val="Times New Roman"/>
        <family val="1"/>
      </rPr>
      <t xml:space="preserve"> "</t>
    </r>
    <r>
      <rPr>
        <sz val="10"/>
        <color theme="1"/>
        <rFont val="나눔고딕"/>
        <family val="3"/>
        <charset val="129"/>
      </rPr>
      <t>소프트웨어를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만들어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넘기면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끝</t>
    </r>
    <r>
      <rPr>
        <sz val="10"/>
        <color theme="1"/>
        <rFont val="Times New Roman"/>
        <family val="1"/>
      </rPr>
      <t>"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아닌</t>
    </r>
    <r>
      <rPr>
        <sz val="10"/>
        <color theme="1"/>
        <rFont val="Times New Roman"/>
        <family val="1"/>
      </rPr>
      <t xml:space="preserve"> "</t>
    </r>
    <r>
      <rPr>
        <sz val="10"/>
        <color theme="1"/>
        <rFont val="나눔고딕"/>
        <family val="3"/>
        <charset val="129"/>
      </rPr>
      <t>차량이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폐차될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때까지의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관리</t>
    </r>
    <r>
      <rPr>
        <sz val="10"/>
        <color theme="1"/>
        <rFont val="Times New Roman"/>
        <family val="1"/>
      </rPr>
      <t>"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요구합니다</t>
    </r>
    <r>
      <rPr>
        <sz val="10"/>
        <color theme="1"/>
        <rFont val="Times New Roman"/>
        <family val="1"/>
      </rPr>
      <t xml:space="preserve">. PSIRT </t>
    </r>
    <r>
      <rPr>
        <sz val="10"/>
        <color theme="1"/>
        <rFont val="나눔고딕"/>
        <family val="3"/>
        <charset val="129"/>
      </rPr>
      <t>운영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체계를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내재화하여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양산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후</t>
    </r>
    <r>
      <rPr>
        <sz val="10"/>
        <color theme="1"/>
        <rFont val="Times New Roman"/>
        <family val="1"/>
      </rPr>
      <t xml:space="preserve"> CVE </t>
    </r>
    <r>
      <rPr>
        <sz val="10"/>
        <color theme="1"/>
        <rFont val="나눔고딕"/>
        <family val="3"/>
        <charset val="129"/>
      </rPr>
      <t>모니터링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패치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배포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프로세스를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상시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가동해야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합니다</t>
    </r>
    <r>
      <rPr>
        <sz val="10"/>
        <color theme="1"/>
        <rFont val="Times New Roman"/>
        <family val="1"/>
      </rPr>
      <t>.</t>
    </r>
  </si>
  <si>
    <r>
      <t>OEM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TARA </t>
    </r>
    <r>
      <rPr>
        <sz val="10"/>
        <color theme="1"/>
        <rFont val="나눔고딕"/>
        <family val="3"/>
        <charset val="129"/>
      </rPr>
      <t>내재화는</t>
    </r>
    <r>
      <rPr>
        <sz val="10"/>
        <color theme="1"/>
        <rFont val="Times New Roman"/>
        <family val="1"/>
      </rPr>
      <t xml:space="preserve"> Tier 1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업무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감소가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아닌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중심의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하위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검증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고도화를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요구합니다</t>
    </r>
    <r>
      <rPr>
        <sz val="10"/>
        <color theme="1"/>
        <rFont val="Times New Roman"/>
        <family val="1"/>
      </rPr>
      <t>.</t>
    </r>
  </si>
  <si>
    <r>
      <t>[</t>
    </r>
    <r>
      <rPr>
        <sz val="10"/>
        <color rgb="FFC00000"/>
        <rFont val="나눔고딕"/>
        <family val="3"/>
        <charset val="129"/>
      </rPr>
      <t>방향</t>
    </r>
    <r>
      <rPr>
        <sz val="10"/>
        <color rgb="FFC00000"/>
        <rFont val="Times New Roman"/>
        <family val="1"/>
      </rPr>
      <t xml:space="preserve"> 2] </t>
    </r>
    <r>
      <rPr>
        <sz val="10"/>
        <color rgb="FFC00000"/>
        <rFont val="나눔고딕"/>
        <family val="3"/>
        <charset val="129"/>
      </rPr>
      <t>컴포넌트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레벨의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미시적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보안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분석</t>
    </r>
    <r>
      <rPr>
        <sz val="10"/>
        <color rgb="FFC00000"/>
        <rFont val="Times New Roman"/>
        <family val="1"/>
      </rPr>
      <t xml:space="preserve"> (Micro Threat Modeling) WBS</t>
    </r>
  </si>
  <si>
    <r>
      <t>[</t>
    </r>
    <r>
      <rPr>
        <sz val="10"/>
        <color rgb="FFC00000"/>
        <rFont val="나눔고딕"/>
        <family val="3"/>
        <charset val="129"/>
      </rPr>
      <t>방향</t>
    </r>
    <r>
      <rPr>
        <sz val="10"/>
        <color rgb="FFC00000"/>
        <rFont val="Times New Roman"/>
        <family val="1"/>
      </rPr>
      <t xml:space="preserve"> 1] </t>
    </r>
    <r>
      <rPr>
        <sz val="10"/>
        <color rgb="FFC00000"/>
        <rFont val="나눔고딕"/>
        <family val="3"/>
        <charset val="129"/>
      </rPr>
      <t>기술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보안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컨셉</t>
    </r>
    <r>
      <rPr>
        <sz val="10"/>
        <color rgb="FFC00000"/>
        <rFont val="Times New Roman"/>
        <family val="1"/>
      </rPr>
      <t xml:space="preserve">(TCC) </t>
    </r>
    <r>
      <rPr>
        <sz val="10"/>
        <color rgb="FFC00000"/>
        <rFont val="나눔고딕"/>
        <family val="3"/>
        <charset val="129"/>
      </rPr>
      <t>및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아키텍처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설계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역량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고도화</t>
    </r>
    <r>
      <rPr>
        <sz val="10"/>
        <color rgb="FFC00000"/>
        <rFont val="Times New Roman"/>
        <family val="1"/>
      </rPr>
      <t xml:space="preserve"> WBS</t>
    </r>
  </si>
  <si>
    <r>
      <t>[</t>
    </r>
    <r>
      <rPr>
        <sz val="10"/>
        <color rgb="FFC00000"/>
        <rFont val="나눔고딕"/>
        <family val="3"/>
        <charset val="129"/>
      </rPr>
      <t>방향</t>
    </r>
    <r>
      <rPr>
        <sz val="10"/>
        <color rgb="FFC00000"/>
        <rFont val="Times New Roman"/>
        <family val="1"/>
      </rPr>
      <t xml:space="preserve"> 3] </t>
    </r>
    <r>
      <rPr>
        <sz val="10"/>
        <color rgb="FFC00000"/>
        <rFont val="나눔고딕"/>
        <family val="3"/>
        <charset val="129"/>
      </rPr>
      <t>실효성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있는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보안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검증</t>
    </r>
    <r>
      <rPr>
        <sz val="10"/>
        <color rgb="FFC00000"/>
        <rFont val="Times New Roman"/>
        <family val="1"/>
      </rPr>
      <t xml:space="preserve"> (Fuzzing &amp; Pen-Testing) WBS</t>
    </r>
  </si>
  <si>
    <r>
      <t>[</t>
    </r>
    <r>
      <rPr>
        <sz val="10"/>
        <color rgb="FFC00000"/>
        <rFont val="나눔고딕"/>
        <family val="3"/>
        <charset val="129"/>
      </rPr>
      <t>방향</t>
    </r>
    <r>
      <rPr>
        <sz val="10"/>
        <color rgb="FFC00000"/>
        <rFont val="Times New Roman"/>
        <family val="1"/>
      </rPr>
      <t xml:space="preserve"> 4] SBOM </t>
    </r>
    <r>
      <rPr>
        <sz val="10"/>
        <color rgb="FFC00000"/>
        <rFont val="나눔고딕"/>
        <family val="3"/>
        <charset val="129"/>
      </rPr>
      <t>및</t>
    </r>
    <r>
      <rPr>
        <sz val="10"/>
        <color rgb="FFC00000"/>
        <rFont val="Times New Roman"/>
        <family val="1"/>
      </rPr>
      <t xml:space="preserve"> PSIRT </t>
    </r>
    <r>
      <rPr>
        <sz val="10"/>
        <color rgb="FFC00000"/>
        <rFont val="나눔고딕"/>
        <family val="3"/>
        <charset val="129"/>
      </rPr>
      <t>체계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정착을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통한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지속적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모니터링</t>
    </r>
    <r>
      <rPr>
        <sz val="10"/>
        <color rgb="FFC00000"/>
        <rFont val="Times New Roman"/>
        <family val="1"/>
      </rPr>
      <t xml:space="preserve"> WBS</t>
    </r>
  </si>
  <si>
    <t>OEM TARA (Top-Down / Vehicle Level)</t>
  </si>
  <si>
    <t>Tier Micro Threat Modeling (Bottom-Up / Component Level)</t>
  </si>
  <si>
    <t>• Component Asset Inventory</t>
  </si>
  <si>
    <t>• Attack Surface Mapping Sheet</t>
  </si>
  <si>
    <t>• Level 2/3 Data Flow Diagram (DFD)</t>
  </si>
  <si>
    <t>• Component STRIDE Analysis Sheet</t>
  </si>
  <si>
    <t>• Component Attack Tree Diagram</t>
  </si>
  <si>
    <t>• Attack Feasibility Assessment Sheet</t>
  </si>
  <si>
    <t>• Threat-Mitigation Mapping Table</t>
  </si>
  <si>
    <t>• Residual Risk Assessment Report</t>
  </si>
  <si>
    <t>• OEM Assumption Verification Sheet</t>
  </si>
  <si>
    <t>• Micro-TARA Final Report</t>
  </si>
  <si>
    <t>• CIA Alignment Sheet</t>
  </si>
  <si>
    <r>
      <rPr>
        <sz val="10"/>
        <color theme="1"/>
        <rFont val="나눔고딕"/>
        <family val="3"/>
        <charset val="129"/>
      </rPr>
      <t>단품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검증의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정교함</t>
    </r>
    <r>
      <rPr>
        <sz val="10"/>
        <color theme="1"/>
        <rFont val="Times New Roman"/>
        <family val="1"/>
      </rPr>
      <t>: OEM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차량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</t>
    </r>
    <r>
      <rPr>
        <sz val="10"/>
        <color theme="1"/>
        <rFont val="Times New Roman"/>
        <family val="1"/>
      </rPr>
      <t xml:space="preserve"> Pen-Testing</t>
    </r>
    <r>
      <rPr>
        <sz val="10"/>
        <color theme="1"/>
        <rFont val="나눔고딕"/>
        <family val="3"/>
        <charset val="129"/>
      </rPr>
      <t>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수행하더라도</t>
    </r>
    <r>
      <rPr>
        <sz val="10"/>
        <color theme="1"/>
        <rFont val="Times New Roman"/>
        <family val="1"/>
      </rPr>
      <t xml:space="preserve">, ECU </t>
    </r>
    <r>
      <rPr>
        <sz val="10"/>
        <color theme="1"/>
        <rFont val="나눔고딕"/>
        <family val="3"/>
        <charset val="129"/>
      </rPr>
      <t>단품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레벨의</t>
    </r>
    <r>
      <rPr>
        <sz val="10"/>
        <color theme="1"/>
        <rFont val="Times New Roman"/>
        <family val="1"/>
      </rPr>
      <t xml:space="preserve"> Fuzzing</t>
    </r>
    <r>
      <rPr>
        <sz val="10"/>
        <color theme="1"/>
        <rFont val="나눔고딕"/>
        <family val="3"/>
        <charset val="129"/>
      </rPr>
      <t>이나</t>
    </r>
    <r>
      <rPr>
        <sz val="10"/>
        <color theme="1"/>
        <rFont val="Times New Roman"/>
        <family val="1"/>
      </rPr>
      <t xml:space="preserve"> HW </t>
    </r>
    <r>
      <rPr>
        <sz val="10"/>
        <color theme="1"/>
        <rFont val="나눔고딕"/>
        <family val="3"/>
        <charset val="129"/>
      </rPr>
      <t>측채널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공격</t>
    </r>
    <r>
      <rPr>
        <sz val="10"/>
        <color theme="1"/>
        <rFont val="Times New Roman"/>
        <family val="1"/>
      </rPr>
      <t xml:space="preserve">(Side-Channel)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JTAG </t>
    </r>
    <r>
      <rPr>
        <sz val="10"/>
        <color theme="1"/>
        <rFont val="나눔고딕"/>
        <family val="3"/>
        <charset val="129"/>
      </rPr>
      <t>우회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공격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검증은</t>
    </r>
    <r>
      <rPr>
        <sz val="10"/>
        <color theme="1"/>
        <rFont val="Times New Roman"/>
        <family val="1"/>
      </rPr>
      <t xml:space="preserve"> Tier 1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입증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데이터를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제공해야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합니다</t>
    </r>
    <r>
      <rPr>
        <sz val="10"/>
        <color theme="1"/>
        <rFont val="Times New Roman"/>
        <family val="1"/>
      </rPr>
      <t>.</t>
    </r>
  </si>
  <si>
    <r>
      <rPr>
        <sz val="10"/>
        <color theme="1"/>
        <rFont val="나눔고딕"/>
        <family val="3"/>
        <charset val="129"/>
      </rPr>
      <t>자동화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빌드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파이프라인</t>
    </r>
    <r>
      <rPr>
        <sz val="10"/>
        <color theme="1"/>
        <rFont val="Times New Roman"/>
        <family val="1"/>
      </rPr>
      <t xml:space="preserve">(CI/CD) </t>
    </r>
    <r>
      <rPr>
        <sz val="10"/>
        <color theme="1"/>
        <rFont val="나눔고딕"/>
        <family val="3"/>
        <charset val="129"/>
      </rPr>
      <t>연동</t>
    </r>
    <r>
      <rPr>
        <sz val="10"/>
        <color theme="1"/>
        <rFont val="Times New Roman"/>
        <family val="1"/>
      </rPr>
      <t xml:space="preserve">: DevSecOps </t>
    </r>
    <r>
      <rPr>
        <sz val="10"/>
        <color theme="1"/>
        <rFont val="나눔고딕"/>
        <family val="3"/>
        <charset val="129"/>
      </rPr>
      <t>체계를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구축하여</t>
    </r>
    <r>
      <rPr>
        <sz val="10"/>
        <color theme="1"/>
        <rFont val="Times New Roman"/>
        <family val="1"/>
      </rPr>
      <t xml:space="preserve"> CI/CD </t>
    </r>
    <r>
      <rPr>
        <sz val="10"/>
        <color theme="1"/>
        <rFont val="나눔고딕"/>
        <family val="3"/>
        <charset val="129"/>
      </rPr>
      <t>파이프라인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내에</t>
    </r>
    <r>
      <rPr>
        <sz val="10"/>
        <color theme="1"/>
        <rFont val="Times New Roman"/>
        <family val="1"/>
      </rPr>
      <t xml:space="preserve"> SAST, DAST, Known Vulnerability Scan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자동으로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수행되도록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세팅해야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비용과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시간을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단축할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있습니다</t>
    </r>
    <r>
      <rPr>
        <sz val="10"/>
        <color theme="1"/>
        <rFont val="Times New Roman"/>
        <family val="1"/>
      </rPr>
      <t>.</t>
    </r>
  </si>
  <si>
    <r>
      <t xml:space="preserve">WBS </t>
    </r>
    <r>
      <rPr>
        <b/>
        <sz val="10"/>
        <color rgb="FF1F1F1F"/>
        <rFont val="나눔고딕"/>
        <family val="3"/>
        <charset val="129"/>
      </rPr>
      <t>항목</t>
    </r>
  </si>
  <si>
    <r>
      <rPr>
        <b/>
        <sz val="10"/>
        <color rgb="FF1F1F1F"/>
        <rFont val="나눔고딕"/>
        <family val="3"/>
        <charset val="129"/>
      </rPr>
      <t>역할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차이의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본질</t>
    </r>
  </si>
  <si>
    <r>
      <t xml:space="preserve">2.1 </t>
    </r>
    <r>
      <rPr>
        <b/>
        <sz val="10"/>
        <color rgb="FF1F1F1F"/>
        <rFont val="나눔고딕"/>
        <family val="3"/>
        <charset val="129"/>
      </rPr>
      <t>자산</t>
    </r>
    <r>
      <rPr>
        <b/>
        <sz val="10"/>
        <color rgb="FF1F1F1F"/>
        <rFont val="Times New Roman"/>
        <family val="1"/>
      </rPr>
      <t xml:space="preserve"> &amp; </t>
    </r>
    <r>
      <rPr>
        <b/>
        <sz val="10"/>
        <color rgb="FF1F1F1F"/>
        <rFont val="나눔고딕"/>
        <family val="3"/>
        <charset val="129"/>
      </rPr>
      <t>공격표면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식별</t>
    </r>
  </si>
  <si>
    <r>
      <rPr>
        <sz val="10"/>
        <color rgb="FF1F1F1F"/>
        <rFont val="나눔고딕"/>
        <family val="3"/>
        <charset val="129"/>
      </rPr>
      <t>차량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기능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사용자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데이터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외부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접점</t>
    </r>
    <r>
      <rPr>
        <sz val="10"/>
        <color rgb="FF1F1F1F"/>
        <rFont val="Times New Roman"/>
        <family val="1"/>
      </rPr>
      <t xml:space="preserve">(Telematics, OBD-II, V2X) </t>
    </r>
    <r>
      <rPr>
        <sz val="10"/>
        <color rgb="FF1F1F1F"/>
        <rFont val="나눔고딕"/>
        <family val="3"/>
        <charset val="129"/>
      </rPr>
      <t>중심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식별</t>
    </r>
  </si>
  <si>
    <r>
      <t xml:space="preserve">MCU </t>
    </r>
    <r>
      <rPr>
        <sz val="10"/>
        <color rgb="FF1F1F1F"/>
        <rFont val="나눔고딕"/>
        <family val="3"/>
        <charset val="129"/>
      </rPr>
      <t>레지스터</t>
    </r>
    <r>
      <rPr>
        <sz val="10"/>
        <color rgb="FF1F1F1F"/>
        <rFont val="Times New Roman"/>
        <family val="1"/>
      </rPr>
      <t xml:space="preserve">, Bootloader, HSM </t>
    </r>
    <r>
      <rPr>
        <sz val="10"/>
        <color rgb="FF1F1F1F"/>
        <rFont val="나눔고딕"/>
        <family val="3"/>
        <charset val="129"/>
      </rPr>
      <t>키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내부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버스</t>
    </r>
    <r>
      <rPr>
        <sz val="10"/>
        <color rgb="FF1F1F1F"/>
        <rFont val="Times New Roman"/>
        <family val="1"/>
      </rPr>
      <t xml:space="preserve">(SPI/I2C), JTAG, Shared Memory </t>
    </r>
    <r>
      <rPr>
        <sz val="10"/>
        <color rgb="FF1F1F1F"/>
        <rFont val="나눔고딕"/>
        <family val="3"/>
        <charset val="129"/>
      </rPr>
      <t>식별</t>
    </r>
  </si>
  <si>
    <r>
      <t xml:space="preserve">2.2 DFD </t>
    </r>
    <r>
      <rPr>
        <b/>
        <sz val="10"/>
        <color rgb="FF1F1F1F"/>
        <rFont val="나눔고딕"/>
        <family val="3"/>
        <charset val="129"/>
      </rPr>
      <t>기반</t>
    </r>
    <r>
      <rPr>
        <b/>
        <sz val="10"/>
        <color rgb="FF1F1F1F"/>
        <rFont val="Times New Roman"/>
        <family val="1"/>
      </rPr>
      <t xml:space="preserve"> STRIDE </t>
    </r>
    <r>
      <rPr>
        <b/>
        <sz val="10"/>
        <color rgb="FF1F1F1F"/>
        <rFont val="나눔고딕"/>
        <family val="3"/>
        <charset val="129"/>
      </rPr>
      <t>분석</t>
    </r>
  </si>
  <si>
    <r>
      <rPr>
        <sz val="10"/>
        <color rgb="FF1F1F1F"/>
        <rFont val="나눔고딕"/>
        <family val="3"/>
        <charset val="129"/>
      </rPr>
      <t>차량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네트워크</t>
    </r>
    <r>
      <rPr>
        <sz val="10"/>
        <color rgb="FF1F1F1F"/>
        <rFont val="Times New Roman"/>
        <family val="1"/>
      </rPr>
      <t xml:space="preserve">(CAN/Ethernet) </t>
    </r>
    <r>
      <rPr>
        <sz val="10"/>
        <color rgb="FF1F1F1F"/>
        <rFont val="나눔고딕"/>
        <family val="3"/>
        <charset val="129"/>
      </rPr>
      <t>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상위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데이터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흐름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분석</t>
    </r>
  </si>
  <si>
    <r>
      <t xml:space="preserve">OS Task, BSW, App, Driver </t>
    </r>
    <r>
      <rPr>
        <sz val="10"/>
        <color rgb="FF1F1F1F"/>
        <rFont val="나눔고딕"/>
        <family val="3"/>
        <charset val="129"/>
      </rPr>
      <t>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내부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함수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호출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메모리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접근</t>
    </r>
    <r>
      <rPr>
        <sz val="10"/>
        <color rgb="FF1F1F1F"/>
        <rFont val="Times New Roman"/>
        <family val="1"/>
      </rPr>
      <t xml:space="preserve"> DFD </t>
    </r>
    <r>
      <rPr>
        <sz val="10"/>
        <color rgb="FF1F1F1F"/>
        <rFont val="나눔고딕"/>
        <family val="3"/>
        <charset val="129"/>
      </rPr>
      <t>분석</t>
    </r>
  </si>
  <si>
    <r>
      <t xml:space="preserve">2.3 </t>
    </r>
    <r>
      <rPr>
        <b/>
        <sz val="10"/>
        <color rgb="FF1F1F1F"/>
        <rFont val="나눔고딕"/>
        <family val="3"/>
        <charset val="129"/>
      </rPr>
      <t>공격트리</t>
    </r>
    <r>
      <rPr>
        <b/>
        <sz val="10"/>
        <color rgb="FF1F1F1F"/>
        <rFont val="Times New Roman"/>
        <family val="1"/>
      </rPr>
      <t xml:space="preserve"> &amp; Feasibility</t>
    </r>
  </si>
  <si>
    <r>
      <rPr>
        <sz val="10"/>
        <color rgb="FF1F1F1F"/>
        <rFont val="나눔고딕"/>
        <family val="3"/>
        <charset val="129"/>
      </rPr>
      <t>차량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제어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권한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획득을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목표로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하는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개념적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일반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해킹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난이도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산정</t>
    </r>
  </si>
  <si>
    <r>
      <t xml:space="preserve">HW Glitching, Flash Read-out, UDS </t>
    </r>
    <r>
      <rPr>
        <sz val="10"/>
        <color rgb="FF1F1F1F"/>
        <rFont val="나눔고딕"/>
        <family val="3"/>
        <charset val="129"/>
      </rPr>
      <t>버퍼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오버플로우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구체적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실행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단품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난이도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산정</t>
    </r>
  </si>
  <si>
    <r>
      <t xml:space="preserve">2.4 </t>
    </r>
    <r>
      <rPr>
        <b/>
        <sz val="10"/>
        <color rgb="FF1F1F1F"/>
        <rFont val="나눔고딕"/>
        <family val="3"/>
        <charset val="129"/>
      </rPr>
      <t>위협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완화</t>
    </r>
    <r>
      <rPr>
        <b/>
        <sz val="10"/>
        <color rgb="FF1F1F1F"/>
        <rFont val="Times New Roman"/>
        <family val="1"/>
      </rPr>
      <t xml:space="preserve"> &amp; </t>
    </r>
    <r>
      <rPr>
        <b/>
        <sz val="10"/>
        <color rgb="FF1F1F1F"/>
        <rFont val="나눔고딕"/>
        <family val="3"/>
        <charset val="129"/>
      </rPr>
      <t>요구사항</t>
    </r>
  </si>
  <si>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목표</t>
    </r>
    <r>
      <rPr>
        <sz val="10"/>
        <color rgb="FF1F1F1F"/>
        <rFont val="Times New Roman"/>
        <family val="1"/>
      </rPr>
      <t xml:space="preserve">(CSG) </t>
    </r>
    <r>
      <rPr>
        <sz val="10"/>
        <color rgb="FF1F1F1F"/>
        <rFont val="나눔고딕"/>
        <family val="3"/>
        <charset val="129"/>
      </rPr>
      <t>도출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차량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레벨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기능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통신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제어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통제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정의</t>
    </r>
  </si>
  <si>
    <r>
      <t xml:space="preserve">MPU Domain </t>
    </r>
    <r>
      <rPr>
        <sz val="10"/>
        <color rgb="FF1F1F1F"/>
        <rFont val="나눔고딕"/>
        <family val="3"/>
        <charset val="129"/>
      </rPr>
      <t>격리</t>
    </r>
    <r>
      <rPr>
        <sz val="10"/>
        <color rgb="FF1F1F1F"/>
        <rFont val="Times New Roman"/>
        <family val="1"/>
      </rPr>
      <t xml:space="preserve">, OTP Fuse Blow, Crypto API </t>
    </r>
    <r>
      <rPr>
        <sz val="10"/>
        <color rgb="FF1F1F1F"/>
        <rFont val="나눔고딕"/>
        <family val="3"/>
        <charset val="129"/>
      </rPr>
      <t>제약</t>
    </r>
    <r>
      <rPr>
        <sz val="10"/>
        <color rgb="FF1F1F1F"/>
        <rFont val="Times New Roman"/>
        <family val="1"/>
      </rPr>
      <t xml:space="preserve">, Flash Lock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 HW/SW </t>
    </r>
    <r>
      <rPr>
        <sz val="10"/>
        <color rgb="FF1F1F1F"/>
        <rFont val="나눔고딕"/>
        <family val="3"/>
        <charset val="129"/>
      </rPr>
      <t>하드닝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매핑</t>
    </r>
  </si>
  <si>
    <r>
      <t xml:space="preserve">2.5 </t>
    </r>
    <r>
      <rPr>
        <b/>
        <sz val="10"/>
        <color rgb="FF1F1F1F"/>
        <rFont val="나눔고딕"/>
        <family val="3"/>
        <charset val="129"/>
      </rPr>
      <t>피드백</t>
    </r>
    <r>
      <rPr>
        <b/>
        <sz val="10"/>
        <color rgb="FF1F1F1F"/>
        <rFont val="Times New Roman"/>
        <family val="1"/>
      </rPr>
      <t xml:space="preserve"> &amp; OEM </t>
    </r>
    <r>
      <rPr>
        <b/>
        <sz val="10"/>
        <color rgb="FF1F1F1F"/>
        <rFont val="나눔고딕"/>
        <family val="3"/>
        <charset val="129"/>
      </rPr>
      <t>리포팅</t>
    </r>
  </si>
  <si>
    <r>
      <rPr>
        <sz val="10"/>
        <color rgb="FF1F1F1F"/>
        <rFont val="나눔고딕"/>
        <family val="3"/>
        <charset val="129"/>
      </rPr>
      <t>차량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전체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잔여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UN R155 </t>
    </r>
    <r>
      <rPr>
        <sz val="10"/>
        <color rgb="FF1F1F1F"/>
        <rFont val="나눔고딕"/>
        <family val="3"/>
        <charset val="129"/>
      </rPr>
      <t>형식승인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당국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보고</t>
    </r>
  </si>
  <si>
    <r>
      <rPr>
        <sz val="10"/>
        <color rgb="FF1F1F1F"/>
        <rFont val="나눔고딕"/>
        <family val="3"/>
        <charset val="129"/>
      </rPr>
      <t>제어기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내부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잔여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OEM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차량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레벨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가정사항</t>
    </r>
    <r>
      <rPr>
        <sz val="10"/>
        <color rgb="FF1F1F1F"/>
        <rFont val="Times New Roman"/>
        <family val="1"/>
      </rPr>
      <t xml:space="preserve">(Assumption) </t>
    </r>
    <r>
      <rPr>
        <sz val="10"/>
        <color rgb="FF1F1F1F"/>
        <rFont val="나눔고딕"/>
        <family val="3"/>
        <charset val="129"/>
      </rPr>
      <t>검증</t>
    </r>
  </si>
  <si>
    <r>
      <t xml:space="preserve">WBS </t>
    </r>
    <r>
      <rPr>
        <b/>
        <sz val="10"/>
        <color rgb="FF1F1F1F"/>
        <rFont val="나눔고딕"/>
        <family val="3"/>
        <charset val="129"/>
      </rPr>
      <t>세부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항목</t>
    </r>
  </si>
  <si>
    <r>
      <rPr>
        <b/>
        <sz val="10"/>
        <color rgb="FF1F1F1F"/>
        <rFont val="나눔고딕"/>
        <family val="3"/>
        <charset val="129"/>
      </rPr>
      <t>세부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수행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내용</t>
    </r>
  </si>
  <si>
    <r>
      <rPr>
        <b/>
        <sz val="10"/>
        <color rgb="FF1F1F1F"/>
        <rFont val="나눔고딕"/>
        <family val="3"/>
        <charset val="129"/>
      </rPr>
      <t>실무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엔지니어링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액티비티</t>
    </r>
  </si>
  <si>
    <r>
      <rPr>
        <b/>
        <sz val="10"/>
        <color rgb="FF1F1F1F"/>
        <rFont val="나눔고딕"/>
        <family val="3"/>
        <charset val="129"/>
      </rPr>
      <t>주요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산출물</t>
    </r>
  </si>
  <si>
    <r>
      <t xml:space="preserve">2.1 </t>
    </r>
    <r>
      <rPr>
        <b/>
        <sz val="10"/>
        <color rgb="FF1F1F1F"/>
        <rFont val="나눔고딕"/>
        <family val="3"/>
        <charset val="129"/>
      </rPr>
      <t>컴포넌트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자산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및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공격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표면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식별</t>
    </r>
  </si>
  <si>
    <r>
      <t xml:space="preserve">2.2 DFD </t>
    </r>
    <r>
      <rPr>
        <b/>
        <sz val="10"/>
        <color rgb="FF1F1F1F"/>
        <rFont val="나눔고딕"/>
        <family val="3"/>
        <charset val="129"/>
      </rPr>
      <t>기반</t>
    </r>
    <r>
      <rPr>
        <b/>
        <sz val="10"/>
        <color rgb="FF1F1F1F"/>
        <rFont val="Times New Roman"/>
        <family val="1"/>
      </rPr>
      <t xml:space="preserve"> STRIDE </t>
    </r>
    <r>
      <rPr>
        <b/>
        <sz val="10"/>
        <color rgb="FF1F1F1F"/>
        <rFont val="나눔고딕"/>
        <family val="3"/>
        <charset val="129"/>
      </rPr>
      <t>위협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모델링</t>
    </r>
  </si>
  <si>
    <r>
      <t xml:space="preserve">2.3 </t>
    </r>
    <r>
      <rPr>
        <b/>
        <sz val="10"/>
        <color rgb="FF1F1F1F"/>
        <rFont val="나눔고딕"/>
        <family val="3"/>
        <charset val="129"/>
      </rPr>
      <t>공격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트리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및</t>
    </r>
    <r>
      <rPr>
        <b/>
        <sz val="10"/>
        <color rgb="FF1F1F1F"/>
        <rFont val="Times New Roman"/>
        <family val="1"/>
      </rPr>
      <t xml:space="preserve"> Feasibility </t>
    </r>
    <r>
      <rPr>
        <b/>
        <sz val="10"/>
        <color rgb="FF1F1F1F"/>
        <rFont val="나눔고딕"/>
        <family val="3"/>
        <charset val="129"/>
      </rPr>
      <t>평가</t>
    </r>
  </si>
  <si>
    <r>
      <t xml:space="preserve">2.4 </t>
    </r>
    <r>
      <rPr>
        <b/>
        <sz val="10"/>
        <color rgb="FF1F1F1F"/>
        <rFont val="나눔고딕"/>
        <family val="3"/>
        <charset val="129"/>
      </rPr>
      <t>위협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완화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및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요구사항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매핑</t>
    </r>
  </si>
  <si>
    <r>
      <t xml:space="preserve">2.5 TARA </t>
    </r>
    <r>
      <rPr>
        <b/>
        <sz val="10"/>
        <color rgb="FF1F1F1F"/>
        <rFont val="나눔고딕"/>
        <family val="3"/>
        <charset val="129"/>
      </rPr>
      <t>피드백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및</t>
    </r>
    <r>
      <rPr>
        <b/>
        <sz val="10"/>
        <color rgb="FF1F1F1F"/>
        <rFont val="Times New Roman"/>
        <family val="1"/>
      </rPr>
      <t xml:space="preserve"> OEM </t>
    </r>
    <r>
      <rPr>
        <b/>
        <sz val="10"/>
        <color rgb="FF1F1F1F"/>
        <rFont val="나눔고딕"/>
        <family val="3"/>
        <charset val="129"/>
      </rPr>
      <t>리포팅</t>
    </r>
  </si>
  <si>
    <r>
      <t xml:space="preserve">• Security Interface Agreement(CIA) </t>
    </r>
    <r>
      <rPr>
        <sz val="10"/>
        <color rgb="FF1F1F1F"/>
        <rFont val="나눔고딕"/>
        <family val="3"/>
        <charset val="129"/>
      </rPr>
      <t>책임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분담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개정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Sign-off </t>
    </r>
    <r>
      <rPr>
        <sz val="10"/>
        <color rgb="FF1F1F1F"/>
        <rFont val="나눔고딕"/>
        <family val="3"/>
        <charset val="129"/>
      </rPr>
      <t>유도</t>
    </r>
  </si>
  <si>
    <r>
      <rPr>
        <sz val="10"/>
        <color theme="1"/>
        <rFont val="나눔고딕"/>
        <family val="3"/>
        <charset val="129"/>
      </rPr>
      <t>신뢰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경계</t>
    </r>
    <r>
      <rPr>
        <sz val="10"/>
        <color theme="1"/>
        <rFont val="Times New Roman"/>
        <family val="1"/>
      </rPr>
      <t xml:space="preserve">(Trust Boundary) </t>
    </r>
    <r>
      <rPr>
        <sz val="10"/>
        <color theme="1"/>
        <rFont val="나눔고딕"/>
        <family val="3"/>
        <charset val="129"/>
      </rPr>
      <t>설정</t>
    </r>
  </si>
  <si>
    <r>
      <rPr>
        <sz val="10"/>
        <color theme="1"/>
        <rFont val="나눔고딕"/>
        <family val="3"/>
        <charset val="129"/>
      </rPr>
      <t>내부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코드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로직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시나리오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도출</t>
    </r>
  </si>
  <si>
    <r>
      <rPr>
        <sz val="10"/>
        <color theme="1"/>
        <rFont val="나눔고딕"/>
        <family val="3"/>
        <charset val="129"/>
      </rPr>
      <t>함수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파라미터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경계값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미검증</t>
    </r>
    <r>
      <rPr>
        <sz val="10"/>
        <color theme="1"/>
        <rFont val="Times New Roman"/>
        <family val="1"/>
      </rPr>
      <t xml:space="preserve">, Crypto API </t>
    </r>
    <r>
      <rPr>
        <sz val="10"/>
        <color theme="1"/>
        <rFont val="나눔고딕"/>
        <family val="3"/>
        <charset val="129"/>
      </rPr>
      <t>오용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시나리오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작성</t>
    </r>
  </si>
  <si>
    <r>
      <rPr>
        <sz val="10"/>
        <color theme="1"/>
        <rFont val="나눔고딕"/>
        <family val="3"/>
        <charset val="129"/>
      </rPr>
      <t>정밀</t>
    </r>
    <r>
      <rPr>
        <sz val="10"/>
        <color theme="1"/>
        <rFont val="Times New Roman"/>
        <family val="1"/>
      </rPr>
      <t xml:space="preserve"> Attack Tree </t>
    </r>
    <r>
      <rPr>
        <sz val="10"/>
        <color theme="1"/>
        <rFont val="나눔고딕"/>
        <family val="3"/>
        <charset val="129"/>
      </rPr>
      <t>노드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설계</t>
    </r>
  </si>
  <si>
    <r>
      <rPr>
        <sz val="10"/>
        <color theme="1"/>
        <rFont val="나눔고딕"/>
        <family val="3"/>
        <charset val="129"/>
      </rPr>
      <t>실효적</t>
    </r>
    <r>
      <rPr>
        <sz val="10"/>
        <color theme="1"/>
        <rFont val="Times New Roman"/>
        <family val="1"/>
      </rPr>
      <t xml:space="preserve"> Risk Level </t>
    </r>
    <r>
      <rPr>
        <sz val="10"/>
        <color theme="1"/>
        <rFont val="나눔고딕"/>
        <family val="3"/>
        <charset val="129"/>
      </rPr>
      <t>산출</t>
    </r>
  </si>
  <si>
    <r>
      <rPr>
        <sz val="10"/>
        <color theme="1"/>
        <rFont val="나눔고딕"/>
        <family val="3"/>
        <charset val="129"/>
      </rPr>
      <t>기술적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통제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메커니즘</t>
    </r>
    <r>
      <rPr>
        <sz val="10"/>
        <color theme="1"/>
        <rFont val="Times New Roman"/>
        <family val="1"/>
      </rPr>
      <t xml:space="preserve">(Security Controls) </t>
    </r>
    <r>
      <rPr>
        <sz val="10"/>
        <color theme="1"/>
        <rFont val="나눔고딕"/>
        <family val="3"/>
        <charset val="129"/>
      </rPr>
      <t>매핑</t>
    </r>
  </si>
  <si>
    <r>
      <rPr>
        <sz val="10"/>
        <color theme="1"/>
        <rFont val="나눔고딕"/>
        <family val="3"/>
        <charset val="129"/>
      </rPr>
      <t>잔여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위험</t>
    </r>
    <r>
      <rPr>
        <sz val="10"/>
        <color theme="1"/>
        <rFont val="Times New Roman"/>
        <family val="1"/>
      </rPr>
      <t xml:space="preserve">(Residual Risk) </t>
    </r>
    <r>
      <rPr>
        <sz val="10"/>
        <color theme="1"/>
        <rFont val="나눔고딕"/>
        <family val="3"/>
        <charset val="129"/>
      </rPr>
      <t>수용성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평가</t>
    </r>
  </si>
  <si>
    <r>
      <t xml:space="preserve">Security Interface Agreement (CIA) </t>
    </r>
    <r>
      <rPr>
        <sz val="10"/>
        <color theme="1"/>
        <rFont val="나눔고딕"/>
        <family val="3"/>
        <charset val="129"/>
      </rPr>
      <t>개정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반영</t>
    </r>
  </si>
  <si>
    <t>Executable Binary</t>
  </si>
  <si>
    <t>Debug Symbol</t>
  </si>
  <si>
    <t>Build Manifest</t>
  </si>
  <si>
    <t>build_info.json</t>
  </si>
  <si>
    <t>Release Note (MD)</t>
  </si>
  <si>
    <t>ReleaseNote_{baseline}.md</t>
  </si>
  <si>
    <t>Release Note (Word)</t>
  </si>
  <si>
    <t>ReleaseNote_{baseline}.docx</t>
  </si>
  <si>
    <t>Archival Snapshot</t>
  </si>
  <si>
    <t>{baseline}_Snapshot.zip</t>
  </si>
  <si>
    <r>
      <rPr>
        <sz val="10"/>
        <color theme="1"/>
        <rFont val="나눔고딕"/>
        <family val="3"/>
        <charset val="129"/>
      </rPr>
      <t>▶</t>
    </r>
    <r>
      <rPr>
        <sz val="10"/>
        <color theme="1"/>
        <rFont val="Times New Roman"/>
        <family val="1"/>
      </rPr>
      <t xml:space="preserve"> OEM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차량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</t>
    </r>
    <r>
      <rPr>
        <sz val="10"/>
        <color theme="1"/>
        <rFont val="Times New Roman"/>
        <family val="1"/>
      </rPr>
      <t xml:space="preserve"> TARA(Threat Analysis and Risk Assessment)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내재화하고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요구사항을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전달하는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방식은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기능안전</t>
    </r>
    <r>
      <rPr>
        <sz val="10"/>
        <color theme="1"/>
        <rFont val="Times New Roman"/>
        <family val="1"/>
      </rPr>
      <t>(ISO 26262)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HARA </t>
    </r>
    <r>
      <rPr>
        <sz val="10"/>
        <color theme="1"/>
        <rFont val="나눔고딕"/>
        <family val="3"/>
        <charset val="129"/>
      </rPr>
      <t>전개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양상과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매우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유사</t>
    </r>
    <r>
      <rPr>
        <sz val="10"/>
        <color theme="1"/>
        <rFont val="Times New Roman"/>
        <family val="1"/>
      </rPr>
      <t xml:space="preserve">. 
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변화로</t>
    </r>
    <r>
      <rPr>
        <sz val="10"/>
        <color theme="1"/>
        <rFont val="Times New Roman"/>
        <family val="1"/>
      </rPr>
      <t xml:space="preserve"> Tier 1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역할은</t>
    </r>
    <r>
      <rPr>
        <sz val="10"/>
        <color theme="1"/>
        <rFont val="Times New Roman"/>
        <family val="1"/>
      </rPr>
      <t xml:space="preserve"> '</t>
    </r>
    <r>
      <rPr>
        <sz val="10"/>
        <color theme="1"/>
        <rFont val="나눔고딕"/>
        <family val="3"/>
        <charset val="129"/>
      </rPr>
      <t>위협을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직접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정의하고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위험도를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산정하는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주체</t>
    </r>
    <r>
      <rPr>
        <sz val="10"/>
        <color theme="1"/>
        <rFont val="Times New Roman"/>
        <family val="1"/>
      </rPr>
      <t>'</t>
    </r>
    <r>
      <rPr>
        <sz val="10"/>
        <color theme="1"/>
        <rFont val="나눔고딕"/>
        <family val="3"/>
        <charset val="129"/>
      </rPr>
      <t>에서</t>
    </r>
    <r>
      <rPr>
        <sz val="10"/>
        <color theme="1"/>
        <rFont val="Times New Roman"/>
        <family val="1"/>
      </rPr>
      <t xml:space="preserve"> 'OEM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정의한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목표</t>
    </r>
    <r>
      <rPr>
        <sz val="10"/>
        <color theme="1"/>
        <rFont val="Times New Roman"/>
        <family val="1"/>
      </rPr>
      <t>(CSG)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명확한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요구사항</t>
    </r>
    <r>
      <rPr>
        <sz val="10"/>
        <color theme="1"/>
        <rFont val="Times New Roman"/>
        <family val="1"/>
      </rPr>
      <t>(TSR)</t>
    </r>
    <r>
      <rPr>
        <sz val="10"/>
        <color theme="1"/>
        <rFont val="나눔고딕"/>
        <family val="3"/>
        <charset val="129"/>
      </rPr>
      <t>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분해하고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컴포넌트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레벨에서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하드닝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분석을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완벽히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입증하는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주체</t>
    </r>
    <r>
      <rPr>
        <sz val="10"/>
        <color theme="1"/>
        <rFont val="Times New Roman"/>
        <family val="1"/>
      </rPr>
      <t>'</t>
    </r>
    <r>
      <rPr>
        <sz val="10"/>
        <color theme="1"/>
        <rFont val="나눔고딕"/>
        <family val="3"/>
        <charset val="129"/>
      </rPr>
      <t>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재편</t>
    </r>
    <r>
      <rPr>
        <sz val="10"/>
        <color theme="1"/>
        <rFont val="Times New Roman"/>
        <family val="1"/>
      </rPr>
      <t>.</t>
    </r>
    <phoneticPr fontId="2" type="noConversion"/>
  </si>
  <si>
    <r>
      <rPr>
        <sz val="11"/>
        <color theme="1"/>
        <rFont val="나눔고딕"/>
        <family val="3"/>
        <charset val="129"/>
      </rPr>
      <t>▶</t>
    </r>
    <r>
      <rPr>
        <sz val="11"/>
        <color theme="1"/>
        <rFont val="Times New Roman"/>
        <family val="1"/>
      </rPr>
      <t xml:space="preserve"> ISO/SAE 21434 </t>
    </r>
    <r>
      <rPr>
        <sz val="11"/>
        <color theme="1"/>
        <rFont val="나눔고딕"/>
        <family val="3"/>
        <charset val="129"/>
      </rPr>
      <t>표준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절차에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기반</t>
    </r>
    <r>
      <rPr>
        <sz val="11"/>
        <color theme="1"/>
        <rFont val="Times New Roman"/>
        <family val="1"/>
      </rPr>
      <t>, OEM</t>
    </r>
    <r>
      <rPr>
        <sz val="11"/>
        <color theme="1"/>
        <rFont val="나눔고딕"/>
        <family val="3"/>
        <charset val="129"/>
      </rPr>
      <t>의</t>
    </r>
    <r>
      <rPr>
        <sz val="11"/>
        <color theme="1"/>
        <rFont val="Times New Roman"/>
        <family val="1"/>
      </rPr>
      <t xml:space="preserve"> TARA </t>
    </r>
    <r>
      <rPr>
        <sz val="11"/>
        <color theme="1"/>
        <rFont val="나눔고딕"/>
        <family val="3"/>
        <charset val="129"/>
      </rPr>
      <t>내재화에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따른</t>
    </r>
    <r>
      <rPr>
        <sz val="11"/>
        <color theme="1"/>
        <rFont val="Times New Roman"/>
        <family val="1"/>
      </rPr>
      <t xml:space="preserve"> Tier 1</t>
    </r>
    <r>
      <rPr>
        <sz val="11"/>
        <color theme="1"/>
        <rFont val="나눔고딕"/>
        <family val="3"/>
        <charset val="129"/>
      </rPr>
      <t>의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역할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변화와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핵심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집중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분야</t>
    </r>
    <phoneticPr fontId="2" type="noConversion"/>
  </si>
  <si>
    <r>
      <rPr>
        <sz val="10"/>
        <color theme="1"/>
        <rFont val="나눔고딕"/>
        <family val="3"/>
        <charset val="129"/>
      </rPr>
      <t>▶</t>
    </r>
    <r>
      <rPr>
        <sz val="10"/>
        <color theme="1"/>
        <rFont val="Times New Roman"/>
        <family val="1"/>
      </rPr>
      <t xml:space="preserve"> Tier 1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집중해야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할</t>
    </r>
    <r>
      <rPr>
        <sz val="10"/>
        <color theme="1"/>
        <rFont val="Times New Roman"/>
        <family val="1"/>
      </rPr>
      <t xml:space="preserve"> 4</t>
    </r>
    <r>
      <rPr>
        <sz val="10"/>
        <color theme="1"/>
        <rFont val="나눔고딕"/>
        <family val="3"/>
        <charset val="129"/>
      </rPr>
      <t>가지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체질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개선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방향</t>
    </r>
    <phoneticPr fontId="2" type="noConversion"/>
  </si>
  <si>
    <r>
      <t xml:space="preserve">1. </t>
    </r>
    <r>
      <rPr>
        <sz val="10"/>
        <color theme="1"/>
        <rFont val="나눔고딕"/>
        <family val="3"/>
        <charset val="129"/>
      </rPr>
      <t>기술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컨셉</t>
    </r>
    <r>
      <rPr>
        <sz val="10"/>
        <color theme="1"/>
        <rFont val="Times New Roman"/>
        <family val="1"/>
      </rPr>
      <t xml:space="preserve">(TCC)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아키텍처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설계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역량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고도화</t>
    </r>
    <r>
      <rPr>
        <sz val="10"/>
        <color theme="1"/>
        <rFont val="Times New Roman"/>
        <family val="1"/>
      </rPr>
      <t>: 
OEM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상위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</t>
    </r>
    <r>
      <rPr>
        <sz val="10"/>
        <color theme="1"/>
        <rFont val="Times New Roman"/>
        <family val="1"/>
      </rPr>
      <t>(Concept)</t>
    </r>
    <r>
      <rPr>
        <sz val="10"/>
        <color theme="1"/>
        <rFont val="나눔고딕"/>
        <family val="3"/>
        <charset val="129"/>
      </rPr>
      <t>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잡더라도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이를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하드웨어와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소프트웨어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요구사항</t>
    </r>
    <r>
      <rPr>
        <sz val="10"/>
        <color theme="1"/>
        <rFont val="Times New Roman"/>
        <family val="1"/>
      </rPr>
      <t>(TSR)</t>
    </r>
    <r>
      <rPr>
        <sz val="10"/>
        <color theme="1"/>
        <rFont val="나눔고딕"/>
        <family val="3"/>
        <charset val="129"/>
      </rPr>
      <t>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구체화하는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것은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여전히</t>
    </r>
    <r>
      <rPr>
        <sz val="10"/>
        <color theme="1"/>
        <rFont val="Times New Roman"/>
        <family val="1"/>
      </rPr>
      <t xml:space="preserve"> Tier 1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몫입니다</t>
    </r>
    <r>
      <rPr>
        <sz val="10"/>
        <color theme="1"/>
        <rFont val="Times New Roman"/>
        <family val="1"/>
      </rPr>
      <t>. 
OEM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요구사항이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공급망의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최하단</t>
    </r>
    <r>
      <rPr>
        <sz val="10"/>
        <color theme="1"/>
        <rFont val="Times New Roman"/>
        <family val="1"/>
      </rPr>
      <t xml:space="preserve"> SW </t>
    </r>
    <r>
      <rPr>
        <sz val="10"/>
        <color theme="1"/>
        <rFont val="나눔고딕"/>
        <family val="3"/>
        <charset val="129"/>
      </rPr>
      <t>모듈이나</t>
    </r>
    <r>
      <rPr>
        <sz val="10"/>
        <color theme="1"/>
        <rFont val="Times New Roman"/>
        <family val="1"/>
      </rPr>
      <t xml:space="preserve"> HW </t>
    </r>
    <r>
      <rPr>
        <sz val="10"/>
        <color theme="1"/>
        <rFont val="나눔고딕"/>
        <family val="3"/>
        <charset val="129"/>
      </rPr>
      <t>레지스터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레벨까지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어떻게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정밀하게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사핑</t>
    </r>
    <r>
      <rPr>
        <sz val="10"/>
        <color theme="1"/>
        <rFont val="Times New Roman"/>
        <family val="1"/>
      </rPr>
      <t>(Mapping)</t>
    </r>
    <r>
      <rPr>
        <sz val="10"/>
        <color theme="1"/>
        <rFont val="나눔고딕"/>
        <family val="3"/>
        <charset val="129"/>
      </rPr>
      <t>되는지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입증하는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아키텍처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설계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역량이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핵심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경쟁력이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됩니다</t>
    </r>
    <r>
      <rPr>
        <sz val="10"/>
        <color theme="1"/>
        <rFont val="Times New Roman"/>
        <family val="1"/>
      </rPr>
      <t>.</t>
    </r>
    <phoneticPr fontId="2" type="noConversion"/>
  </si>
  <si>
    <r>
      <t xml:space="preserve">2. </t>
    </r>
    <r>
      <rPr>
        <sz val="10"/>
        <color theme="1"/>
        <rFont val="나눔고딕"/>
        <family val="3"/>
        <charset val="129"/>
      </rPr>
      <t>컴포넌트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레벨의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미시적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분석</t>
    </r>
    <r>
      <rPr>
        <sz val="10"/>
        <color theme="1"/>
        <rFont val="Times New Roman"/>
        <family val="1"/>
      </rPr>
      <t xml:space="preserve"> (Micro Threat Modeling): 
</t>
    </r>
    <r>
      <rPr>
        <sz val="10"/>
        <color theme="1"/>
        <rFont val="나눔고딕"/>
        <family val="3"/>
        <charset val="129"/>
      </rPr>
      <t>차량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전체</t>
    </r>
    <r>
      <rPr>
        <sz val="10"/>
        <color theme="1"/>
        <rFont val="Times New Roman"/>
        <family val="1"/>
      </rPr>
      <t xml:space="preserve"> TARA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한다고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해서</t>
    </r>
    <r>
      <rPr>
        <sz val="10"/>
        <color theme="1"/>
        <rFont val="Times New Roman"/>
        <family val="1"/>
      </rPr>
      <t xml:space="preserve"> Tier</t>
    </r>
    <r>
      <rPr>
        <sz val="10"/>
        <color theme="1"/>
        <rFont val="나눔고딕"/>
        <family val="3"/>
        <charset val="129"/>
      </rPr>
      <t>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분석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업무가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사라지는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것이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아닙니다</t>
    </r>
    <r>
      <rPr>
        <sz val="10"/>
        <color theme="1"/>
        <rFont val="Times New Roman"/>
        <family val="1"/>
      </rPr>
      <t>. 
OEM</t>
    </r>
    <r>
      <rPr>
        <sz val="10"/>
        <color theme="1"/>
        <rFont val="나눔고딕"/>
        <family val="3"/>
        <charset val="129"/>
      </rPr>
      <t>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하달한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요구사항을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만족하기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위해</t>
    </r>
    <r>
      <rPr>
        <sz val="10"/>
        <color theme="1"/>
        <rFont val="Times New Roman"/>
        <family val="1"/>
      </rPr>
      <t xml:space="preserve">, ECU </t>
    </r>
    <r>
      <rPr>
        <sz val="10"/>
        <color theme="1"/>
        <rFont val="나눔고딕"/>
        <family val="3"/>
        <charset val="129"/>
      </rPr>
      <t>내부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버스</t>
    </r>
    <r>
      <rPr>
        <sz val="10"/>
        <color theme="1"/>
        <rFont val="Times New Roman"/>
        <family val="1"/>
      </rPr>
      <t xml:space="preserve">(SPI, I2C, CAN), </t>
    </r>
    <r>
      <rPr>
        <sz val="10"/>
        <color theme="1"/>
        <rFont val="나눔고딕"/>
        <family val="3"/>
        <charset val="129"/>
      </rPr>
      <t>메모리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구조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외부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인터페이스를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대상으로</t>
    </r>
    <r>
      <rPr>
        <sz val="10"/>
        <color theme="1"/>
        <rFont val="Times New Roman"/>
        <family val="1"/>
      </rPr>
      <t xml:space="preserve"> STRIDE </t>
    </r>
    <r>
      <rPr>
        <sz val="10"/>
        <color theme="1"/>
        <rFont val="나눔고딕"/>
        <family val="3"/>
        <charset val="129"/>
      </rPr>
      <t>분석이나</t>
    </r>
    <r>
      <rPr>
        <sz val="10"/>
        <color theme="1"/>
        <rFont val="Times New Roman"/>
        <family val="1"/>
      </rPr>
      <t xml:space="preserve"> Attack Tree </t>
    </r>
    <r>
      <rPr>
        <sz val="10"/>
        <color theme="1"/>
        <rFont val="나눔고딕"/>
        <family val="3"/>
        <charset val="129"/>
      </rPr>
      <t>분석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컴포넌트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특화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위협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분석에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집중해야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합니다</t>
    </r>
    <r>
      <rPr>
        <sz val="10"/>
        <color theme="1"/>
        <rFont val="Times New Roman"/>
        <family val="1"/>
      </rPr>
      <t>.</t>
    </r>
    <phoneticPr fontId="2" type="noConversion"/>
  </si>
  <si>
    <r>
      <t xml:space="preserve">3. </t>
    </r>
    <r>
      <rPr>
        <sz val="10"/>
        <color theme="1"/>
        <rFont val="나눔고딕"/>
        <family val="3"/>
        <charset val="129"/>
      </rPr>
      <t>실효성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있는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실시간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검증</t>
    </r>
    <r>
      <rPr>
        <sz val="10"/>
        <color theme="1"/>
        <rFont val="Times New Roman"/>
        <family val="1"/>
      </rPr>
      <t xml:space="preserve"> (Fuzzing &amp; Pen-Testing): 
TARA </t>
    </r>
    <r>
      <rPr>
        <sz val="10"/>
        <color theme="1"/>
        <rFont val="나눔고딕"/>
        <family val="3"/>
        <charset val="129"/>
      </rPr>
      <t>결과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반영의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핵심은</t>
    </r>
    <r>
      <rPr>
        <sz val="10"/>
        <color theme="1"/>
        <rFont val="Times New Roman"/>
        <family val="1"/>
      </rPr>
      <t xml:space="preserve"> "</t>
    </r>
    <r>
      <rPr>
        <sz val="10"/>
        <color theme="1"/>
        <rFont val="나눔고딕"/>
        <family val="3"/>
        <charset val="129"/>
      </rPr>
      <t>실제로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뚫리지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않는가</t>
    </r>
    <r>
      <rPr>
        <sz val="10"/>
        <color theme="1"/>
        <rFont val="Times New Roman"/>
        <family val="1"/>
      </rPr>
      <t>"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입증하는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것입니다</t>
    </r>
    <r>
      <rPr>
        <sz val="10"/>
        <color theme="1"/>
        <rFont val="Times New Roman"/>
        <family val="1"/>
      </rPr>
      <t xml:space="preserve">. 
</t>
    </r>
    <r>
      <rPr>
        <sz val="10"/>
        <color theme="1"/>
        <rFont val="나눔고딕"/>
        <family val="3"/>
        <charset val="129"/>
      </rPr>
      <t>설계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단계의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검증을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넘어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작성된</t>
    </r>
    <r>
      <rPr>
        <sz val="10"/>
        <color theme="1"/>
        <rFont val="Times New Roman"/>
        <family val="1"/>
      </rPr>
      <t xml:space="preserve"> SW </t>
    </r>
    <r>
      <rPr>
        <sz val="10"/>
        <color theme="1"/>
        <rFont val="나눔고딕"/>
        <family val="3"/>
        <charset val="129"/>
      </rPr>
      <t>코드에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대해</t>
    </r>
    <r>
      <rPr>
        <sz val="10"/>
        <color theme="1"/>
        <rFont val="Times New Roman"/>
        <family val="1"/>
      </rPr>
      <t xml:space="preserve"> SAST/DAST(</t>
    </r>
    <r>
      <rPr>
        <sz val="10"/>
        <color theme="1"/>
        <rFont val="나눔고딕"/>
        <family val="3"/>
        <charset val="129"/>
      </rPr>
      <t>정적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동적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분석</t>
    </r>
    <r>
      <rPr>
        <sz val="10"/>
        <color theme="1"/>
        <rFont val="Times New Roman"/>
        <family val="1"/>
      </rPr>
      <t>)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표준화하고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단품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상태에서의</t>
    </r>
    <r>
      <rPr>
        <sz val="10"/>
        <color theme="1"/>
        <rFont val="Times New Roman"/>
        <family val="1"/>
      </rPr>
      <t xml:space="preserve"> Fuzzing </t>
    </r>
    <r>
      <rPr>
        <sz val="10"/>
        <color theme="1"/>
        <rFont val="나눔고딕"/>
        <family val="3"/>
        <charset val="129"/>
      </rPr>
      <t>테스트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Penetration Testing </t>
    </r>
    <r>
      <rPr>
        <sz val="10"/>
        <color theme="1"/>
        <rFont val="나눔고딕"/>
        <family val="3"/>
        <charset val="129"/>
      </rPr>
      <t>결과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보고서를</t>
    </r>
    <r>
      <rPr>
        <sz val="10"/>
        <color theme="1"/>
        <rFont val="Times New Roman"/>
        <family val="1"/>
      </rPr>
      <t xml:space="preserve"> OEM</t>
    </r>
    <r>
      <rPr>
        <sz val="10"/>
        <color theme="1"/>
        <rFont val="나눔고딕"/>
        <family val="3"/>
        <charset val="129"/>
      </rPr>
      <t>에게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높은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신뢰도로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제공할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있어야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합니다</t>
    </r>
    <r>
      <rPr>
        <sz val="10"/>
        <color theme="1"/>
        <rFont val="Times New Roman"/>
        <family val="1"/>
      </rPr>
      <t>.</t>
    </r>
    <phoneticPr fontId="2" type="noConversion"/>
  </si>
  <si>
    <r>
      <t xml:space="preserve">4. SBOM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PSIRT </t>
    </r>
    <r>
      <rPr>
        <sz val="10"/>
        <color theme="1"/>
        <rFont val="나눔고딕"/>
        <family val="3"/>
        <charset val="129"/>
      </rPr>
      <t>체계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정착을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통한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지속적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모니터링</t>
    </r>
    <r>
      <rPr>
        <sz val="10"/>
        <color theme="1"/>
        <rFont val="Times New Roman"/>
        <family val="1"/>
      </rPr>
      <t>: 
ISO 21434</t>
    </r>
    <r>
      <rPr>
        <sz val="10"/>
        <color theme="1"/>
        <rFont val="나눔고딕"/>
        <family val="3"/>
        <charset val="129"/>
      </rPr>
      <t>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개발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완료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후의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지속적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관리</t>
    </r>
    <r>
      <rPr>
        <sz val="10"/>
        <color theme="1"/>
        <rFont val="Times New Roman"/>
        <family val="1"/>
      </rPr>
      <t>(Continual Activities)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강조합니다</t>
    </r>
    <r>
      <rPr>
        <sz val="10"/>
        <color theme="1"/>
        <rFont val="Times New Roman"/>
        <family val="1"/>
      </rPr>
      <t>. 
Tier 1</t>
    </r>
    <r>
      <rPr>
        <sz val="10"/>
        <color theme="1"/>
        <rFont val="나눔고딕"/>
        <family val="3"/>
        <charset val="129"/>
      </rPr>
      <t>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자사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제품에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들어가는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제</t>
    </r>
    <r>
      <rPr>
        <sz val="10"/>
        <color theme="1"/>
        <rFont val="Times New Roman"/>
        <family val="1"/>
      </rPr>
      <t>3</t>
    </r>
    <r>
      <rPr>
        <sz val="10"/>
        <color theme="1"/>
        <rFont val="나눔고딕"/>
        <family val="3"/>
        <charset val="129"/>
      </rPr>
      <t>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라이브러리와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오픈소스의</t>
    </r>
    <r>
      <rPr>
        <sz val="10"/>
        <color theme="1"/>
        <rFont val="Times New Roman"/>
        <family val="1"/>
      </rPr>
      <t xml:space="preserve"> SBOM(Software Bill of Materials)</t>
    </r>
    <r>
      <rPr>
        <sz val="10"/>
        <color theme="1"/>
        <rFont val="나눔고딕"/>
        <family val="3"/>
        <charset val="129"/>
      </rPr>
      <t>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명확히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관리하고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새로운</t>
    </r>
    <r>
      <rPr>
        <sz val="10"/>
        <color theme="1"/>
        <rFont val="Times New Roman"/>
        <family val="1"/>
      </rPr>
      <t xml:space="preserve"> CVE(Known Vulnerability)</t>
    </r>
    <r>
      <rPr>
        <sz val="10"/>
        <color theme="1"/>
        <rFont val="나눔고딕"/>
        <family val="3"/>
        <charset val="129"/>
      </rPr>
      <t>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발표되었을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때</t>
    </r>
    <r>
      <rPr>
        <sz val="10"/>
        <color theme="1"/>
        <rFont val="Times New Roman"/>
        <family val="1"/>
      </rPr>
      <t xml:space="preserve"> OEM</t>
    </r>
    <r>
      <rPr>
        <sz val="10"/>
        <color theme="1"/>
        <rFont val="나눔고딕"/>
        <family val="3"/>
        <charset val="129"/>
      </rPr>
      <t>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신속히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영향을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알리고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패치를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제공할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있는</t>
    </r>
    <r>
      <rPr>
        <sz val="10"/>
        <color theme="1"/>
        <rFont val="Times New Roman"/>
        <family val="1"/>
      </rPr>
      <t xml:space="preserve"> PSIRT </t>
    </r>
    <r>
      <rPr>
        <sz val="10"/>
        <color theme="1"/>
        <rFont val="나눔고딕"/>
        <family val="3"/>
        <charset val="129"/>
      </rPr>
      <t>체계를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갖춰야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합니다</t>
    </r>
    <r>
      <rPr>
        <sz val="10"/>
        <color theme="1"/>
        <rFont val="Times New Roman"/>
        <family val="1"/>
      </rPr>
      <t>.</t>
    </r>
    <phoneticPr fontId="2" type="noConversion"/>
  </si>
  <si>
    <r>
      <t xml:space="preserve">• </t>
    </r>
    <r>
      <rPr>
        <sz val="10"/>
        <color rgb="FF1F1F1F"/>
        <rFont val="나눔고딕"/>
        <family val="3"/>
        <charset val="129"/>
      </rPr>
      <t>신뢰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경계</t>
    </r>
    <r>
      <rPr>
        <sz val="10"/>
        <color rgb="FF1F1F1F"/>
        <rFont val="Times New Roman"/>
        <family val="1"/>
      </rPr>
      <t xml:space="preserve">(Trust Boundary)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구역</t>
    </r>
    <r>
      <rPr>
        <sz val="10"/>
        <color rgb="FF1F1F1F"/>
        <rFont val="Times New Roman"/>
        <family val="1"/>
      </rPr>
      <t xml:space="preserve">(Security Domain) </t>
    </r>
    <r>
      <rPr>
        <sz val="10"/>
        <color rgb="FF1F1F1F"/>
        <rFont val="나눔고딕"/>
        <family val="3"/>
        <charset val="129"/>
      </rPr>
      <t xml:space="preserve">정의
</t>
    </r>
    <r>
      <rPr>
        <sz val="10"/>
        <color rgb="FF1F1F1F"/>
        <rFont val="Times New Roman"/>
        <family val="1"/>
      </rPr>
      <t xml:space="preserve">• HSM/SHE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 Secure HW Core </t>
    </r>
    <r>
      <rPr>
        <sz val="10"/>
        <color rgb="FF1F1F1F"/>
        <rFont val="나눔고딕"/>
        <family val="3"/>
        <charset val="129"/>
      </rPr>
      <t>매핑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설계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주요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메커니즘</t>
    </r>
    <r>
      <rPr>
        <sz val="10"/>
        <color rgb="FF1F1F1F"/>
        <rFont val="Times New Roman"/>
        <family val="1"/>
      </rPr>
      <t xml:space="preserve">(Secure Boot, SecOC, Secure Flash, Secure Diag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) </t>
    </r>
    <r>
      <rPr>
        <sz val="10"/>
        <color rgb="FF1F1F1F"/>
        <rFont val="나눔고딕"/>
        <family val="3"/>
        <charset val="129"/>
      </rPr>
      <t>데이터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제어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플로우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설계</t>
    </r>
    <phoneticPr fontId="2" type="noConversion"/>
  </si>
  <si>
    <r>
      <t xml:space="preserve">• Hardware-Software Interface (HSI)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정의
</t>
    </r>
    <r>
      <rPr>
        <sz val="10"/>
        <color rgb="FF1F1F1F"/>
        <rFont val="Times New Roman"/>
        <family val="1"/>
      </rPr>
      <t xml:space="preserve">• Crypto API, </t>
    </r>
    <r>
      <rPr>
        <sz val="10"/>
        <color rgb="FF1F1F1F"/>
        <rFont val="나눔고딕"/>
        <family val="3"/>
        <charset val="129"/>
      </rPr>
      <t>키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관리</t>
    </r>
    <r>
      <rPr>
        <sz val="10"/>
        <color rgb="FF1F1F1F"/>
        <rFont val="Times New Roman"/>
        <family val="1"/>
      </rPr>
      <t>(</t>
    </r>
    <r>
      <rPr>
        <sz val="10"/>
        <color rgb="FF1F1F1F"/>
        <rFont val="나눔고딕"/>
        <family val="3"/>
        <charset val="129"/>
      </rPr>
      <t>발급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주입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파기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저장</t>
    </r>
    <r>
      <rPr>
        <sz val="10"/>
        <color rgb="FF1F1F1F"/>
        <rFont val="Times New Roman"/>
        <family val="1"/>
      </rPr>
      <t xml:space="preserve">) </t>
    </r>
    <r>
      <rPr>
        <sz val="10"/>
        <color rgb="FF1F1F1F"/>
        <rFont val="나눔고딕"/>
        <family val="3"/>
        <charset val="129"/>
      </rPr>
      <t>인터페이스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규격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작성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물리적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논리적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인터페이스</t>
    </r>
    <r>
      <rPr>
        <sz val="10"/>
        <color rgb="FF1F1F1F"/>
        <rFont val="Times New Roman"/>
        <family val="1"/>
      </rPr>
      <t xml:space="preserve">(JTAG, Debug Port, SPI, CAN-FD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)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제약조건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수립</t>
    </r>
    <phoneticPr fontId="2" type="noConversion"/>
  </si>
  <si>
    <r>
      <t xml:space="preserve">• </t>
    </r>
    <r>
      <rPr>
        <sz val="10"/>
        <color rgb="FF1F1F1F"/>
        <rFont val="나눔고딕"/>
        <family val="3"/>
        <charset val="129"/>
      </rPr>
      <t>데이터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흐름도</t>
    </r>
    <r>
      <rPr>
        <sz val="10"/>
        <color rgb="FF1F1F1F"/>
        <rFont val="Times New Roman"/>
        <family val="1"/>
      </rPr>
      <t xml:space="preserve">(DFD) </t>
    </r>
    <r>
      <rPr>
        <sz val="10"/>
        <color rgb="FF1F1F1F"/>
        <rFont val="나눔고딕"/>
        <family val="3"/>
        <charset val="129"/>
      </rPr>
      <t>기반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외부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접점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데이터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이동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도출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아키텍처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수준의</t>
    </r>
    <r>
      <rPr>
        <sz val="10"/>
        <color rgb="FF1F1F1F"/>
        <rFont val="Times New Roman"/>
        <family val="1"/>
      </rPr>
      <t xml:space="preserve"> Attack Surface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Trust Boundary </t>
    </r>
    <r>
      <rPr>
        <sz val="10"/>
        <color rgb="FF1F1F1F"/>
        <rFont val="나눔고딕"/>
        <family val="3"/>
        <charset val="129"/>
      </rPr>
      <t>침범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가능성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점검
</t>
    </r>
    <r>
      <rPr>
        <sz val="10"/>
        <color rgb="FF1F1F1F"/>
        <rFont val="Times New Roman"/>
        <family val="1"/>
      </rPr>
      <t xml:space="preserve">• ISO 21434 </t>
    </r>
    <r>
      <rPr>
        <sz val="10"/>
        <color rgb="FF1F1F1F"/>
        <rFont val="나눔고딕"/>
        <family val="3"/>
        <charset val="129"/>
      </rPr>
      <t>아키텍처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설계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적합성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리뷰</t>
    </r>
    <r>
      <rPr>
        <sz val="10"/>
        <color rgb="FF1F1F1F"/>
        <rFont val="Times New Roman"/>
        <family val="1"/>
      </rPr>
      <t xml:space="preserve">(Design Review) </t>
    </r>
    <r>
      <rPr>
        <sz val="10"/>
        <color rgb="FF1F1F1F"/>
        <rFont val="나눔고딕"/>
        <family val="3"/>
        <charset val="129"/>
      </rPr>
      <t>수행</t>
    </r>
    <phoneticPr fontId="2" type="noConversion"/>
  </si>
  <si>
    <r>
      <t xml:space="preserve">•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자산</t>
    </r>
    <r>
      <rPr>
        <sz val="10"/>
        <color rgb="FF1F1F1F"/>
        <rFont val="Times New Roman"/>
        <family val="1"/>
      </rPr>
      <t>(</t>
    </r>
    <r>
      <rPr>
        <sz val="10"/>
        <color rgb="FF1F1F1F"/>
        <rFont val="나눔고딕"/>
        <family val="3"/>
        <charset val="129"/>
      </rPr>
      <t>암호키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인증서</t>
    </r>
    <r>
      <rPr>
        <sz val="10"/>
        <color rgb="FF1F1F1F"/>
        <rFont val="Times New Roman"/>
        <family val="1"/>
      </rPr>
      <t xml:space="preserve">, Secure Boot </t>
    </r>
    <r>
      <rPr>
        <sz val="10"/>
        <color rgb="FF1F1F1F"/>
        <rFont val="나눔고딕"/>
        <family val="3"/>
        <charset val="129"/>
      </rPr>
      <t>로더</t>
    </r>
    <r>
      <rPr>
        <sz val="10"/>
        <color rgb="FF1F1F1F"/>
        <rFont val="Times New Roman"/>
        <family val="1"/>
      </rPr>
      <t xml:space="preserve">, Calibration </t>
    </r>
    <r>
      <rPr>
        <sz val="10"/>
        <color rgb="FF1F1F1F"/>
        <rFont val="나눔고딕"/>
        <family val="3"/>
        <charset val="129"/>
      </rPr>
      <t>데이터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펌웨어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이미지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) </t>
    </r>
    <r>
      <rPr>
        <sz val="10"/>
        <color rgb="FF1F1F1F"/>
        <rFont val="나눔고딕"/>
        <family val="3"/>
        <charset val="129"/>
      </rPr>
      <t>식별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CIA </t>
    </r>
    <r>
      <rPr>
        <sz val="10"/>
        <color rgb="FF1F1F1F"/>
        <rFont val="나눔고딕"/>
        <family val="3"/>
        <charset val="129"/>
      </rPr>
      <t>정밀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정의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물리적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논리적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접점</t>
    </r>
    <r>
      <rPr>
        <sz val="10"/>
        <color rgb="FF1F1F1F"/>
        <rFont val="Times New Roman"/>
        <family val="1"/>
      </rPr>
      <t xml:space="preserve">(CAN, LIN, SPI, JTAG, Debug Port, Shared Memory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)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표면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매핑</t>
    </r>
    <phoneticPr fontId="2" type="noConversion"/>
  </si>
  <si>
    <r>
      <t xml:space="preserve">• ECU </t>
    </r>
    <r>
      <rPr>
        <sz val="10"/>
        <color rgb="FF1F1F1F"/>
        <rFont val="나눔고딕"/>
        <family val="3"/>
        <charset val="129"/>
      </rPr>
      <t>내부</t>
    </r>
    <r>
      <rPr>
        <sz val="10"/>
        <color rgb="FF1F1F1F"/>
        <rFont val="Times New Roman"/>
        <family val="1"/>
      </rPr>
      <t xml:space="preserve"> Level 1/Level 2 </t>
    </r>
    <r>
      <rPr>
        <sz val="10"/>
        <color rgb="FF1F1F1F"/>
        <rFont val="나눔고딕"/>
        <family val="3"/>
        <charset val="129"/>
      </rPr>
      <t>데이터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흐름도</t>
    </r>
    <r>
      <rPr>
        <sz val="10"/>
        <color rgb="FF1F1F1F"/>
        <rFont val="Times New Roman"/>
        <family val="1"/>
      </rPr>
      <t xml:space="preserve">(DFD) </t>
    </r>
    <r>
      <rPr>
        <sz val="10"/>
        <color rgb="FF1F1F1F"/>
        <rFont val="나눔고딕"/>
        <family val="3"/>
        <charset val="129"/>
      </rPr>
      <t xml:space="preserve">작성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프로세스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데이터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저장소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데이터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흐름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신뢰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경계</t>
    </r>
    <r>
      <rPr>
        <sz val="10"/>
        <color rgb="FF1F1F1F"/>
        <rFont val="Times New Roman"/>
        <family val="1"/>
      </rPr>
      <t>(Trust Boundary)</t>
    </r>
    <r>
      <rPr>
        <sz val="10"/>
        <color rgb="FF1F1F1F"/>
        <rFont val="나눔고딕"/>
        <family val="3"/>
        <charset val="129"/>
      </rPr>
      <t>에</t>
    </r>
    <r>
      <rPr>
        <sz val="10"/>
        <color rgb="FF1F1F1F"/>
        <rFont val="Times New Roman"/>
        <family val="1"/>
      </rPr>
      <t xml:space="preserve"> STRIDE </t>
    </r>
    <r>
      <rPr>
        <sz val="10"/>
        <color rgb="FF1F1F1F"/>
        <rFont val="나눔고딕"/>
        <family val="3"/>
        <charset val="129"/>
      </rPr>
      <t>분석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적용
</t>
    </r>
    <r>
      <rPr>
        <sz val="10"/>
        <color rgb="FF1F1F1F"/>
        <rFont val="Times New Roman"/>
        <family val="1"/>
      </rPr>
      <t xml:space="preserve">• SW </t>
    </r>
    <r>
      <rPr>
        <sz val="10"/>
        <color rgb="FF1F1F1F"/>
        <rFont val="나눔고딕"/>
        <family val="3"/>
        <charset val="129"/>
      </rPr>
      <t>모듈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간</t>
    </r>
    <r>
      <rPr>
        <sz val="10"/>
        <color rgb="FF1F1F1F"/>
        <rFont val="Times New Roman"/>
        <family val="1"/>
      </rPr>
      <t xml:space="preserve">, MCU-HSM </t>
    </r>
    <r>
      <rPr>
        <sz val="10"/>
        <color rgb="FF1F1F1F"/>
        <rFont val="나눔고딕"/>
        <family val="3"/>
        <charset val="129"/>
      </rPr>
      <t>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데이터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전달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시나리오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</t>
    </r>
    <phoneticPr fontId="2" type="noConversion"/>
  </si>
  <si>
    <r>
      <t xml:space="preserve">• </t>
    </r>
    <r>
      <rPr>
        <sz val="10"/>
        <color rgb="FF1F1F1F"/>
        <rFont val="나눔고딕"/>
        <family val="3"/>
        <charset val="129"/>
      </rPr>
      <t>주요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시나리오별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트리</t>
    </r>
    <r>
      <rPr>
        <sz val="10"/>
        <color rgb="FF1F1F1F"/>
        <rFont val="Times New Roman"/>
        <family val="1"/>
      </rPr>
      <t xml:space="preserve">(Attack Tree) </t>
    </r>
    <r>
      <rPr>
        <sz val="10"/>
        <color rgb="FF1F1F1F"/>
        <rFont val="나눔고딕"/>
        <family val="3"/>
        <charset val="129"/>
      </rPr>
      <t xml:space="preserve">구성
</t>
    </r>
    <r>
      <rPr>
        <sz val="10"/>
        <color rgb="FF1F1F1F"/>
        <rFont val="Times New Roman"/>
        <family val="1"/>
      </rPr>
      <t xml:space="preserve">• ISO 21434 </t>
    </r>
    <r>
      <rPr>
        <sz val="10"/>
        <color rgb="FF1F1F1F"/>
        <rFont val="나눔고딕"/>
        <family val="3"/>
        <charset val="129"/>
      </rPr>
      <t>타당성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산정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요소</t>
    </r>
    <r>
      <rPr>
        <sz val="10"/>
        <color rgb="FF1F1F1F"/>
        <rFont val="Times New Roman"/>
        <family val="1"/>
      </rPr>
      <t xml:space="preserve">(Elapsed time, Specialist expertise, Knowledge of component, Window of opportunity, Equipment) </t>
    </r>
    <r>
      <rPr>
        <sz val="10"/>
        <color rgb="FF1F1F1F"/>
        <rFont val="나눔고딕"/>
        <family val="3"/>
        <charset val="129"/>
      </rPr>
      <t>기반</t>
    </r>
    <r>
      <rPr>
        <sz val="10"/>
        <color rgb="FF1F1F1F"/>
        <rFont val="Times New Roman"/>
        <family val="1"/>
      </rPr>
      <t xml:space="preserve"> Score </t>
    </r>
    <r>
      <rPr>
        <sz val="10"/>
        <color rgb="FF1F1F1F"/>
        <rFont val="나눔고딕"/>
        <family val="3"/>
        <charset val="129"/>
      </rPr>
      <t xml:space="preserve">계산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최종</t>
    </r>
    <r>
      <rPr>
        <sz val="10"/>
        <color rgb="FF1F1F1F"/>
        <rFont val="Times New Roman"/>
        <family val="1"/>
      </rPr>
      <t xml:space="preserve"> Risk Value </t>
    </r>
    <r>
      <rPr>
        <sz val="10"/>
        <color rgb="FF1F1F1F"/>
        <rFont val="나눔고딕"/>
        <family val="3"/>
        <charset val="129"/>
      </rPr>
      <t>산출</t>
    </r>
    <phoneticPr fontId="2" type="noConversion"/>
  </si>
  <si>
    <r>
      <t xml:space="preserve">• STRIDE </t>
    </r>
    <r>
      <rPr>
        <sz val="10"/>
        <color rgb="FF1F1F1F"/>
        <rFont val="나눔고딕"/>
        <family val="3"/>
        <charset val="129"/>
      </rPr>
      <t>위협별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기술</t>
    </r>
    <r>
      <rPr>
        <sz val="10"/>
        <color rgb="FF1F1F1F"/>
        <rFont val="Times New Roman"/>
        <family val="1"/>
      </rPr>
      <t xml:space="preserve">(MPU </t>
    </r>
    <r>
      <rPr>
        <sz val="10"/>
        <color rgb="FF1F1F1F"/>
        <rFont val="나눔고딕"/>
        <family val="3"/>
        <charset val="129"/>
      </rPr>
      <t>메모리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보호</t>
    </r>
    <r>
      <rPr>
        <sz val="10"/>
        <color rgb="FF1F1F1F"/>
        <rFont val="Times New Roman"/>
        <family val="1"/>
      </rPr>
      <t xml:space="preserve">, Flash Lock, JTAG Disable, Rate Limiting, MPU Domain </t>
    </r>
    <r>
      <rPr>
        <sz val="10"/>
        <color rgb="FF1F1F1F"/>
        <rFont val="나눔고딕"/>
        <family val="3"/>
        <charset val="129"/>
      </rPr>
      <t>분리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) </t>
    </r>
    <r>
      <rPr>
        <sz val="10"/>
        <color rgb="FF1F1F1F"/>
        <rFont val="나눔고딕"/>
        <family val="3"/>
        <charset val="129"/>
      </rPr>
      <t xml:space="preserve">정의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완화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조치를</t>
    </r>
    <r>
      <rPr>
        <sz val="10"/>
        <color rgb="FF1F1F1F"/>
        <rFont val="Times New Roman"/>
        <family val="1"/>
      </rPr>
      <t xml:space="preserve"> TSR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HW/SW </t>
    </r>
    <r>
      <rPr>
        <sz val="10"/>
        <color rgb="FF1F1F1F"/>
        <rFont val="나눔고딕"/>
        <family val="3"/>
        <charset val="129"/>
      </rPr>
      <t>구현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요구사항에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반영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잔여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위험</t>
    </r>
    <r>
      <rPr>
        <sz val="10"/>
        <color rgb="FF1F1F1F"/>
        <rFont val="Times New Roman"/>
        <family val="1"/>
      </rPr>
      <t>(Residual Risk)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가능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여부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판정</t>
    </r>
    <phoneticPr fontId="2" type="noConversion"/>
  </si>
  <si>
    <r>
      <t xml:space="preserve">• CAN/CAN-FD, DoIP, UDS, Ethernet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차세대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통신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프로토콜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대상</t>
    </r>
    <r>
      <rPr>
        <sz val="10"/>
        <color rgb="FF1F1F1F"/>
        <rFont val="Times New Roman"/>
        <family val="1"/>
      </rPr>
      <t xml:space="preserve"> Fuzzing
• Debug Port(JTAG), External Flash, SPI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 HW </t>
    </r>
    <r>
      <rPr>
        <sz val="10"/>
        <color rgb="FF1F1F1F"/>
        <rFont val="나눔고딕"/>
        <family val="3"/>
        <charset val="129"/>
      </rPr>
      <t>인터페이스</t>
    </r>
    <r>
      <rPr>
        <sz val="10"/>
        <color rgb="FF1F1F1F"/>
        <rFont val="Times New Roman"/>
        <family val="1"/>
      </rPr>
      <t xml:space="preserve"> Fuzzing
• </t>
    </r>
    <r>
      <rPr>
        <sz val="10"/>
        <color rgb="FF1F1F1F"/>
        <rFont val="나눔고딕"/>
        <family val="3"/>
        <charset val="129"/>
      </rPr>
      <t>예외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처리</t>
    </r>
    <r>
      <rPr>
        <sz val="10"/>
        <color rgb="FF1F1F1F"/>
        <rFont val="Times New Roman"/>
        <family val="1"/>
      </rPr>
      <t xml:space="preserve">, Watchdog </t>
    </r>
    <r>
      <rPr>
        <sz val="10"/>
        <color rgb="FF1F1F1F"/>
        <rFont val="나눔고딕"/>
        <family val="3"/>
        <charset val="129"/>
      </rPr>
      <t>리셋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서비스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거부</t>
    </r>
    <r>
      <rPr>
        <sz val="10"/>
        <color rgb="FF1F1F1F"/>
        <rFont val="Times New Roman"/>
        <family val="1"/>
      </rPr>
      <t xml:space="preserve">(DoS) </t>
    </r>
    <r>
      <rPr>
        <sz val="10"/>
        <color rgb="FF1F1F1F"/>
        <rFont val="나눔고딕"/>
        <family val="3"/>
        <charset val="129"/>
      </rPr>
      <t>발생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여부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모니터링</t>
    </r>
    <phoneticPr fontId="2" type="noConversion"/>
  </si>
  <si>
    <r>
      <t xml:space="preserve">• </t>
    </r>
    <r>
      <rPr>
        <sz val="10"/>
        <color rgb="FF1F1F1F"/>
        <rFont val="나눔고딕"/>
        <family val="3"/>
        <charset val="129"/>
      </rPr>
      <t>물리적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: JTAG Glitching, Side-Channel Attack, </t>
    </r>
    <r>
      <rPr>
        <sz val="10"/>
        <color rgb="FF1F1F1F"/>
        <rFont val="나눔고딕"/>
        <family val="3"/>
        <charset val="129"/>
      </rPr>
      <t>메모리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덤프</t>
    </r>
    <r>
      <rPr>
        <sz val="10"/>
        <color rgb="FF1F1F1F"/>
        <rFont val="Times New Roman"/>
        <family val="1"/>
      </rPr>
      <t xml:space="preserve">, Flash Unlocking </t>
    </r>
    <r>
      <rPr>
        <sz val="10"/>
        <color rgb="FF1F1F1F"/>
        <rFont val="나눔고딕"/>
        <family val="3"/>
        <charset val="129"/>
      </rPr>
      <t xml:space="preserve">시도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논리적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: SecOC Bypassing, Replay Attack, Diagnostic Authentication (Seed-Key) </t>
    </r>
    <r>
      <rPr>
        <sz val="10"/>
        <color rgb="FF1F1F1F"/>
        <rFont val="나눔고딕"/>
        <family val="3"/>
        <charset val="129"/>
      </rPr>
      <t>우회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시도
</t>
    </r>
    <r>
      <rPr>
        <sz val="10"/>
        <color rgb="FF1F1F1F"/>
        <rFont val="Times New Roman"/>
        <family val="1"/>
      </rPr>
      <t xml:space="preserve">• Secure Boot </t>
    </r>
    <r>
      <rPr>
        <sz val="10"/>
        <color rgb="FF1F1F1F"/>
        <rFont val="나눔고딕"/>
        <family val="3"/>
        <charset val="129"/>
      </rPr>
      <t>무력화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비인증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펌웨어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변조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업로드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테스트</t>
    </r>
    <phoneticPr fontId="2" type="noConversion"/>
  </si>
  <si>
    <r>
      <t xml:space="preserve">• TSR </t>
    </r>
    <r>
      <rPr>
        <sz val="10"/>
        <color rgb="FF1F1F1F"/>
        <rFont val="나눔고딕"/>
        <family val="3"/>
        <charset val="129"/>
      </rPr>
      <t>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검증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결과</t>
    </r>
    <r>
      <rPr>
        <sz val="10"/>
        <color rgb="FF1F1F1F"/>
        <rFont val="Times New Roman"/>
        <family val="1"/>
      </rPr>
      <t xml:space="preserve">(Verification Matrix) </t>
    </r>
    <r>
      <rPr>
        <sz val="10"/>
        <color rgb="FF1F1F1F"/>
        <rFont val="나눔고딕"/>
        <family val="3"/>
        <charset val="129"/>
      </rPr>
      <t>일대일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매핑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검증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잔여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취약점</t>
    </r>
    <r>
      <rPr>
        <sz val="10"/>
        <color rgb="FF1F1F1F"/>
        <rFont val="Times New Roman"/>
        <family val="1"/>
      </rPr>
      <t>(Residual Vulnerability)</t>
    </r>
    <r>
      <rPr>
        <sz val="10"/>
        <color rgb="FF1F1F1F"/>
        <rFont val="나눔고딕"/>
        <family val="3"/>
        <charset val="129"/>
      </rPr>
      <t>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대한</t>
    </r>
    <r>
      <rPr>
        <sz val="10"/>
        <color rgb="FF1F1F1F"/>
        <rFont val="Times New Roman"/>
        <family val="1"/>
      </rPr>
      <t xml:space="preserve"> Risk Acceptability </t>
    </r>
    <r>
      <rPr>
        <sz val="10"/>
        <color rgb="FF1F1F1F"/>
        <rFont val="나눔고딕"/>
        <family val="3"/>
        <charset val="129"/>
      </rPr>
      <t xml:space="preserve">증명
</t>
    </r>
    <r>
      <rPr>
        <sz val="10"/>
        <color rgb="FF1F1F1F"/>
        <rFont val="Times New Roman"/>
        <family val="1"/>
      </rPr>
      <t xml:space="preserve">• OEM </t>
    </r>
    <r>
      <rPr>
        <sz val="10"/>
        <color rgb="FF1F1F1F"/>
        <rFont val="나눔고딕"/>
        <family val="3"/>
        <charset val="129"/>
      </rPr>
      <t>서명용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종합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사이버보안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검증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보고서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</t>
    </r>
    <phoneticPr fontId="2" type="noConversion"/>
  </si>
  <si>
    <r>
      <t xml:space="preserve">• CI/CD </t>
    </r>
    <r>
      <rPr>
        <sz val="10"/>
        <color rgb="FF1F1F1F"/>
        <rFont val="나눔고딕"/>
        <family val="3"/>
        <charset val="129"/>
      </rPr>
      <t>파이프라인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연동을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통한</t>
    </r>
    <r>
      <rPr>
        <sz val="10"/>
        <color rgb="FF1F1F1F"/>
        <rFont val="Times New Roman"/>
        <family val="1"/>
      </rPr>
      <t xml:space="preserve"> SPDX </t>
    </r>
    <r>
      <rPr>
        <sz val="10"/>
        <color rgb="FF1F1F1F"/>
        <rFont val="나눔고딕"/>
        <family val="3"/>
        <charset val="129"/>
      </rPr>
      <t>또는</t>
    </r>
    <r>
      <rPr>
        <sz val="10"/>
        <color rgb="FF1F1F1F"/>
        <rFont val="Times New Roman"/>
        <family val="1"/>
      </rPr>
      <t xml:space="preserve"> CycloneDX </t>
    </r>
    <r>
      <rPr>
        <sz val="10"/>
        <color rgb="FF1F1F1F"/>
        <rFont val="나눔고딕"/>
        <family val="3"/>
        <charset val="129"/>
      </rPr>
      <t>표준</t>
    </r>
    <r>
      <rPr>
        <sz val="10"/>
        <color rgb="FF1F1F1F"/>
        <rFont val="Times New Roman"/>
        <family val="1"/>
      </rPr>
      <t xml:space="preserve"> format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SBOM </t>
    </r>
    <r>
      <rPr>
        <sz val="10"/>
        <color rgb="FF1F1F1F"/>
        <rFont val="나눔고딕"/>
        <family val="3"/>
        <charset val="129"/>
      </rPr>
      <t>자동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생성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제</t>
    </r>
    <r>
      <rPr>
        <sz val="10"/>
        <color rgb="FF1F1F1F"/>
        <rFont val="Times New Roman"/>
        <family val="1"/>
      </rPr>
      <t>3</t>
    </r>
    <r>
      <rPr>
        <sz val="10"/>
        <color rgb="FF1F1F1F"/>
        <rFont val="나눔고딕"/>
        <family val="3"/>
        <charset val="129"/>
      </rPr>
      <t>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라이브러리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오픈소스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버전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라이선스</t>
    </r>
    <r>
      <rPr>
        <sz val="10"/>
        <color rgb="FF1F1F1F"/>
        <rFont val="Times New Roman"/>
        <family val="1"/>
      </rPr>
      <t xml:space="preserve">, Hash </t>
    </r>
    <r>
      <rPr>
        <sz val="10"/>
        <color rgb="FF1F1F1F"/>
        <rFont val="나눔고딕"/>
        <family val="3"/>
        <charset val="129"/>
      </rPr>
      <t>값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컴포넌트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의존성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트리를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관리</t>
    </r>
    <phoneticPr fontId="2" type="noConversion"/>
  </si>
  <si>
    <r>
      <t xml:space="preserve">• SBOM </t>
    </r>
    <r>
      <rPr>
        <sz val="10"/>
        <color rgb="FF1F1F1F"/>
        <rFont val="나눔고딕"/>
        <family val="3"/>
        <charset val="129"/>
      </rPr>
      <t>기반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신규</t>
    </r>
    <r>
      <rPr>
        <sz val="10"/>
        <color rgb="FF1F1F1F"/>
        <rFont val="Times New Roman"/>
        <family val="1"/>
      </rPr>
      <t xml:space="preserve"> CVE </t>
    </r>
    <r>
      <rPr>
        <sz val="10"/>
        <color rgb="FF1F1F1F"/>
        <rFont val="나눔고딕"/>
        <family val="3"/>
        <charset val="129"/>
      </rPr>
      <t>데이터베이스</t>
    </r>
    <r>
      <rPr>
        <sz val="10"/>
        <color rgb="FF1F1F1F"/>
        <rFont val="Times New Roman"/>
        <family val="1"/>
      </rPr>
      <t xml:space="preserve">(NVD, FIRST, Security Advisory) </t>
    </r>
    <r>
      <rPr>
        <sz val="10"/>
        <color rgb="FF1F1F1F"/>
        <rFont val="나눔고딕"/>
        <family val="3"/>
        <charset val="129"/>
      </rPr>
      <t>자동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매핑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스캐닝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식별된</t>
    </r>
    <r>
      <rPr>
        <sz val="10"/>
        <color rgb="FF1F1F1F"/>
        <rFont val="Times New Roman"/>
        <family val="1"/>
      </rPr>
      <t xml:space="preserve"> CVE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자사</t>
    </r>
    <r>
      <rPr>
        <sz val="10"/>
        <color rgb="FF1F1F1F"/>
        <rFont val="Times New Roman"/>
        <family val="1"/>
      </rPr>
      <t xml:space="preserve"> ECU </t>
    </r>
    <r>
      <rPr>
        <sz val="10"/>
        <color rgb="FF1F1F1F"/>
        <rFont val="나눔고딕"/>
        <family val="3"/>
        <charset val="129"/>
      </rPr>
      <t>적용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가능성</t>
    </r>
    <r>
      <rPr>
        <sz val="10"/>
        <color rgb="FF1F1F1F"/>
        <rFont val="Times New Roman"/>
        <family val="1"/>
      </rPr>
      <t xml:space="preserve">, CVSS </t>
    </r>
    <r>
      <rPr>
        <sz val="10"/>
        <color rgb="FF1F1F1F"/>
        <rFont val="나눔고딕"/>
        <family val="3"/>
        <charset val="129"/>
      </rPr>
      <t>점수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실제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영향도</t>
    </r>
    <r>
      <rPr>
        <sz val="10"/>
        <color rgb="FF1F1F1F"/>
        <rFont val="Times New Roman"/>
        <family val="1"/>
      </rPr>
      <t xml:space="preserve">(Exploitability) </t>
    </r>
    <r>
      <rPr>
        <sz val="10"/>
        <color rgb="FF1F1F1F"/>
        <rFont val="나눔고딕"/>
        <family val="3"/>
        <charset val="129"/>
      </rPr>
      <t>정밀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평가</t>
    </r>
    <phoneticPr fontId="2" type="noConversion"/>
  </si>
  <si>
    <r>
      <t xml:space="preserve">• </t>
    </r>
    <r>
      <rPr>
        <sz val="10"/>
        <color rgb="FF1F1F1F"/>
        <rFont val="나눔고딕"/>
        <family val="3"/>
        <charset val="129"/>
      </rPr>
      <t>패치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개발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기능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영향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방지를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회귀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테스트</t>
    </r>
    <r>
      <rPr>
        <sz val="10"/>
        <color rgb="FF1F1F1F"/>
        <rFont val="Times New Roman"/>
        <family val="1"/>
      </rPr>
      <t xml:space="preserve">(Regression Test) </t>
    </r>
    <r>
      <rPr>
        <sz val="10"/>
        <color rgb="FF1F1F1F"/>
        <rFont val="나눔고딕"/>
        <family val="3"/>
        <charset val="129"/>
      </rPr>
      <t>절차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수립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패치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바이너리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무결성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인증을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전자서명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적용
</t>
    </r>
    <r>
      <rPr>
        <sz val="10"/>
        <color rgb="FF1F1F1F"/>
        <rFont val="Times New Roman"/>
        <family val="1"/>
      </rPr>
      <t xml:space="preserve">• OEM OTA </t>
    </r>
    <r>
      <rPr>
        <sz val="10"/>
        <color rgb="FF1F1F1F"/>
        <rFont val="나눔고딕"/>
        <family val="3"/>
        <charset val="129"/>
      </rPr>
      <t>배포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시스템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연동용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패치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패키지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규격화</t>
    </r>
    <phoneticPr fontId="2" type="noConversion"/>
  </si>
  <si>
    <r>
      <rPr>
        <sz val="10"/>
        <color theme="1"/>
        <rFont val="나눔고딕"/>
        <family val="3"/>
        <charset val="129"/>
      </rPr>
      <t>▶</t>
    </r>
    <r>
      <rPr>
        <sz val="10"/>
        <color theme="1"/>
        <rFont val="Times New Roman"/>
        <family val="1"/>
      </rPr>
      <t xml:space="preserve"> 4</t>
    </r>
    <r>
      <rPr>
        <sz val="10"/>
        <color theme="1"/>
        <rFont val="나눔고딕"/>
        <family val="3"/>
        <charset val="129"/>
      </rPr>
      <t>단계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종합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요약</t>
    </r>
    <phoneticPr fontId="2" type="noConversion"/>
  </si>
  <si>
    <r>
      <rPr>
        <sz val="10"/>
        <color theme="1"/>
        <rFont val="나눔고딕"/>
        <family val="3"/>
        <charset val="129"/>
      </rPr>
      <t>▷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컨셉</t>
    </r>
    <r>
      <rPr>
        <sz val="10"/>
        <color theme="1"/>
        <rFont val="Times New Roman"/>
        <family val="1"/>
      </rPr>
      <t xml:space="preserve"> (TCC): OEM CSG</t>
    </r>
    <r>
      <rPr>
        <sz val="10"/>
        <color theme="1"/>
        <rFont val="나눔고딕"/>
        <family val="3"/>
        <charset val="129"/>
      </rPr>
      <t>를</t>
    </r>
    <r>
      <rPr>
        <sz val="10"/>
        <color theme="1"/>
        <rFont val="Times New Roman"/>
        <family val="1"/>
      </rPr>
      <t xml:space="preserve"> ECU/SW </t>
    </r>
    <r>
      <rPr>
        <sz val="10"/>
        <color theme="1"/>
        <rFont val="나눔고딕"/>
        <family val="3"/>
        <charset val="129"/>
      </rPr>
      <t>레벨</t>
    </r>
    <r>
      <rPr>
        <sz val="10"/>
        <color theme="1"/>
        <rFont val="Times New Roman"/>
        <family val="1"/>
      </rPr>
      <t xml:space="preserve"> TSR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아키텍처로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완벽히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분해</t>
    </r>
    <phoneticPr fontId="2" type="noConversion"/>
  </si>
  <si>
    <r>
      <rPr>
        <sz val="10"/>
        <color theme="1"/>
        <rFont val="나눔고딕"/>
        <family val="3"/>
        <charset val="129"/>
      </rPr>
      <t>▷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미시적</t>
    </r>
    <r>
      <rPr>
        <sz val="10"/>
        <color theme="1"/>
        <rFont val="Times New Roman"/>
        <family val="1"/>
      </rPr>
      <t xml:space="preserve"> TARA (Micro-TARA): ECU </t>
    </r>
    <r>
      <rPr>
        <sz val="10"/>
        <color theme="1"/>
        <rFont val="나눔고딕"/>
        <family val="3"/>
        <charset val="129"/>
      </rPr>
      <t>내부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버스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메모리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인터페이스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대상</t>
    </r>
    <r>
      <rPr>
        <sz val="10"/>
        <color theme="1"/>
        <rFont val="Times New Roman"/>
        <family val="1"/>
      </rPr>
      <t xml:space="preserve"> STRIDE </t>
    </r>
    <r>
      <rPr>
        <sz val="10"/>
        <color theme="1"/>
        <rFont val="나눔고딕"/>
        <family val="3"/>
        <charset val="129"/>
      </rPr>
      <t>기반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미시적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분석</t>
    </r>
    <phoneticPr fontId="2" type="noConversion"/>
  </si>
  <si>
    <r>
      <rPr>
        <sz val="10"/>
        <color theme="1"/>
        <rFont val="나눔고딕"/>
        <family val="3"/>
        <charset val="129"/>
      </rPr>
      <t>▷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실효성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있는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검증</t>
    </r>
    <r>
      <rPr>
        <sz val="10"/>
        <color theme="1"/>
        <rFont val="Times New Roman"/>
        <family val="1"/>
      </rPr>
      <t xml:space="preserve"> (V&amp;V): SAST/DAST, Fuzzing, HW/SW Pen-Test</t>
    </r>
    <r>
      <rPr>
        <sz val="10"/>
        <color theme="1"/>
        <rFont val="나눔고딕"/>
        <family val="3"/>
        <charset val="129"/>
      </rPr>
      <t>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방어력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입증</t>
    </r>
    <phoneticPr fontId="2" type="noConversion"/>
  </si>
  <si>
    <r>
      <rPr>
        <sz val="10"/>
        <color theme="1"/>
        <rFont val="나눔고딕"/>
        <family val="3"/>
        <charset val="129"/>
      </rPr>
      <t>▷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지속적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모니터링</t>
    </r>
    <r>
      <rPr>
        <sz val="10"/>
        <color theme="1"/>
        <rFont val="Times New Roman"/>
        <family val="1"/>
      </rPr>
      <t xml:space="preserve"> (SBOM &amp; PSIRT): SBOM </t>
    </r>
    <r>
      <rPr>
        <sz val="10"/>
        <color theme="1"/>
        <rFont val="나눔고딕"/>
        <family val="3"/>
        <charset val="129"/>
      </rPr>
      <t>기반</t>
    </r>
    <r>
      <rPr>
        <sz val="10"/>
        <color theme="1"/>
        <rFont val="Times New Roman"/>
        <family val="1"/>
      </rPr>
      <t xml:space="preserve"> 24/7 CVE </t>
    </r>
    <r>
      <rPr>
        <sz val="10"/>
        <color theme="1"/>
        <rFont val="나눔고딕"/>
        <family val="3"/>
        <charset val="129"/>
      </rPr>
      <t>모니터링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빠른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패치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체계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구축</t>
    </r>
    <phoneticPr fontId="2" type="noConversion"/>
  </si>
  <si>
    <r>
      <rPr>
        <b/>
        <sz val="11"/>
        <color theme="1"/>
        <rFont val="나눔고딕"/>
        <family val="3"/>
        <charset val="129"/>
      </rPr>
      <t>▶</t>
    </r>
    <r>
      <rPr>
        <b/>
        <sz val="11"/>
        <color theme="1"/>
        <rFont val="Times New Roman"/>
        <family val="1"/>
      </rPr>
      <t xml:space="preserve"> [</t>
    </r>
    <r>
      <rPr>
        <b/>
        <sz val="11"/>
        <color theme="1"/>
        <rFont val="나눔고딕"/>
        <family val="3"/>
        <charset val="129"/>
      </rPr>
      <t>방향</t>
    </r>
    <r>
      <rPr>
        <b/>
        <sz val="11"/>
        <color theme="1"/>
        <rFont val="Times New Roman"/>
        <family val="1"/>
      </rPr>
      <t>2]</t>
    </r>
    <r>
      <rPr>
        <b/>
        <sz val="11"/>
        <color theme="1"/>
        <rFont val="나눔고딕"/>
        <family val="3"/>
        <charset val="129"/>
      </rPr>
      <t>에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대한</t>
    </r>
    <r>
      <rPr>
        <b/>
        <sz val="11"/>
        <color theme="1"/>
        <rFont val="Times New Roman"/>
        <family val="1"/>
      </rPr>
      <t xml:space="preserve"> OEM-TIER </t>
    </r>
    <r>
      <rPr>
        <b/>
        <sz val="11"/>
        <color theme="1"/>
        <rFont val="나눔고딕"/>
        <family val="3"/>
        <charset val="129"/>
      </rPr>
      <t>역할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관점에서의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차이</t>
    </r>
    <r>
      <rPr>
        <b/>
        <sz val="11"/>
        <color theme="1"/>
        <rFont val="Times New Roman"/>
        <family val="1"/>
      </rPr>
      <t xml:space="preserve"> </t>
    </r>
    <r>
      <rPr>
        <b/>
        <sz val="11"/>
        <color theme="1"/>
        <rFont val="나눔고딕"/>
        <family val="3"/>
        <charset val="129"/>
      </rPr>
      <t>비교</t>
    </r>
    <phoneticPr fontId="2" type="noConversion"/>
  </si>
  <si>
    <r>
      <t xml:space="preserve">Black-Box </t>
    </r>
    <r>
      <rPr>
        <b/>
        <sz val="10"/>
        <color rgb="FF1F1F1F"/>
        <rFont val="나눔고딕"/>
        <family val="3"/>
        <charset val="129"/>
      </rPr>
      <t>대</t>
    </r>
    <r>
      <rPr>
        <b/>
        <sz val="10"/>
        <color rgb="FF1F1F1F"/>
        <rFont val="Times New Roman"/>
        <family val="1"/>
      </rPr>
      <t xml:space="preserve"> White-Box</t>
    </r>
    <r>
      <rPr>
        <sz val="10"/>
        <color rgb="FF1F1F1F"/>
        <rFont val="Times New Roman"/>
        <family val="1"/>
      </rPr>
      <t>: OEM</t>
    </r>
    <r>
      <rPr>
        <sz val="10"/>
        <color rgb="FF1F1F1F"/>
        <rFont val="나눔고딕"/>
        <family val="3"/>
        <charset val="129"/>
      </rPr>
      <t>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차량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외곽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접점을</t>
    </r>
    <r>
      <rPr>
        <sz val="10"/>
        <color rgb="FF1F1F1F"/>
        <rFont val="Times New Roman"/>
        <family val="1"/>
      </rPr>
      <t xml:space="preserve">, </t>
    </r>
    <r>
      <rPr>
        <sz val="10"/>
        <color rgb="FFC00000"/>
        <rFont val="Times New Roman"/>
        <family val="1"/>
      </rPr>
      <t>Tier</t>
    </r>
    <r>
      <rPr>
        <sz val="10"/>
        <color rgb="FFC00000"/>
        <rFont val="나눔고딕"/>
        <family val="3"/>
        <charset val="129"/>
      </rPr>
      <t>는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칩셋</t>
    </r>
    <r>
      <rPr>
        <sz val="10"/>
        <color rgb="FFC00000"/>
        <rFont val="Times New Roman"/>
        <family val="1"/>
      </rPr>
      <t>/PCB/</t>
    </r>
    <r>
      <rPr>
        <sz val="10"/>
        <color rgb="FFC00000"/>
        <rFont val="나눔고딕"/>
        <family val="3"/>
        <charset val="129"/>
      </rPr>
      <t>소프트웨어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내부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접점을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식별</t>
    </r>
    <r>
      <rPr>
        <sz val="10"/>
        <color rgb="FF1F1F1F"/>
        <rFont val="나눔고딕"/>
        <family val="3"/>
        <charset val="129"/>
      </rPr>
      <t>함</t>
    </r>
    <phoneticPr fontId="2" type="noConversion"/>
  </si>
  <si>
    <r>
      <rPr>
        <b/>
        <sz val="10"/>
        <color rgb="FF1F1F1F"/>
        <rFont val="나눔고딕"/>
        <family val="3"/>
        <charset val="129"/>
      </rPr>
      <t>시스템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관점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대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코드</t>
    </r>
    <r>
      <rPr>
        <b/>
        <sz val="10"/>
        <color rgb="FF1F1F1F"/>
        <rFont val="Times New Roman"/>
        <family val="1"/>
      </rPr>
      <t>/</t>
    </r>
    <r>
      <rPr>
        <b/>
        <sz val="10"/>
        <color rgb="FF1F1F1F"/>
        <rFont val="나눔고딕"/>
        <family val="3"/>
        <charset val="129"/>
      </rPr>
      <t>아키텍처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관점</t>
    </r>
    <r>
      <rPr>
        <sz val="10"/>
        <color rgb="FF1F1F1F"/>
        <rFont val="Times New Roman"/>
        <family val="1"/>
      </rPr>
      <t>: OEM</t>
    </r>
    <r>
      <rPr>
        <sz val="10"/>
        <color rgb="FF1F1F1F"/>
        <rFont val="나눔고딕"/>
        <family val="3"/>
        <charset val="129"/>
      </rPr>
      <t>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통신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메시지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조작을</t>
    </r>
    <r>
      <rPr>
        <sz val="10"/>
        <color rgb="FF1F1F1F"/>
        <rFont val="Times New Roman"/>
        <family val="1"/>
      </rPr>
      <t xml:space="preserve">, </t>
    </r>
    <r>
      <rPr>
        <sz val="10"/>
        <color rgb="FFC00000"/>
        <rFont val="Times New Roman"/>
        <family val="1"/>
      </rPr>
      <t>Tier</t>
    </r>
    <r>
      <rPr>
        <sz val="10"/>
        <color rgb="FFC00000"/>
        <rFont val="나눔고딕"/>
        <family val="3"/>
        <charset val="129"/>
      </rPr>
      <t>는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메모리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오염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및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권한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우회를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분석</t>
    </r>
    <r>
      <rPr>
        <sz val="10"/>
        <color rgb="FF1F1F1F"/>
        <rFont val="나눔고딕"/>
        <family val="3"/>
        <charset val="129"/>
      </rPr>
      <t>함</t>
    </r>
    <phoneticPr fontId="2" type="noConversion"/>
  </si>
  <si>
    <r>
      <rPr>
        <b/>
        <sz val="10"/>
        <color rgb="FF1F1F1F"/>
        <rFont val="나눔고딕"/>
        <family val="3"/>
        <charset val="129"/>
      </rPr>
      <t>개념적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위협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대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C00000"/>
        <rFont val="나눔고딕"/>
        <family val="3"/>
        <charset val="129"/>
      </rPr>
      <t>기술적</t>
    </r>
    <r>
      <rPr>
        <b/>
        <sz val="10"/>
        <color rgb="FFC00000"/>
        <rFont val="Times New Roman"/>
        <family val="1"/>
      </rPr>
      <t xml:space="preserve"> </t>
    </r>
    <r>
      <rPr>
        <b/>
        <sz val="10"/>
        <color rgb="FFC00000"/>
        <rFont val="나눔고딕"/>
        <family val="3"/>
        <charset val="129"/>
      </rPr>
      <t>실행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경로</t>
    </r>
    <r>
      <rPr>
        <sz val="10"/>
        <color rgb="FF1F1F1F"/>
        <rFont val="Times New Roman"/>
        <family val="1"/>
      </rPr>
      <t>: Tier</t>
    </r>
    <r>
      <rPr>
        <sz val="10"/>
        <color rgb="FF1F1F1F"/>
        <rFont val="나눔고딕"/>
        <family val="3"/>
        <charset val="129"/>
      </rPr>
      <t>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실제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하드웨어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플래시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레벨의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구체적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기법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스코어링을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담당함</t>
    </r>
    <phoneticPr fontId="2" type="noConversion"/>
  </si>
  <si>
    <r>
      <rPr>
        <b/>
        <sz val="10"/>
        <color rgb="FF1F1F1F"/>
        <rFont val="나눔고딕"/>
        <family val="3"/>
        <charset val="129"/>
      </rPr>
      <t>목적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정의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대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기술적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구현</t>
    </r>
    <r>
      <rPr>
        <sz val="10"/>
        <color rgb="FF1F1F1F"/>
        <rFont val="Times New Roman"/>
        <family val="1"/>
      </rPr>
      <t>: OEM</t>
    </r>
    <r>
      <rPr>
        <sz val="10"/>
        <color rgb="FF1F1F1F"/>
        <rFont val="나눔고딕"/>
        <family val="3"/>
        <charset val="129"/>
      </rPr>
      <t>은</t>
    </r>
    <r>
      <rPr>
        <sz val="10"/>
        <color rgb="FF1F1F1F"/>
        <rFont val="Times New Roman"/>
        <family val="1"/>
      </rPr>
      <t xml:space="preserve"> '</t>
    </r>
    <r>
      <rPr>
        <sz val="10"/>
        <color rgb="FF1F1F1F"/>
        <rFont val="나눔고딕"/>
        <family val="3"/>
        <charset val="129"/>
      </rPr>
      <t>무엇을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보호할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것인가</t>
    </r>
    <r>
      <rPr>
        <sz val="10"/>
        <color rgb="FF1F1F1F"/>
        <rFont val="Times New Roman"/>
        <family val="1"/>
      </rPr>
      <t>'</t>
    </r>
    <r>
      <rPr>
        <sz val="10"/>
        <color rgb="FF1F1F1F"/>
        <rFont val="나눔고딕"/>
        <family val="3"/>
        <charset val="129"/>
      </rPr>
      <t>를</t>
    </r>
    <r>
      <rPr>
        <sz val="10"/>
        <color rgb="FF1F1F1F"/>
        <rFont val="Times New Roman"/>
        <family val="1"/>
      </rPr>
      <t xml:space="preserve">, </t>
    </r>
    <r>
      <rPr>
        <sz val="10"/>
        <color rgb="FFC00000"/>
        <rFont val="Times New Roman"/>
        <family val="1"/>
      </rPr>
      <t>Tier</t>
    </r>
    <r>
      <rPr>
        <sz val="10"/>
        <color rgb="FFC00000"/>
        <rFont val="나눔고딕"/>
        <family val="3"/>
        <charset val="129"/>
      </rPr>
      <t>는</t>
    </r>
    <r>
      <rPr>
        <sz val="10"/>
        <color rgb="FFC00000"/>
        <rFont val="Times New Roman"/>
        <family val="1"/>
      </rPr>
      <t xml:space="preserve"> '</t>
    </r>
    <r>
      <rPr>
        <sz val="10"/>
        <color rgb="FFC00000"/>
        <rFont val="나눔고딕"/>
        <family val="3"/>
        <charset val="129"/>
      </rPr>
      <t>어떻게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막을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것인가</t>
    </r>
    <r>
      <rPr>
        <sz val="10"/>
        <color rgb="FF1F1F1F"/>
        <rFont val="Times New Roman"/>
        <family val="1"/>
      </rPr>
      <t>'</t>
    </r>
    <r>
      <rPr>
        <sz val="10"/>
        <color rgb="FF1F1F1F"/>
        <rFont val="나눔고딕"/>
        <family val="3"/>
        <charset val="129"/>
      </rPr>
      <t>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결정함</t>
    </r>
    <phoneticPr fontId="2" type="noConversion"/>
  </si>
  <si>
    <r>
      <rPr>
        <b/>
        <sz val="10"/>
        <color rgb="FF1F1F1F"/>
        <rFont val="나눔고딕"/>
        <family val="3"/>
        <charset val="129"/>
      </rPr>
      <t>최종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책임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대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근거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제공</t>
    </r>
    <r>
      <rPr>
        <sz val="10"/>
        <color rgb="FF1F1F1F"/>
        <rFont val="Times New Roman"/>
        <family val="1"/>
      </rPr>
      <t>: OEM</t>
    </r>
    <r>
      <rPr>
        <sz val="10"/>
        <color rgb="FF1F1F1F"/>
        <rFont val="나눔고딕"/>
        <family val="3"/>
        <charset val="129"/>
      </rPr>
      <t>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법적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승인을</t>
    </r>
    <r>
      <rPr>
        <sz val="10"/>
        <color rgb="FF1F1F1F"/>
        <rFont val="Times New Roman"/>
        <family val="1"/>
      </rPr>
      <t xml:space="preserve">, </t>
    </r>
    <r>
      <rPr>
        <sz val="10"/>
        <color rgb="FFC00000"/>
        <rFont val="Times New Roman"/>
        <family val="1"/>
      </rPr>
      <t>Tier</t>
    </r>
    <r>
      <rPr>
        <sz val="10"/>
        <color rgb="FFC00000"/>
        <rFont val="나눔고딕"/>
        <family val="3"/>
        <charset val="129"/>
      </rPr>
      <t>는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제어기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완결성에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대한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기술적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증적을</t>
    </r>
    <r>
      <rPr>
        <sz val="10"/>
        <color rgb="FFC00000"/>
        <rFont val="Times New Roman"/>
        <family val="1"/>
      </rPr>
      <t xml:space="preserve"> </t>
    </r>
    <r>
      <rPr>
        <sz val="10"/>
        <color rgb="FFC00000"/>
        <rFont val="나눔고딕"/>
        <family val="3"/>
        <charset val="129"/>
      </rPr>
      <t>제공</t>
    </r>
    <r>
      <rPr>
        <sz val="10"/>
        <color rgb="FF1F1F1F"/>
        <rFont val="나눔고딕"/>
        <family val="3"/>
        <charset val="129"/>
      </rPr>
      <t>함</t>
    </r>
    <phoneticPr fontId="2" type="noConversion"/>
  </si>
  <si>
    <r>
      <rPr>
        <sz val="10"/>
        <color theme="1"/>
        <rFont val="나눔고딕"/>
        <family val="3"/>
        <charset val="129"/>
      </rPr>
      <t>▶</t>
    </r>
    <r>
      <rPr>
        <sz val="10"/>
        <color theme="1"/>
        <rFont val="Times New Roman"/>
        <family val="1"/>
      </rPr>
      <t xml:space="preserve"> TIER WBS</t>
    </r>
    <phoneticPr fontId="2" type="noConversion"/>
  </si>
  <si>
    <r>
      <t xml:space="preserve">White-Box HW/SW </t>
    </r>
    <r>
      <rPr>
        <sz val="10"/>
        <color rgb="FF1F1F1F"/>
        <rFont val="나눔고딕"/>
        <family val="3"/>
        <charset val="129"/>
      </rPr>
      <t>자산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인벤토리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구축</t>
    </r>
    <phoneticPr fontId="2" type="noConversion"/>
  </si>
  <si>
    <r>
      <t xml:space="preserve">• MCU </t>
    </r>
    <r>
      <rPr>
        <sz val="10"/>
        <color rgb="FF1F1F1F"/>
        <rFont val="나눔고딕"/>
        <family val="3"/>
        <charset val="129"/>
      </rPr>
      <t>내부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주변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장치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메모리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맵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분석
</t>
    </r>
    <r>
      <rPr>
        <sz val="10"/>
        <color rgb="FF1F1F1F"/>
        <rFont val="Times New Roman"/>
        <family val="1"/>
      </rPr>
      <t xml:space="preserve">• White-Box </t>
    </r>
    <r>
      <rPr>
        <sz val="10"/>
        <color rgb="FF1F1F1F"/>
        <rFont val="나눔고딕"/>
        <family val="3"/>
        <charset val="129"/>
      </rPr>
      <t>자산</t>
    </r>
    <r>
      <rPr>
        <sz val="10"/>
        <color rgb="FF1F1F1F"/>
        <rFont val="Times New Roman"/>
        <family val="1"/>
      </rPr>
      <t xml:space="preserve">(MCU </t>
    </r>
    <r>
      <rPr>
        <sz val="10"/>
        <color rgb="FF1F1F1F"/>
        <rFont val="나눔고딕"/>
        <family val="3"/>
        <charset val="129"/>
      </rPr>
      <t>레지스터</t>
    </r>
    <r>
      <rPr>
        <sz val="10"/>
        <color rgb="FF1F1F1F"/>
        <rFont val="Times New Roman"/>
        <family val="1"/>
      </rPr>
      <t xml:space="preserve">, Bootloader, HSM </t>
    </r>
    <r>
      <rPr>
        <sz val="10"/>
        <color rgb="FF1F1F1F"/>
        <rFont val="나눔고딕"/>
        <family val="3"/>
        <charset val="129"/>
      </rPr>
      <t>키</t>
    </r>
    <r>
      <rPr>
        <sz val="10"/>
        <color rgb="FF1F1F1F"/>
        <rFont val="Times New Roman"/>
        <family val="1"/>
      </rPr>
      <t xml:space="preserve">, NVM, Shared Memory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>)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CIA </t>
    </r>
    <r>
      <rPr>
        <sz val="10"/>
        <color rgb="FF1F1F1F"/>
        <rFont val="나눔고딕"/>
        <family val="3"/>
        <charset val="129"/>
      </rPr>
      <t>속성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정의</t>
    </r>
    <phoneticPr fontId="2" type="noConversion"/>
  </si>
  <si>
    <r>
      <rPr>
        <sz val="10"/>
        <color rgb="FF1F1F1F"/>
        <rFont val="나눔고딕"/>
        <family val="3"/>
        <charset val="129"/>
      </rPr>
      <t>미시적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표면</t>
    </r>
    <r>
      <rPr>
        <sz val="10"/>
        <color rgb="FF1F1F1F"/>
        <rFont val="Times New Roman"/>
        <family val="1"/>
      </rPr>
      <t xml:space="preserve">(Attack Surface) </t>
    </r>
    <r>
      <rPr>
        <sz val="10"/>
        <color rgb="FF1F1F1F"/>
        <rFont val="나눔고딕"/>
        <family val="3"/>
        <charset val="129"/>
      </rPr>
      <t>핀포인팅</t>
    </r>
    <phoneticPr fontId="2" type="noConversion"/>
  </si>
  <si>
    <r>
      <t xml:space="preserve">• Secure World(HSM/TrustZone) vs Normal World </t>
    </r>
    <r>
      <rPr>
        <sz val="10"/>
        <color rgb="FF1F1F1F"/>
        <rFont val="나눔고딕"/>
        <family val="3"/>
        <charset val="129"/>
      </rPr>
      <t>경계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MPU </t>
    </r>
    <r>
      <rPr>
        <sz val="10"/>
        <color rgb="FF1F1F1F"/>
        <rFont val="나눔고딕"/>
        <family val="3"/>
        <charset val="129"/>
      </rPr>
      <t>도메인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구분
</t>
    </r>
    <r>
      <rPr>
        <sz val="10"/>
        <color rgb="FF1F1F1F"/>
        <rFont val="Times New Roman"/>
        <family val="1"/>
      </rPr>
      <t xml:space="preserve">• PCB </t>
    </r>
    <r>
      <rPr>
        <sz val="10"/>
        <color rgb="FF1F1F1F"/>
        <rFont val="나눔고딕"/>
        <family val="3"/>
        <charset val="129"/>
      </rPr>
      <t>물리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접점</t>
    </r>
    <r>
      <rPr>
        <sz val="10"/>
        <color rgb="FF1F1F1F"/>
        <rFont val="Times New Roman"/>
        <family val="1"/>
      </rPr>
      <t xml:space="preserve">(JTAG/SWD, UART, Test Point), </t>
    </r>
    <r>
      <rPr>
        <sz val="10"/>
        <color rgb="FF1F1F1F"/>
        <rFont val="나눔고딕"/>
        <family val="3"/>
        <charset val="129"/>
      </rPr>
      <t>외장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메모리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버스</t>
    </r>
    <r>
      <rPr>
        <sz val="10"/>
        <color rgb="FF1F1F1F"/>
        <rFont val="Times New Roman"/>
        <family val="1"/>
      </rPr>
      <t xml:space="preserve">(SPI/I2C), MCU </t>
    </r>
    <r>
      <rPr>
        <sz val="10"/>
        <color rgb="FF1F1F1F"/>
        <rFont val="나눔고딕"/>
        <family val="3"/>
        <charset val="129"/>
      </rPr>
      <t>간</t>
    </r>
    <r>
      <rPr>
        <sz val="10"/>
        <color rgb="FF1F1F1F"/>
        <rFont val="Times New Roman"/>
        <family val="1"/>
      </rPr>
      <t xml:space="preserve"> Shared Memory, UDS </t>
    </r>
    <r>
      <rPr>
        <sz val="10"/>
        <color rgb="FF1F1F1F"/>
        <rFont val="나눔고딕"/>
        <family val="3"/>
        <charset val="129"/>
      </rPr>
      <t>서비스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핸들러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칩셋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레벨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접점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전수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도출</t>
    </r>
    <phoneticPr fontId="2" type="noConversion"/>
  </si>
  <si>
    <r>
      <t xml:space="preserve">• MPU </t>
    </r>
    <r>
      <rPr>
        <sz val="10"/>
        <color rgb="FF1F1F1F"/>
        <rFont val="나눔고딕"/>
        <family val="3"/>
        <charset val="129"/>
      </rPr>
      <t>도메인</t>
    </r>
    <r>
      <rPr>
        <sz val="10"/>
        <color rgb="FF1F1F1F"/>
        <rFont val="Times New Roman"/>
        <family val="1"/>
      </rPr>
      <t xml:space="preserve">, Secure World(HSM/TrustZone) vs Normal World(Application/OS) </t>
    </r>
    <r>
      <rPr>
        <sz val="10"/>
        <color rgb="FF1F1F1F"/>
        <rFont val="나눔고딕"/>
        <family val="3"/>
        <charset val="129"/>
      </rPr>
      <t>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데이터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전달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경계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확정</t>
    </r>
    <phoneticPr fontId="2" type="noConversion"/>
  </si>
  <si>
    <r>
      <t xml:space="preserve">• </t>
    </r>
    <r>
      <rPr>
        <sz val="10"/>
        <color theme="1"/>
        <rFont val="나눔고딕"/>
        <family val="3"/>
        <charset val="129"/>
      </rPr>
      <t>자산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인벤토리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작성</t>
    </r>
    <phoneticPr fontId="2" type="noConversion"/>
  </si>
  <si>
    <r>
      <t xml:space="preserve">SW Task, BSW, Peripheral </t>
    </r>
    <r>
      <rPr>
        <sz val="10"/>
        <color rgb="FF1F1F1F"/>
        <rFont val="나눔고딕"/>
        <family val="3"/>
        <charset val="129"/>
      </rPr>
      <t>간</t>
    </r>
    <r>
      <rPr>
        <sz val="10"/>
        <color rgb="FF1F1F1F"/>
        <rFont val="Times New Roman"/>
        <family val="1"/>
      </rPr>
      <t xml:space="preserve"> Level 2/3 DFD </t>
    </r>
    <r>
      <rPr>
        <sz val="10"/>
        <color rgb="FF1F1F1F"/>
        <rFont val="나눔고딕"/>
        <family val="3"/>
        <charset val="129"/>
      </rPr>
      <t>작성</t>
    </r>
    <phoneticPr fontId="2" type="noConversion"/>
  </si>
  <si>
    <r>
      <t xml:space="preserve">• SW Task, BSW </t>
    </r>
    <r>
      <rPr>
        <sz val="10"/>
        <color theme="1"/>
        <rFont val="나눔고딕"/>
        <family val="3"/>
        <charset val="129"/>
      </rPr>
      <t>모듈</t>
    </r>
    <r>
      <rPr>
        <sz val="10"/>
        <color theme="1"/>
        <rFont val="Times New Roman"/>
        <family val="1"/>
      </rPr>
      <t xml:space="preserve">, HW Peripheral </t>
    </r>
    <r>
      <rPr>
        <sz val="10"/>
        <color theme="1"/>
        <rFont val="나눔고딕"/>
        <family val="3"/>
        <charset val="129"/>
      </rPr>
      <t>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데이터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수신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처리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절차를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프로세스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데이터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저장소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데이터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흐름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단위로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가시화</t>
    </r>
    <phoneticPr fontId="2" type="noConversion"/>
  </si>
  <si>
    <r>
      <t>LLM</t>
    </r>
    <r>
      <rPr>
        <b/>
        <sz val="9"/>
        <color rgb="FFC00000"/>
        <rFont val="나눔고딕"/>
        <family val="3"/>
        <charset val="129"/>
      </rPr>
      <t>을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이용해서</t>
    </r>
    <r>
      <rPr>
        <b/>
        <sz val="9"/>
        <color rgb="FFC00000"/>
        <rFont val="Times New Roman"/>
        <family val="1"/>
      </rPr>
      <t xml:space="preserve">, </t>
    </r>
    <r>
      <rPr>
        <b/>
        <sz val="9"/>
        <color rgb="FFC00000"/>
        <rFont val="나눔고딕"/>
        <family val="3"/>
        <charset val="129"/>
      </rPr>
      <t>아키텍처링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다이어그램을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분석하던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업무와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유사
결과를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예시로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보여주고</t>
    </r>
    <r>
      <rPr>
        <b/>
        <sz val="9"/>
        <color rgb="FFC00000"/>
        <rFont val="Times New Roman"/>
        <family val="1"/>
      </rPr>
      <t xml:space="preserve">, </t>
    </r>
    <r>
      <rPr>
        <b/>
        <sz val="9"/>
        <color rgb="FFC00000"/>
        <rFont val="나눔고딕"/>
        <family val="3"/>
        <charset val="129"/>
      </rPr>
      <t>연구원에게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업무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수행을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유도</t>
    </r>
    <phoneticPr fontId="2" type="noConversion"/>
  </si>
  <si>
    <r>
      <t xml:space="preserve">DFD </t>
    </r>
    <r>
      <rPr>
        <sz val="10"/>
        <color rgb="FF1F1F1F"/>
        <rFont val="나눔고딕"/>
        <family val="3"/>
        <charset val="129"/>
      </rPr>
      <t>요소별</t>
    </r>
    <r>
      <rPr>
        <sz val="10"/>
        <color rgb="FF1F1F1F"/>
        <rFont val="Times New Roman"/>
        <family val="1"/>
      </rPr>
      <t xml:space="preserve"> STRIDE 6</t>
    </r>
    <r>
      <rPr>
        <sz val="10"/>
        <color rgb="FF1F1F1F"/>
        <rFont val="나눔고딕"/>
        <family val="3"/>
        <charset val="129"/>
      </rPr>
      <t>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위협</t>
    </r>
    <r>
      <rPr>
        <sz val="10"/>
        <color rgb="FF1F1F1F"/>
        <rFont val="Times New Roman"/>
        <family val="1"/>
      </rPr>
      <t xml:space="preserve">(Spoofing, Tampering, Repudiation, Info Disclosure, DoS, Elevation of Privilege) </t>
    </r>
    <r>
      <rPr>
        <sz val="10"/>
        <color rgb="FF1F1F1F"/>
        <rFont val="나눔고딕"/>
        <family val="3"/>
        <charset val="129"/>
      </rPr>
      <t>적용</t>
    </r>
    <r>
      <rPr>
        <sz val="10"/>
        <color rgb="FF1F1F1F"/>
        <rFont val="Arial"/>
        <family val="2"/>
      </rPr>
      <t/>
    </r>
    <phoneticPr fontId="2" type="noConversion"/>
  </si>
  <si>
    <r>
      <t xml:space="preserve">Spoofing: Internal IPC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SPI </t>
    </r>
    <r>
      <rPr>
        <sz val="10"/>
        <color theme="1"/>
        <rFont val="나눔고딕"/>
        <family val="3"/>
        <charset val="129"/>
      </rPr>
      <t>버스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메시지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수신자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 xml:space="preserve">위조
</t>
    </r>
    <r>
      <rPr>
        <sz val="10"/>
        <color theme="1"/>
        <rFont val="Times New Roman"/>
        <family val="1"/>
      </rPr>
      <t xml:space="preserve">Tampering: NVM/Flash </t>
    </r>
    <r>
      <rPr>
        <sz val="10"/>
        <color theme="1"/>
        <rFont val="나눔고딕"/>
        <family val="3"/>
        <charset val="129"/>
      </rPr>
      <t>저장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데이터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변수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무단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 xml:space="preserve">변조
</t>
    </r>
    <r>
      <rPr>
        <sz val="10"/>
        <color theme="1"/>
        <rFont val="Times New Roman"/>
        <family val="1"/>
      </rPr>
      <t xml:space="preserve">Repudiation: </t>
    </r>
    <r>
      <rPr>
        <sz val="10"/>
        <color theme="1"/>
        <rFont val="나눔고딕"/>
        <family val="3"/>
        <charset val="129"/>
      </rPr>
      <t>진단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이벤트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로그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무단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 xml:space="preserve">삭제
</t>
    </r>
    <r>
      <rPr>
        <sz val="10"/>
        <color theme="1"/>
        <rFont val="Times New Roman"/>
        <family val="1"/>
      </rPr>
      <t xml:space="preserve">Information Disclosure: JTAG </t>
    </r>
    <r>
      <rPr>
        <sz val="10"/>
        <color theme="1"/>
        <rFont val="나눔고딕"/>
        <family val="3"/>
        <charset val="129"/>
      </rPr>
      <t>또는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메모리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덤프를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통한</t>
    </r>
    <r>
      <rPr>
        <sz val="10"/>
        <color theme="1"/>
        <rFont val="Times New Roman"/>
        <family val="1"/>
      </rPr>
      <t xml:space="preserve"> Plaintext </t>
    </r>
    <r>
      <rPr>
        <sz val="10"/>
        <color theme="1"/>
        <rFont val="나눔고딕"/>
        <family val="3"/>
        <charset val="129"/>
      </rPr>
      <t>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 xml:space="preserve">유출
</t>
    </r>
    <r>
      <rPr>
        <sz val="10"/>
        <color theme="1"/>
        <rFont val="Times New Roman"/>
        <family val="1"/>
      </rPr>
      <t xml:space="preserve">Denial of Service: Watchdog </t>
    </r>
    <r>
      <rPr>
        <sz val="10"/>
        <color theme="1"/>
        <rFont val="나눔고딕"/>
        <family val="3"/>
        <charset val="129"/>
      </rPr>
      <t>타임아웃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유발</t>
    </r>
    <r>
      <rPr>
        <sz val="10"/>
        <color theme="1"/>
        <rFont val="Times New Roman"/>
        <family val="1"/>
      </rPr>
      <t xml:space="preserve">, UDS </t>
    </r>
    <r>
      <rPr>
        <sz val="10"/>
        <color theme="1"/>
        <rFont val="나눔고딕"/>
        <family val="3"/>
        <charset val="129"/>
      </rPr>
      <t>버퍼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오버플로우를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통한</t>
    </r>
    <r>
      <rPr>
        <sz val="10"/>
        <color theme="1"/>
        <rFont val="Times New Roman"/>
        <family val="1"/>
      </rPr>
      <t xml:space="preserve"> MCU </t>
    </r>
    <r>
      <rPr>
        <sz val="10"/>
        <color theme="1"/>
        <rFont val="나눔고딕"/>
        <family val="3"/>
        <charset val="129"/>
      </rPr>
      <t xml:space="preserve">리셋
</t>
    </r>
    <r>
      <rPr>
        <sz val="10"/>
        <color theme="1"/>
        <rFont val="Times New Roman"/>
        <family val="1"/>
      </rPr>
      <t xml:space="preserve">Elevation of Privilege: UDS 0x27 </t>
    </r>
    <r>
      <rPr>
        <sz val="10"/>
        <color theme="1"/>
        <rFont val="나눔고딕"/>
        <family val="3"/>
        <charset val="129"/>
      </rPr>
      <t>권한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우회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OS Kernel </t>
    </r>
    <r>
      <rPr>
        <sz val="10"/>
        <color theme="1"/>
        <rFont val="나눔고딕"/>
        <family val="3"/>
        <charset val="129"/>
      </rPr>
      <t>모드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임의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진입</t>
    </r>
    <phoneticPr fontId="2" type="noConversion"/>
  </si>
  <si>
    <r>
      <rPr>
        <sz val="9"/>
        <color rgb="FFC00000"/>
        <rFont val="나눔고딕"/>
        <family val="3"/>
        <charset val="129"/>
      </rPr>
      <t>코드분석</t>
    </r>
    <r>
      <rPr>
        <sz val="9"/>
        <color rgb="FFC00000"/>
        <rFont val="Times New Roman"/>
        <family val="1"/>
      </rPr>
      <t>(</t>
    </r>
    <r>
      <rPr>
        <sz val="9"/>
        <color rgb="FFC00000"/>
        <rFont val="나눔고딕"/>
        <family val="3"/>
        <charset val="129"/>
      </rPr>
      <t>플로우차트</t>
    </r>
    <r>
      <rPr>
        <sz val="9"/>
        <color rgb="FFC00000"/>
        <rFont val="Times New Roman"/>
        <family val="1"/>
      </rPr>
      <t xml:space="preserve">, </t>
    </r>
    <r>
      <rPr>
        <sz val="9"/>
        <color rgb="FFC00000"/>
        <rFont val="나눔고딕"/>
        <family val="3"/>
        <charset val="129"/>
      </rPr>
      <t>시퀀스다이어그램</t>
    </r>
    <r>
      <rPr>
        <sz val="9"/>
        <color rgb="FFC00000"/>
        <rFont val="Times New Roman"/>
        <family val="1"/>
      </rPr>
      <t>)+</t>
    </r>
    <r>
      <rPr>
        <sz val="9"/>
        <color rgb="FFC00000"/>
        <rFont val="나눔고딕"/>
        <family val="3"/>
        <charset val="129"/>
      </rPr>
      <t>공격표면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분석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가능성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검토</t>
    </r>
    <phoneticPr fontId="2" type="noConversion"/>
  </si>
  <si>
    <r>
      <t>• Root Goal(</t>
    </r>
    <r>
      <rPr>
        <sz val="10"/>
        <color rgb="FF1F1F1F"/>
        <rFont val="나눔고딕"/>
        <family val="3"/>
        <charset val="129"/>
      </rPr>
      <t>예</t>
    </r>
    <r>
      <rPr>
        <sz val="10"/>
        <color rgb="FF1F1F1F"/>
        <rFont val="Times New Roman"/>
        <family val="1"/>
      </rPr>
      <t xml:space="preserve">: HSM Master Key </t>
    </r>
    <r>
      <rPr>
        <sz val="10"/>
        <color rgb="FF1F1F1F"/>
        <rFont val="나눔고딕"/>
        <family val="3"/>
        <charset val="129"/>
      </rPr>
      <t>추출</t>
    </r>
    <r>
      <rPr>
        <sz val="10"/>
        <color rgb="FF1F1F1F"/>
        <rFont val="Times New Roman"/>
        <family val="1"/>
      </rPr>
      <t xml:space="preserve">) </t>
    </r>
    <r>
      <rPr>
        <sz val="10"/>
        <color rgb="FF1F1F1F"/>
        <rFont val="나눔고딕"/>
        <family val="3"/>
        <charset val="129"/>
      </rPr>
      <t>달성을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정밀</t>
    </r>
    <r>
      <rPr>
        <sz val="10"/>
        <color rgb="FF1F1F1F"/>
        <rFont val="Times New Roman"/>
        <family val="1"/>
      </rPr>
      <t xml:space="preserve"> Attack Tree </t>
    </r>
    <r>
      <rPr>
        <sz val="10"/>
        <color rgb="FF1F1F1F"/>
        <rFont val="나눔고딕"/>
        <family val="3"/>
        <charset val="129"/>
      </rPr>
      <t>노드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설계
</t>
    </r>
    <r>
      <rPr>
        <sz val="10"/>
        <color rgb="FF1F1F1F"/>
        <rFont val="Times New Roman"/>
        <family val="1"/>
      </rPr>
      <t xml:space="preserve">• HW Glitching </t>
    </r>
    <r>
      <rPr>
        <sz val="10"/>
        <color rgb="FF1F1F1F"/>
        <rFont val="나눔고딕"/>
        <family val="3"/>
        <charset val="129"/>
      </rPr>
      <t>→</t>
    </r>
    <r>
      <rPr>
        <sz val="10"/>
        <color rgb="FF1F1F1F"/>
        <rFont val="Times New Roman"/>
        <family val="1"/>
      </rPr>
      <t xml:space="preserve"> Fault Injection </t>
    </r>
    <r>
      <rPr>
        <sz val="10"/>
        <color rgb="FF1F1F1F"/>
        <rFont val="나눔고딕"/>
        <family val="3"/>
        <charset val="129"/>
      </rPr>
      <t>→</t>
    </r>
    <r>
      <rPr>
        <sz val="10"/>
        <color rgb="FF1F1F1F"/>
        <rFont val="Times New Roman"/>
        <family val="1"/>
      </rPr>
      <t xml:space="preserve"> Debug Unlock </t>
    </r>
    <r>
      <rPr>
        <sz val="10"/>
        <color rgb="FF1F1F1F"/>
        <rFont val="나눔고딕"/>
        <family val="3"/>
        <charset val="129"/>
      </rPr>
      <t>→</t>
    </r>
    <r>
      <rPr>
        <sz val="10"/>
        <color rgb="FF1F1F1F"/>
        <rFont val="Times New Roman"/>
        <family val="1"/>
      </rPr>
      <t xml:space="preserve"> Flash Readout </t>
    </r>
    <r>
      <rPr>
        <sz val="10"/>
        <color rgb="FF1F1F1F"/>
        <rFont val="나눔고딕"/>
        <family val="3"/>
        <charset val="129"/>
      </rPr>
      <t>스텝별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체인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구성</t>
    </r>
    <phoneticPr fontId="2" type="noConversion"/>
  </si>
  <si>
    <r>
      <t xml:space="preserve">ISO/SAE 21434 </t>
    </r>
    <r>
      <rPr>
        <sz val="10"/>
        <color rgb="FF1F1F1F"/>
        <rFont val="나눔고딕"/>
        <family val="3"/>
        <charset val="129"/>
      </rPr>
      <t>단품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기준</t>
    </r>
    <r>
      <rPr>
        <sz val="10"/>
        <color rgb="FF1F1F1F"/>
        <rFont val="Times New Roman"/>
        <family val="1"/>
      </rPr>
      <t xml:space="preserve"> Feasibility </t>
    </r>
    <r>
      <rPr>
        <sz val="10"/>
        <color rgb="FF1F1F1F"/>
        <rFont val="나눔고딕"/>
        <family val="3"/>
        <charset val="129"/>
      </rPr>
      <t>평가</t>
    </r>
    <r>
      <rPr>
        <sz val="10"/>
        <color rgb="FF1F1F1F"/>
        <rFont val="Times New Roman"/>
        <family val="1"/>
      </rPr>
      <t/>
    </r>
    <phoneticPr fontId="2" type="noConversion"/>
  </si>
  <si>
    <r>
      <t>• ISO/SAE 21434 5</t>
    </r>
    <r>
      <rPr>
        <sz val="10"/>
        <color rgb="FF1F1F1F"/>
        <rFont val="나눔고딕"/>
        <family val="3"/>
        <charset val="129"/>
      </rPr>
      <t>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요소</t>
    </r>
    <r>
      <rPr>
        <sz val="10"/>
        <color rgb="FF1F1F1F"/>
        <rFont val="Times New Roman"/>
        <family val="1"/>
      </rPr>
      <t>(</t>
    </r>
    <r>
      <rPr>
        <sz val="10"/>
        <color rgb="FF1F1F1F"/>
        <rFont val="나눔고딕"/>
        <family val="3"/>
        <charset val="129"/>
      </rPr>
      <t>소요시간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전문성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지식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기회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장비</t>
    </r>
    <r>
      <rPr>
        <sz val="10"/>
        <color rgb="FF1F1F1F"/>
        <rFont val="Times New Roman"/>
        <family val="1"/>
      </rPr>
      <t xml:space="preserve">) </t>
    </r>
    <r>
      <rPr>
        <sz val="10"/>
        <color rgb="FF1F1F1F"/>
        <rFont val="나눔고딕"/>
        <family val="3"/>
        <charset val="129"/>
      </rPr>
      <t>기준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스코어링
</t>
    </r>
    <r>
      <rPr>
        <sz val="10"/>
        <color rgb="FF1F1F1F"/>
        <rFont val="Times New Roman"/>
        <family val="1"/>
      </rPr>
      <t xml:space="preserve">• White-Box </t>
    </r>
    <r>
      <rPr>
        <sz val="10"/>
        <color rgb="FF1F1F1F"/>
        <rFont val="나눔고딕"/>
        <family val="3"/>
        <charset val="129"/>
      </rPr>
      <t>구현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정보를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반영한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단품</t>
    </r>
    <r>
      <rPr>
        <sz val="10"/>
        <color rgb="FF1F1F1F"/>
        <rFont val="Times New Roman"/>
        <family val="1"/>
      </rPr>
      <t xml:space="preserve"> Feasibility Score </t>
    </r>
    <r>
      <rPr>
        <sz val="10"/>
        <color rgb="FF1F1F1F"/>
        <rFont val="나눔고딕"/>
        <family val="3"/>
        <charset val="129"/>
      </rPr>
      <t>산출</t>
    </r>
    <phoneticPr fontId="2" type="noConversion"/>
  </si>
  <si>
    <r>
      <t>OEM</t>
    </r>
    <r>
      <rPr>
        <sz val="10"/>
        <color rgb="FF1F1F1F"/>
        <rFont val="나눔고딕"/>
        <family val="3"/>
        <charset val="129"/>
      </rPr>
      <t>으로부터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수신한</t>
    </r>
    <r>
      <rPr>
        <sz val="10"/>
        <color rgb="FF1F1F1F"/>
        <rFont val="Times New Roman"/>
        <family val="1"/>
      </rPr>
      <t xml:space="preserve"> Impact Rating(</t>
    </r>
    <r>
      <rPr>
        <sz val="10"/>
        <color rgb="FF1F1F1F"/>
        <rFont val="나눔고딕"/>
        <family val="3"/>
        <charset val="129"/>
      </rPr>
      <t>또는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미공유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</t>
    </r>
    <r>
      <rPr>
        <sz val="10"/>
        <color rgb="FF1F1F1F"/>
        <rFont val="Times New Roman"/>
        <family val="1"/>
      </rPr>
      <t xml:space="preserve"> Assumed Impact)</t>
    </r>
    <r>
      <rPr>
        <sz val="10"/>
        <color rgb="FF1F1F1F"/>
        <rFont val="나눔고딕"/>
        <family val="3"/>
        <charset val="129"/>
      </rPr>
      <t>에</t>
    </r>
    <r>
      <rPr>
        <sz val="10"/>
        <color rgb="FF1F1F1F"/>
        <rFont val="Times New Roman"/>
        <family val="1"/>
      </rPr>
      <t xml:space="preserve"> Tier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Feasibility Score</t>
    </r>
    <r>
      <rPr>
        <sz val="10"/>
        <color rgb="FF1F1F1F"/>
        <rFont val="나눔고딕"/>
        <family val="3"/>
        <charset val="129"/>
      </rPr>
      <t>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연산하여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위험도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결정</t>
    </r>
    <phoneticPr fontId="2" type="noConversion"/>
  </si>
  <si>
    <r>
      <t xml:space="preserve">• STRIDE </t>
    </r>
    <r>
      <rPr>
        <sz val="10"/>
        <color rgb="FF1F1F1F"/>
        <rFont val="나눔고딕"/>
        <family val="3"/>
        <charset val="129"/>
      </rPr>
      <t>위협별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대응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기술</t>
    </r>
    <r>
      <rPr>
        <sz val="10"/>
        <color rgb="FF1F1F1F"/>
        <rFont val="Times New Roman"/>
        <family val="1"/>
      </rPr>
      <t xml:space="preserve">(MPU </t>
    </r>
    <r>
      <rPr>
        <sz val="10"/>
        <color rgb="FF1F1F1F"/>
        <rFont val="나눔고딕"/>
        <family val="3"/>
        <charset val="129"/>
      </rPr>
      <t>격리</t>
    </r>
    <r>
      <rPr>
        <sz val="10"/>
        <color rgb="FF1F1F1F"/>
        <rFont val="Times New Roman"/>
        <family val="1"/>
      </rPr>
      <t xml:space="preserve">, OTP Fuse Blow, SecOC, Task Watchdog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) 1:1 </t>
    </r>
    <r>
      <rPr>
        <sz val="10"/>
        <color rgb="FF1F1F1F"/>
        <rFont val="나눔고딕"/>
        <family val="3"/>
        <charset val="129"/>
      </rPr>
      <t xml:space="preserve">매핑
</t>
    </r>
    <r>
      <rPr>
        <sz val="10"/>
        <color rgb="FF1F1F1F"/>
        <rFont val="Times New Roman"/>
        <family val="1"/>
      </rPr>
      <t xml:space="preserve">• </t>
    </r>
    <r>
      <rPr>
        <sz val="10"/>
        <color rgb="FF1F1F1F"/>
        <rFont val="나눔고딕"/>
        <family val="3"/>
        <charset val="129"/>
      </rPr>
      <t>완화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조치를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개발자가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소스코드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회로에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직접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반영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가능하도록</t>
    </r>
    <r>
      <rPr>
        <sz val="10"/>
        <color rgb="FF1F1F1F"/>
        <rFont val="Times New Roman"/>
        <family val="1"/>
      </rPr>
      <t xml:space="preserve"> HW/SW </t>
    </r>
    <r>
      <rPr>
        <sz val="10"/>
        <color rgb="FF1F1F1F"/>
        <rFont val="나눔고딕"/>
        <family val="3"/>
        <charset val="129"/>
      </rPr>
      <t>상세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설계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사양</t>
    </r>
    <r>
      <rPr>
        <sz val="10"/>
        <color rgb="FF1F1F1F"/>
        <rFont val="Times New Roman"/>
        <family val="1"/>
      </rPr>
      <t>(TSR/Hardening Rules)</t>
    </r>
    <r>
      <rPr>
        <sz val="10"/>
        <color rgb="FF1F1F1F"/>
        <rFont val="나눔고딕"/>
        <family val="3"/>
        <charset val="129"/>
      </rPr>
      <t>으로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변환</t>
    </r>
    <phoneticPr fontId="2" type="noConversion"/>
  </si>
  <si>
    <r>
      <t xml:space="preserve">HW/SW </t>
    </r>
    <r>
      <rPr>
        <sz val="10"/>
        <color rgb="FF1F1F1F"/>
        <rFont val="나눔고딕"/>
        <family val="3"/>
        <charset val="129"/>
      </rPr>
      <t>상세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설계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요구사항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할당</t>
    </r>
    <phoneticPr fontId="2" type="noConversion"/>
  </si>
  <si>
    <r>
      <t xml:space="preserve">• </t>
    </r>
    <r>
      <rPr>
        <sz val="10"/>
        <color theme="1"/>
        <rFont val="나눔고딕"/>
        <family val="3"/>
        <charset val="129"/>
      </rPr>
      <t>도출된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완화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조치를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개발자가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소스코드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회로에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직접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반영할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있도록</t>
    </r>
    <r>
      <rPr>
        <sz val="10"/>
        <color theme="1"/>
        <rFont val="Times New Roman"/>
        <family val="1"/>
      </rPr>
      <t xml:space="preserve"> HW/SW </t>
    </r>
    <r>
      <rPr>
        <sz val="10"/>
        <color theme="1"/>
        <rFont val="나눔고딕"/>
        <family val="3"/>
        <charset val="129"/>
      </rPr>
      <t>상세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설계서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사양</t>
    </r>
    <r>
      <rPr>
        <sz val="10"/>
        <color theme="1"/>
        <rFont val="Times New Roman"/>
        <family val="1"/>
      </rPr>
      <t>(TSR/HW-SEC/SW-SEC ID)</t>
    </r>
    <r>
      <rPr>
        <sz val="10"/>
        <color theme="1"/>
        <rFont val="나눔고딕"/>
        <family val="3"/>
        <charset val="129"/>
      </rPr>
      <t>으로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변환</t>
    </r>
    <phoneticPr fontId="2" type="noConversion"/>
  </si>
  <si>
    <r>
      <t xml:space="preserve">• </t>
    </r>
    <r>
      <rPr>
        <sz val="10"/>
        <color rgb="FF1F1F1F"/>
        <rFont val="나눔고딕"/>
        <family val="3"/>
        <charset val="129"/>
      </rPr>
      <t>통제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적용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남아있는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잔여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위험이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기술적으로</t>
    </r>
    <r>
      <rPr>
        <sz val="10"/>
        <color rgb="FF1F1F1F"/>
        <rFont val="Times New Roman"/>
        <family val="1"/>
      </rPr>
      <t xml:space="preserve"> Acceptable</t>
    </r>
    <r>
      <rPr>
        <sz val="10"/>
        <color rgb="FF1F1F1F"/>
        <rFont val="나눔고딕"/>
        <family val="3"/>
        <charset val="129"/>
      </rPr>
      <t>한지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점검하고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수용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불가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추가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하드닝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가이드라인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수립</t>
    </r>
    <phoneticPr fontId="2" type="noConversion"/>
  </si>
  <si>
    <r>
      <t xml:space="preserve">OEM </t>
    </r>
    <r>
      <rPr>
        <sz val="10"/>
        <color rgb="FF1F1F1F"/>
        <rFont val="나눔고딕"/>
        <family val="3"/>
        <charset val="129"/>
      </rPr>
      <t>상위</t>
    </r>
    <r>
      <rPr>
        <sz val="10"/>
        <color rgb="FF1F1F1F"/>
        <rFont val="Times New Roman"/>
        <family val="1"/>
      </rPr>
      <t xml:space="preserve"> TARA </t>
    </r>
    <r>
      <rPr>
        <sz val="10"/>
        <color rgb="FF1F1F1F"/>
        <rFont val="나눔고딕"/>
        <family val="3"/>
        <charset val="129"/>
      </rPr>
      <t>가정</t>
    </r>
    <r>
      <rPr>
        <sz val="10"/>
        <color rgb="FF1F1F1F"/>
        <rFont val="Times New Roman"/>
        <family val="1"/>
      </rPr>
      <t>(Assumptions)</t>
    </r>
    <r>
      <rPr>
        <sz val="10"/>
        <color rgb="FF1F1F1F"/>
        <rFont val="나눔고딕"/>
        <family val="3"/>
        <charset val="129"/>
      </rPr>
      <t>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실제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제어기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아키텍처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정합성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검증</t>
    </r>
    <phoneticPr fontId="2" type="noConversion"/>
  </si>
  <si>
    <r>
      <t xml:space="preserve">• OEM Gateway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정책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차량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레벨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연계가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필요한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요소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 xml:space="preserve">제출
</t>
    </r>
    <r>
      <rPr>
        <sz val="10"/>
        <color rgb="FF1F1F1F"/>
        <rFont val="Times New Roman"/>
        <family val="1"/>
      </rPr>
      <t>• OEM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상위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가정</t>
    </r>
    <r>
      <rPr>
        <sz val="10"/>
        <color rgb="FF1F1F1F"/>
        <rFont val="Times New Roman"/>
        <family val="1"/>
      </rPr>
      <t>(</t>
    </r>
    <r>
      <rPr>
        <sz val="10"/>
        <color rgb="FF1F1F1F"/>
        <rFont val="나눔고딕"/>
        <family val="3"/>
        <charset val="129"/>
      </rPr>
      <t>예</t>
    </r>
    <r>
      <rPr>
        <sz val="10"/>
        <color rgb="FF1F1F1F"/>
        <rFont val="Times New Roman"/>
        <family val="1"/>
      </rPr>
      <t xml:space="preserve">: "CAN </t>
    </r>
    <r>
      <rPr>
        <sz val="10"/>
        <color rgb="FF1F1F1F"/>
        <rFont val="나눔고딕"/>
        <family val="3"/>
        <charset val="129"/>
      </rPr>
      <t>버스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메시지는</t>
    </r>
    <r>
      <rPr>
        <sz val="10"/>
        <color rgb="FF1F1F1F"/>
        <rFont val="Times New Roman"/>
        <family val="1"/>
      </rPr>
      <t xml:space="preserve"> Secure GateWay</t>
    </r>
    <r>
      <rPr>
        <sz val="10"/>
        <color rgb="FF1F1F1F"/>
        <rFont val="나눔고딕"/>
        <family val="3"/>
        <charset val="129"/>
      </rPr>
      <t>에서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필터링됨</t>
    </r>
    <r>
      <rPr>
        <sz val="10"/>
        <color rgb="FF1F1F1F"/>
        <rFont val="Times New Roman"/>
        <family val="1"/>
      </rPr>
      <t>")</t>
    </r>
    <r>
      <rPr>
        <sz val="10"/>
        <color rgb="FF1F1F1F"/>
        <rFont val="나눔고딕"/>
        <family val="3"/>
        <charset val="129"/>
      </rPr>
      <t>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실제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제어기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내부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아키텍처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운용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조건과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충돌하지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않는지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정합성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검증</t>
    </r>
    <phoneticPr fontId="2" type="noConversion"/>
  </si>
  <si>
    <r>
      <rPr>
        <sz val="10"/>
        <color rgb="FF1F1F1F"/>
        <rFont val="나눔고딕"/>
        <family val="3"/>
        <charset val="129"/>
      </rPr>
      <t>제어기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단품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잔여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보고서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작성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OEM </t>
    </r>
    <r>
      <rPr>
        <sz val="10"/>
        <color rgb="FF1F1F1F"/>
        <rFont val="나눔고딕"/>
        <family val="3"/>
        <charset val="129"/>
      </rPr>
      <t>연계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사항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도출</t>
    </r>
    <phoneticPr fontId="2" type="noConversion"/>
  </si>
  <si>
    <r>
      <t xml:space="preserve">• </t>
    </r>
    <r>
      <rPr>
        <sz val="10"/>
        <color rgb="FF1F1F1F"/>
        <rFont val="나눔고딕"/>
        <family val="3"/>
        <charset val="129"/>
      </rPr>
      <t>제어기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단품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레벨에서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통제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불가능하거나</t>
    </r>
    <r>
      <rPr>
        <sz val="10"/>
        <color rgb="FF1F1F1F"/>
        <rFont val="Times New Roman"/>
        <family val="1"/>
      </rPr>
      <t xml:space="preserve"> OEM</t>
    </r>
    <r>
      <rPr>
        <sz val="10"/>
        <color rgb="FF1F1F1F"/>
        <rFont val="나눔고딕"/>
        <family val="3"/>
        <charset val="129"/>
      </rPr>
      <t>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차량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레벨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협조</t>
    </r>
    <r>
      <rPr>
        <sz val="10"/>
        <color rgb="FF1F1F1F"/>
        <rFont val="Times New Roman"/>
        <family val="1"/>
      </rPr>
      <t>(</t>
    </r>
    <r>
      <rPr>
        <sz val="10"/>
        <color rgb="FF1F1F1F"/>
        <rFont val="나눔고딕"/>
        <family val="3"/>
        <charset val="129"/>
      </rPr>
      <t>예</t>
    </r>
    <r>
      <rPr>
        <sz val="10"/>
        <color rgb="FF1F1F1F"/>
        <rFont val="Times New Roman"/>
        <family val="1"/>
      </rPr>
      <t xml:space="preserve">: Gateway </t>
    </r>
    <r>
      <rPr>
        <sz val="10"/>
        <color rgb="FF1F1F1F"/>
        <rFont val="나눔고딕"/>
        <family val="3"/>
        <charset val="129"/>
      </rPr>
      <t>보안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정책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변경</t>
    </r>
    <r>
      <rPr>
        <sz val="10"/>
        <color rgb="FF1F1F1F"/>
        <rFont val="Times New Roman"/>
        <family val="1"/>
      </rPr>
      <t>)</t>
    </r>
    <r>
      <rPr>
        <sz val="10"/>
        <color rgb="FF1F1F1F"/>
        <rFont val="나눔고딕"/>
        <family val="3"/>
        <charset val="129"/>
      </rPr>
      <t>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필요한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위험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요소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제출</t>
    </r>
    <phoneticPr fontId="2" type="noConversion"/>
  </si>
  <si>
    <r>
      <rPr>
        <sz val="10"/>
        <color theme="1"/>
        <rFont val="나눔고딕"/>
        <family val="3"/>
        <charset val="129"/>
      </rPr>
      <t>무결성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자가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진단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로그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기록</t>
    </r>
    <phoneticPr fontId="2" type="noConversion"/>
  </si>
  <si>
    <r>
      <t xml:space="preserve">SW </t>
    </r>
    <r>
      <rPr>
        <sz val="10"/>
        <color theme="1"/>
        <rFont val="나눔고딕"/>
        <family val="3"/>
        <charset val="129"/>
      </rPr>
      <t>재사용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지표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현황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체크</t>
    </r>
    <phoneticPr fontId="2" type="noConversion"/>
  </si>
  <si>
    <r>
      <t>(</t>
    </r>
    <r>
      <rPr>
        <sz val="10"/>
        <color theme="1"/>
        <rFont val="나눔고딕"/>
        <family val="3"/>
        <charset val="129"/>
      </rPr>
      <t>심사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가능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자동기록된</t>
    </r>
    <r>
      <rPr>
        <sz val="10"/>
        <color theme="1"/>
        <rFont val="Times New Roman"/>
        <family val="1"/>
      </rPr>
      <t xml:space="preserve"> SUP10_</t>
    </r>
    <r>
      <rPr>
        <sz val="10"/>
        <color theme="1"/>
        <rFont val="나눔고딕"/>
        <family val="3"/>
        <charset val="129"/>
      </rPr>
      <t>이슈현황</t>
    </r>
    <phoneticPr fontId="2" type="noConversion"/>
  </si>
  <si>
    <r>
      <rPr>
        <sz val="10"/>
        <color theme="1"/>
        <rFont val="나눔고딕"/>
        <family val="3"/>
        <charset val="129"/>
      </rPr>
      <t>노트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메모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백업용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시트</t>
    </r>
    <r>
      <rPr>
        <sz val="10"/>
        <color theme="1"/>
        <rFont val="Times New Roman"/>
        <family val="1"/>
      </rPr>
      <t xml:space="preserve"> (VeryHidden)</t>
    </r>
    <phoneticPr fontId="2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</si>
  <si>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Deleting</t>
    </r>
    <phoneticPr fontId="10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</si>
  <si>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Sorting</t>
    </r>
    <phoneticPr fontId="10" type="noConversion"/>
  </si>
  <si>
    <r>
      <t xml:space="preserve">True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무관하게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전체를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>/</t>
    </r>
    <r>
      <rPr>
        <sz val="10"/>
        <color rgb="FFFF0000"/>
        <rFont val="Times New Roman"/>
        <family val="1"/>
      </rPr>
      <t xml:space="preserve">False </t>
    </r>
    <r>
      <rPr>
        <sz val="10"/>
        <color rgb="FFFF0000"/>
        <rFont val="나눔고딕"/>
        <family val="3"/>
        <charset val="129"/>
      </rPr>
      <t>시</t>
    </r>
    <r>
      <rPr>
        <sz val="10"/>
        <color rgb="FFFF0000"/>
        <rFont val="Times New Roman"/>
        <family val="1"/>
      </rPr>
      <t xml:space="preserve">, InputColorRGB </t>
    </r>
    <r>
      <rPr>
        <sz val="10"/>
        <color rgb="FFFF0000"/>
        <rFont val="나눔고딕"/>
        <family val="3"/>
        <charset val="129"/>
      </rPr>
      <t>조건에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따름</t>
    </r>
    <r>
      <rPr>
        <sz val="10"/>
        <rFont val="Times New Roman"/>
        <family val="1"/>
      </rPr>
      <t xml:space="preserve">
Ref.* </t>
    </r>
    <r>
      <rPr>
        <sz val="10"/>
        <rFont val="나눔고딕"/>
        <family val="3"/>
        <charset val="129"/>
      </rPr>
      <t>시트처럼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편집모드가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아니면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전부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잠가야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경우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phoneticPr fontId="10" type="noConversion"/>
  </si>
  <si>
    <r>
      <rPr>
        <sz val="10"/>
        <color rgb="FFFF0000"/>
        <rFont val="Times New Roman"/>
        <family val="1"/>
      </rPr>
      <t xml:space="preserve">True </t>
    </r>
    <r>
      <rPr>
        <sz val="10"/>
        <color rgb="FFFF0000"/>
        <rFont val="나눔고딕"/>
        <family val="3"/>
        <charset val="129"/>
      </rPr>
      <t>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사용자는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편집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불가하지만</t>
    </r>
    <r>
      <rPr>
        <sz val="10"/>
        <color rgb="FFFF0000"/>
        <rFont val="Times New Roman"/>
        <family val="1"/>
      </rPr>
      <t xml:space="preserve"> VBA </t>
    </r>
    <r>
      <rPr>
        <sz val="10"/>
        <color rgb="FFFF0000"/>
        <rFont val="나눔고딕"/>
        <family val="3"/>
        <charset val="129"/>
      </rPr>
      <t>코드는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보호된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상태에서도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값을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갱신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가능</t>
    </r>
    <r>
      <rPr>
        <sz val="10"/>
        <rFont val="Times New Roman"/>
        <family val="1"/>
      </rPr>
      <t xml:space="preserve">. TARA </t>
    </r>
    <r>
      <rPr>
        <sz val="10"/>
        <rFont val="나눔고딕"/>
        <family val="3"/>
        <charset val="129"/>
      </rPr>
      <t>종료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결과를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자동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기록해야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phoneticPr fontId="10" type="noConversion"/>
  </si>
  <si>
    <r>
      <rPr>
        <sz val="10"/>
        <rFont val="나눔고딕"/>
        <family val="3"/>
        <charset val="129"/>
      </rPr>
      <t>셀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서식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(3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 xml:space="preserve">). True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</t>
    </r>
    <r>
      <rPr>
        <sz val="10"/>
        <rFont val="Times New Roman"/>
        <family val="1"/>
      </rPr>
      <t>,</t>
    </r>
    <r>
      <rPr>
        <sz val="10"/>
        <rFont val="나눔고딕"/>
        <family val="3"/>
        <charset val="129"/>
      </rPr>
      <t>글꼴</t>
    </r>
    <r>
      <rPr>
        <sz val="10"/>
        <rFont val="Times New Roman"/>
        <family val="1"/>
      </rPr>
      <t>,</t>
    </r>
    <r>
      <rPr>
        <sz val="10"/>
        <rFont val="나눔고딕"/>
        <family val="3"/>
        <charset val="129"/>
      </rPr>
      <t>테두리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서식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  <phoneticPr fontId="10" type="noConversion"/>
  </si>
  <si>
    <r>
      <t xml:space="preserve">SSoT </t>
    </r>
    <r>
      <rPr>
        <b/>
        <sz val="14"/>
        <rFont val="나눔고딕"/>
        <family val="3"/>
        <charset val="129"/>
      </rPr>
      <t>종합관리체계</t>
    </r>
    <r>
      <rPr>
        <b/>
        <sz val="14"/>
        <rFont val="Times New Roman"/>
        <family val="1"/>
      </rPr>
      <t xml:space="preserve"> — </t>
    </r>
    <r>
      <rPr>
        <b/>
        <sz val="14"/>
        <rFont val="나눔고딕"/>
        <family val="3"/>
        <charset val="129"/>
      </rPr>
      <t>시트</t>
    </r>
    <r>
      <rPr>
        <b/>
        <sz val="14"/>
        <rFont val="Times New Roman"/>
        <family val="1"/>
      </rPr>
      <t xml:space="preserve"> </t>
    </r>
    <r>
      <rPr>
        <b/>
        <sz val="14"/>
        <rFont val="나눔고딕"/>
        <family val="3"/>
        <charset val="129"/>
      </rPr>
      <t>구조</t>
    </r>
    <r>
      <rPr>
        <b/>
        <sz val="14"/>
        <rFont val="Times New Roman"/>
        <family val="1"/>
      </rPr>
      <t xml:space="preserve"> </t>
    </r>
    <r>
      <rPr>
        <b/>
        <sz val="14"/>
        <rFont val="나눔고딕"/>
        <family val="3"/>
        <charset val="129"/>
      </rPr>
      <t>및</t>
    </r>
    <r>
      <rPr>
        <b/>
        <sz val="14"/>
        <rFont val="Times New Roman"/>
        <family val="1"/>
      </rPr>
      <t xml:space="preserve"> </t>
    </r>
    <r>
      <rPr>
        <b/>
        <sz val="14"/>
        <rFont val="나눔고딕"/>
        <family val="3"/>
        <charset val="129"/>
      </rPr>
      <t>작성</t>
    </r>
    <r>
      <rPr>
        <b/>
        <sz val="14"/>
        <rFont val="Times New Roman"/>
        <family val="1"/>
      </rPr>
      <t xml:space="preserve"> </t>
    </r>
    <r>
      <rPr>
        <b/>
        <sz val="14"/>
        <rFont val="나눔고딕"/>
        <family val="3"/>
        <charset val="129"/>
      </rPr>
      <t>지침</t>
    </r>
    <phoneticPr fontId="2" type="noConversion"/>
  </si>
  <si>
    <r>
      <rPr>
        <sz val="10"/>
        <rFont val="나눔고딕"/>
        <family val="3"/>
        <charset val="129"/>
      </rPr>
      <t>공식</t>
    </r>
    <r>
      <rPr>
        <sz val="10"/>
        <rFont val="Times New Roman"/>
        <family val="1"/>
      </rPr>
      <t xml:space="preserve"> CVE </t>
    </r>
    <r>
      <rPr>
        <sz val="10"/>
        <rFont val="나눔고딕"/>
        <family val="3"/>
        <charset val="129"/>
      </rPr>
      <t>번호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현재값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값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SSoT_</t>
    </r>
    <r>
      <rPr>
        <sz val="10"/>
        <rFont val="나눔고딕"/>
        <family val="3"/>
        <charset val="129"/>
      </rPr>
      <t>변경이력에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누적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</t>
    </r>
    <phoneticPr fontId="2" type="noConversion"/>
  </si>
  <si>
    <r>
      <t xml:space="preserve">self </t>
    </r>
    <r>
      <rPr>
        <sz val="10"/>
        <rFont val="나눔고딕"/>
        <family val="3"/>
        <charset val="129"/>
      </rPr>
      <t>취약점용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사내</t>
    </r>
    <r>
      <rPr>
        <sz val="10"/>
        <rFont val="Times New Roman"/>
        <family val="1"/>
      </rPr>
      <t xml:space="preserve"> ID. </t>
    </r>
    <r>
      <rPr>
        <sz val="10"/>
        <color rgb="FFFF0000"/>
        <rFont val="나눔고딕"/>
        <family val="3"/>
        <charset val="129"/>
      </rPr>
      <t>가령</t>
    </r>
    <r>
      <rPr>
        <sz val="10"/>
        <color rgb="FFFF0000"/>
        <rFont val="Times New Roman"/>
        <family val="1"/>
      </rPr>
      <t>, TARA</t>
    </r>
    <r>
      <rPr>
        <sz val="10"/>
        <color rgb="FFFF0000"/>
        <rFont val="나눔고딕"/>
        <family val="3"/>
        <charset val="129"/>
      </rPr>
      <t>에서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파생된</t>
    </r>
    <r>
      <rPr>
        <sz val="10"/>
        <color rgb="FFFF0000"/>
        <rFont val="Times New Roman"/>
        <family val="1"/>
      </rPr>
      <t xml:space="preserve"> remnant risk</t>
    </r>
    <r>
      <rPr>
        <sz val="10"/>
        <color rgb="FFFF0000"/>
        <rFont val="나눔고딕"/>
        <family val="3"/>
        <charset val="129"/>
      </rPr>
      <t>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이것에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해당할까</t>
    </r>
    <r>
      <rPr>
        <sz val="10"/>
        <color rgb="FFFF0000"/>
        <rFont val="Times New Roman"/>
        <family val="1"/>
      </rPr>
      <t>?</t>
    </r>
    <phoneticPr fontId="2" type="noConversion"/>
  </si>
  <si>
    <t>*.hex, *.bin</t>
  </si>
  <si>
    <t>*.elf, *.map</t>
  </si>
  <si>
    <r>
      <rPr>
        <i/>
        <sz val="9"/>
        <color rgb="FF666666"/>
        <rFont val="나눔고딕"/>
        <family val="3"/>
        <charset val="129"/>
      </rPr>
      <t>※</t>
    </r>
    <r>
      <rPr>
        <i/>
        <sz val="9"/>
        <color rgb="FF666666"/>
        <rFont val="Times New Roman"/>
        <family val="1"/>
      </rPr>
      <t xml:space="preserve"> mod_ReleaseDashboard.SetupReleaseDashboard </t>
    </r>
    <r>
      <rPr>
        <i/>
        <sz val="9"/>
        <color rgb="FF666666"/>
        <rFont val="나눔고딕"/>
        <family val="3"/>
        <charset val="129"/>
      </rPr>
      <t>실행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결과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예시입니다</t>
    </r>
    <r>
      <rPr>
        <i/>
        <sz val="9"/>
        <color rgb="FF666666"/>
        <rFont val="Times New Roman"/>
        <family val="1"/>
      </rPr>
      <t xml:space="preserve">. </t>
    </r>
    <r>
      <rPr>
        <i/>
        <sz val="9"/>
        <color rgb="FF666666"/>
        <rFont val="나눔고딕"/>
        <family val="3"/>
        <charset val="129"/>
      </rPr>
      <t>인스턴스</t>
    </r>
    <r>
      <rPr>
        <i/>
        <sz val="9"/>
        <color rgb="FF666666"/>
        <rFont val="Times New Roman"/>
        <family val="1"/>
      </rPr>
      <t>_</t>
    </r>
    <r>
      <rPr>
        <i/>
        <sz val="9"/>
        <color rgb="FF666666"/>
        <rFont val="나눔고딕"/>
        <family val="3"/>
        <charset val="129"/>
      </rPr>
      <t>통합</t>
    </r>
    <r>
      <rPr>
        <i/>
        <sz val="9"/>
        <color rgb="FF666666"/>
        <rFont val="Times New Roman"/>
        <family val="1"/>
      </rPr>
      <t xml:space="preserve"> E</t>
    </r>
    <r>
      <rPr>
        <i/>
        <sz val="9"/>
        <color rgb="FF666666"/>
        <rFont val="나눔고딕"/>
        <family val="3"/>
        <charset val="129"/>
      </rPr>
      <t>열</t>
    </r>
    <r>
      <rPr>
        <i/>
        <sz val="9"/>
        <color rgb="FF666666"/>
        <rFont val="Times New Roman"/>
        <family val="1"/>
      </rPr>
      <t>(baseline_id)</t>
    </r>
    <r>
      <rPr>
        <i/>
        <sz val="9"/>
        <color rgb="FF666666"/>
        <rFont val="나눔고딕"/>
        <family val="3"/>
        <charset val="129"/>
      </rPr>
      <t>에서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셀을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선택하면</t>
    </r>
    <r>
      <rPr>
        <i/>
        <sz val="9"/>
        <color rgb="FF666666"/>
        <rFont val="Times New Roman"/>
        <family val="1"/>
      </rPr>
      <t xml:space="preserve"> B5~B12</t>
    </r>
    <r>
      <rPr>
        <i/>
        <sz val="9"/>
        <color rgb="FF666666"/>
        <rFont val="나눔고딕"/>
        <family val="3"/>
        <charset val="129"/>
      </rPr>
      <t>가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자동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세팅되고</t>
    </r>
    <r>
      <rPr>
        <i/>
        <sz val="9"/>
        <color rgb="FF666666"/>
        <rFont val="Times New Roman"/>
        <family val="1"/>
      </rPr>
      <t>, C</t>
    </r>
    <r>
      <rPr>
        <i/>
        <sz val="9"/>
        <color rgb="FF666666"/>
        <rFont val="나눔고딕"/>
        <family val="3"/>
        <charset val="129"/>
      </rPr>
      <t>열에는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판단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근거가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항목별로</t>
    </r>
    <r>
      <rPr>
        <i/>
        <sz val="9"/>
        <color rgb="FF666666"/>
        <rFont val="Times New Roman"/>
        <family val="1"/>
      </rPr>
      <t xml:space="preserve"> </t>
    </r>
    <r>
      <rPr>
        <i/>
        <sz val="9"/>
        <color rgb="FF666666"/>
        <rFont val="나눔고딕"/>
        <family val="3"/>
        <charset val="129"/>
      </rPr>
      <t>기록됩니다</t>
    </r>
    <r>
      <rPr>
        <i/>
        <sz val="9"/>
        <color rgb="FF666666"/>
        <rFont val="Times New Roman"/>
        <family val="1"/>
      </rPr>
      <t>.</t>
    </r>
    <phoneticPr fontId="2" type="noConversion"/>
  </si>
  <si>
    <r>
      <rPr>
        <b/>
        <sz val="10"/>
        <color rgb="FF1F1F1F"/>
        <rFont val="나눔고딕"/>
        <family val="3"/>
        <charset val="129"/>
      </rPr>
      <t>구분</t>
    </r>
    <r>
      <rPr>
        <b/>
        <sz val="10"/>
        <color rgb="FF1F1F1F"/>
        <rFont val="Times New Roman"/>
        <family val="1"/>
      </rPr>
      <t xml:space="preserve"> (Category)</t>
    </r>
  </si>
  <si>
    <r>
      <rPr>
        <b/>
        <sz val="10"/>
        <color rgb="FF1F1F1F"/>
        <rFont val="나눔고딕"/>
        <family val="3"/>
        <charset val="129"/>
      </rPr>
      <t>파일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형식</t>
    </r>
    <r>
      <rPr>
        <b/>
        <sz val="10"/>
        <color rgb="FF1F1F1F"/>
        <rFont val="Times New Roman"/>
        <family val="1"/>
      </rPr>
      <t xml:space="preserve"> / </t>
    </r>
    <r>
      <rPr>
        <b/>
        <sz val="10"/>
        <color rgb="FF1F1F1F"/>
        <rFont val="나눔고딕"/>
        <family val="3"/>
        <charset val="129"/>
      </rPr>
      <t>명칭</t>
    </r>
  </si>
  <si>
    <r>
      <rPr>
        <b/>
        <sz val="10"/>
        <color rgb="FF1F1F1F"/>
        <rFont val="나눔고딕"/>
        <family val="3"/>
        <charset val="129"/>
      </rPr>
      <t>설명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및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내용</t>
    </r>
  </si>
  <si>
    <r>
      <rPr>
        <b/>
        <sz val="10"/>
        <color rgb="FF1F1F1F"/>
        <rFont val="나눔고딕"/>
        <family val="3"/>
        <charset val="129"/>
      </rPr>
      <t>수집</t>
    </r>
    <r>
      <rPr>
        <b/>
        <sz val="10"/>
        <color rgb="FF1F1F1F"/>
        <rFont val="Times New Roman"/>
        <family val="1"/>
      </rPr>
      <t xml:space="preserve"> </t>
    </r>
    <r>
      <rPr>
        <b/>
        <sz val="10"/>
        <color rgb="FF1F1F1F"/>
        <rFont val="나눔고딕"/>
        <family val="3"/>
        <charset val="129"/>
      </rPr>
      <t>경로</t>
    </r>
    <r>
      <rPr>
        <b/>
        <sz val="10"/>
        <color rgb="FF1F1F1F"/>
        <rFont val="Times New Roman"/>
        <family val="1"/>
      </rPr>
      <t xml:space="preserve"> (Source)</t>
    </r>
  </si>
  <si>
    <r>
      <t xml:space="preserve">ECU </t>
    </r>
    <r>
      <rPr>
        <sz val="10"/>
        <color rgb="FF1F1F1F"/>
        <rFont val="나눔고딕"/>
        <family val="3"/>
        <charset val="129"/>
      </rPr>
      <t>타겟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플래시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다운로드용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실행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바이너리</t>
    </r>
  </si>
  <si>
    <r>
      <t xml:space="preserve">./bin/ </t>
    </r>
    <r>
      <rPr>
        <sz val="10"/>
        <color rgb="FF1F1F1F"/>
        <rFont val="나눔고딕"/>
        <family val="3"/>
        <charset val="129"/>
      </rPr>
      <t>또는</t>
    </r>
    <r>
      <rPr>
        <sz val="10"/>
        <color rgb="FF1F1F1F"/>
        <rFont val="Times New Roman"/>
        <family val="1"/>
      </rPr>
      <t xml:space="preserve"> Release/ (</t>
    </r>
    <r>
      <rPr>
        <sz val="10"/>
        <color rgb="FF1F1F1F"/>
        <rFont val="나눔고딕"/>
        <family val="3"/>
        <charset val="129"/>
      </rPr>
      <t>수동</t>
    </r>
    <r>
      <rPr>
        <sz val="10"/>
        <color rgb="FF1F1F1F"/>
        <rFont val="Times New Roman"/>
        <family val="1"/>
      </rPr>
      <t>/</t>
    </r>
    <r>
      <rPr>
        <sz val="10"/>
        <color rgb="FF1F1F1F"/>
        <rFont val="나눔고딕"/>
        <family val="3"/>
        <charset val="129"/>
      </rPr>
      <t>자동</t>
    </r>
    <r>
      <rPr>
        <sz val="10"/>
        <color rgb="FF1F1F1F"/>
        <rFont val="Times New Roman"/>
        <family val="1"/>
      </rPr>
      <t>)</t>
    </r>
  </si>
  <si>
    <r>
      <rPr>
        <sz val="10"/>
        <color rgb="FF1F1F1F"/>
        <rFont val="나눔고딕"/>
        <family val="3"/>
        <charset val="129"/>
      </rPr>
      <t>디버깅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역추적을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위한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심볼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파일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맵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파일</t>
    </r>
  </si>
  <si>
    <r>
      <rPr>
        <sz val="10"/>
        <color rgb="FF1F1F1F"/>
        <rFont val="나눔고딕"/>
        <family val="3"/>
        <charset val="129"/>
      </rPr>
      <t>빌드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환경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버전</t>
    </r>
    <r>
      <rPr>
        <sz val="10"/>
        <color rgb="FF1F1F1F"/>
        <rFont val="Times New Roman"/>
        <family val="1"/>
      </rPr>
      <t xml:space="preserve">, </t>
    </r>
    <r>
      <rPr>
        <sz val="10"/>
        <color rgb="FF1F1F1F"/>
        <rFont val="나눔고딕"/>
        <family val="3"/>
        <charset val="129"/>
      </rPr>
      <t>타겟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컴파일러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메타데이터</t>
    </r>
  </si>
  <si>
    <r>
      <rPr>
        <sz val="10"/>
        <color rgb="FF1F1F1F"/>
        <rFont val="나눔고딕"/>
        <family val="3"/>
        <charset val="129"/>
      </rPr>
      <t>프로젝트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루트</t>
    </r>
    <r>
      <rPr>
        <sz val="10"/>
        <color rgb="FF1F1F1F"/>
        <rFont val="Times New Roman"/>
        <family val="1"/>
      </rPr>
      <t xml:space="preserve"> (PROJECT_ROOT)</t>
    </r>
  </si>
  <si>
    <r>
      <rPr>
        <sz val="10"/>
        <color rgb="FF1F1F1F"/>
        <rFont val="나눔고딕"/>
        <family val="3"/>
        <charset val="129"/>
      </rPr>
      <t>진짜</t>
    </r>
    <r>
      <rPr>
        <sz val="10"/>
        <color rgb="FF1F1F1F"/>
        <rFont val="Times New Roman"/>
        <family val="1"/>
      </rPr>
      <t xml:space="preserve"> SHA-256 </t>
    </r>
    <r>
      <rPr>
        <sz val="10"/>
        <color rgb="FF1F1F1F"/>
        <rFont val="나눔고딕"/>
        <family val="3"/>
        <charset val="129"/>
      </rPr>
      <t>해시가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주입된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공식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마크다운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릴리즈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노트</t>
    </r>
  </si>
  <si>
    <r>
      <t>Release/ (</t>
    </r>
    <r>
      <rPr>
        <sz val="10"/>
        <color rgb="FF1F1F1F"/>
        <rFont val="나눔고딕"/>
        <family val="3"/>
        <charset val="129"/>
      </rPr>
      <t>자동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생성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봉인</t>
    </r>
    <r>
      <rPr>
        <sz val="10"/>
        <color rgb="FF1F1F1F"/>
        <rFont val="Times New Roman"/>
        <family val="1"/>
      </rPr>
      <t>)</t>
    </r>
  </si>
  <si>
    <r>
      <rPr>
        <sz val="10"/>
        <color rgb="FF1F1F1F"/>
        <rFont val="나눔고딕"/>
        <family val="3"/>
        <charset val="129"/>
      </rPr>
      <t>공식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배포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및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검토용</t>
    </r>
    <r>
      <rPr>
        <sz val="10"/>
        <color rgb="FF1F1F1F"/>
        <rFont val="Times New Roman"/>
        <family val="1"/>
      </rPr>
      <t xml:space="preserve"> MS Word </t>
    </r>
    <r>
      <rPr>
        <sz val="10"/>
        <color rgb="FF1F1F1F"/>
        <rFont val="나눔고딕"/>
        <family val="3"/>
        <charset val="129"/>
      </rPr>
      <t>릴리즈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노트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문서</t>
    </r>
  </si>
  <si>
    <r>
      <t>Release/ (</t>
    </r>
    <r>
      <rPr>
        <sz val="10"/>
        <color rgb="FF1F1F1F"/>
        <rFont val="나눔고딕"/>
        <family val="3"/>
        <charset val="129"/>
      </rPr>
      <t>자동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변환</t>
    </r>
    <r>
      <rPr>
        <sz val="10"/>
        <color rgb="FF1F1F1F"/>
        <rFont val="Times New Roman"/>
        <family val="1"/>
      </rPr>
      <t>)</t>
    </r>
  </si>
  <si>
    <r>
      <rPr>
        <sz val="10"/>
        <color rgb="FF1F1F1F"/>
        <rFont val="나눔고딕"/>
        <family val="3"/>
        <charset val="129"/>
      </rPr>
      <t>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모든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산출물을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하나로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묶은</t>
    </r>
    <r>
      <rPr>
        <sz val="10"/>
        <color rgb="FF1F1F1F"/>
        <rFont val="Times New Roman"/>
        <family val="1"/>
      </rPr>
      <t xml:space="preserve"> 10</t>
    </r>
    <r>
      <rPr>
        <sz val="10"/>
        <color rgb="FF1F1F1F"/>
        <rFont val="나눔고딕"/>
        <family val="3"/>
        <charset val="129"/>
      </rPr>
      <t>년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보관용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형상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동결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아카이브</t>
    </r>
  </si>
  <si>
    <r>
      <t>Release/ (</t>
    </r>
    <r>
      <rPr>
        <sz val="10"/>
        <color rgb="FF1F1F1F"/>
        <rFont val="나눔고딕"/>
        <family val="3"/>
        <charset val="129"/>
      </rPr>
      <t>최종</t>
    </r>
    <r>
      <rPr>
        <sz val="10"/>
        <color rgb="FF1F1F1F"/>
        <rFont val="Times New Roman"/>
        <family val="1"/>
      </rPr>
      <t xml:space="preserve"> </t>
    </r>
    <r>
      <rPr>
        <sz val="10"/>
        <color rgb="FF1F1F1F"/>
        <rFont val="나눔고딕"/>
        <family val="3"/>
        <charset val="129"/>
      </rPr>
      <t>생성</t>
    </r>
    <r>
      <rPr>
        <sz val="10"/>
        <color rgb="FF1F1F1F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</si>
  <si>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★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릴리즈에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포함되는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자료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목록</t>
    </r>
    <r>
      <rPr>
        <sz val="10"/>
        <color theme="1"/>
        <rFont val="Times New Roman"/>
        <family val="1"/>
      </rPr>
      <t xml:space="preserve"> : </t>
    </r>
    <r>
      <rPr>
        <sz val="10"/>
        <color rgb="FFFF0000"/>
        <rFont val="나눔고딕"/>
        <family val="3"/>
        <charset val="129"/>
      </rPr>
      <t>릴리즈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자료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생성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과정에서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릴리즈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노트에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해시가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자동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주입되어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완성됨</t>
    </r>
    <phoneticPr fontId="2" type="noConversion"/>
  </si>
  <si>
    <r>
      <rPr>
        <sz val="10"/>
        <color rgb="FF0000FF"/>
        <rFont val="나눔고딕"/>
        <family val="3"/>
        <charset val="129"/>
      </rPr>
      <t>★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릴리즈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노트는</t>
    </r>
    <r>
      <rPr>
        <sz val="10"/>
        <color rgb="FF0000FF"/>
        <rFont val="Times New Roman"/>
        <family val="1"/>
      </rPr>
      <t xml:space="preserve"> draft </t>
    </r>
    <r>
      <rPr>
        <sz val="10"/>
        <color rgb="FF0000FF"/>
        <rFont val="나눔고딕"/>
        <family val="3"/>
        <charset val="129"/>
      </rPr>
      <t>상태로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자동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작성</t>
    </r>
    <r>
      <rPr>
        <sz val="10"/>
        <color rgb="FF0000FF"/>
        <rFont val="Times New Roman"/>
        <family val="1"/>
      </rPr>
      <t xml:space="preserve">. </t>
    </r>
    <r>
      <rPr>
        <sz val="10"/>
        <color rgb="FF0000FF"/>
        <rFont val="나눔고딕"/>
        <family val="3"/>
        <charset val="129"/>
      </rPr>
      <t>최종은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연구원이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감수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편집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후</t>
    </r>
    <r>
      <rPr>
        <sz val="10"/>
        <color rgb="FF0000FF"/>
        <rFont val="Times New Roman"/>
        <family val="1"/>
      </rPr>
      <t xml:space="preserve"> </t>
    </r>
    <r>
      <rPr>
        <sz val="10"/>
        <color rgb="FF0000FF"/>
        <rFont val="나눔고딕"/>
        <family val="3"/>
        <charset val="129"/>
      </rPr>
      <t>확정</t>
    </r>
    <r>
      <rPr>
        <sz val="10"/>
        <color rgb="FF0000FF"/>
        <rFont val="Times New Roman"/>
        <family val="1"/>
      </rPr>
      <t xml:space="preserve">. </t>
    </r>
    <r>
      <rPr>
        <sz val="10"/>
        <color rgb="FFFF0000"/>
        <rFont val="나눔고딕"/>
        <family val="3"/>
        <charset val="129"/>
      </rPr>
      <t>단</t>
    </r>
    <r>
      <rPr>
        <sz val="10"/>
        <color rgb="FFFF0000"/>
        <rFont val="Times New Roman"/>
        <family val="1"/>
      </rPr>
      <t xml:space="preserve">, </t>
    </r>
    <r>
      <rPr>
        <sz val="10"/>
        <color rgb="FFFF0000"/>
        <rFont val="나눔고딕"/>
        <family val="3"/>
        <charset val="129"/>
      </rPr>
      <t>파일명</t>
    </r>
    <r>
      <rPr>
        <sz val="10"/>
        <color rgb="FFFF0000"/>
        <rFont val="Times New Roman"/>
        <family val="1"/>
      </rPr>
      <t>(*draft_md)</t>
    </r>
    <r>
      <rPr>
        <sz val="10"/>
        <color rgb="FFFF0000"/>
        <rFont val="나눔고딕"/>
        <family val="3"/>
        <charset val="129"/>
      </rPr>
      <t>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변경하지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않고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그대로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유지해야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한다</t>
    </r>
    <r>
      <rPr>
        <sz val="10"/>
        <color rgb="FFFF0000"/>
        <rFont val="Times New Roman"/>
        <family val="1"/>
      </rPr>
      <t>.</t>
    </r>
    <phoneticPr fontId="2" type="noConversion"/>
  </si>
  <si>
    <r>
      <t xml:space="preserve">SW </t>
    </r>
    <r>
      <rPr>
        <sz val="10"/>
        <color theme="1"/>
        <rFont val="나눔고딕"/>
        <family val="3"/>
        <charset val="129"/>
      </rPr>
      <t>배포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전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릴리즈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준비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상태를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점검</t>
    </r>
    <phoneticPr fontId="2" type="noConversion"/>
  </si>
  <si>
    <r>
      <rPr>
        <i/>
        <sz val="9"/>
        <color rgb="FF5F5E5A"/>
        <rFont val="나눔고딕"/>
        <family val="3"/>
        <charset val="129"/>
      </rPr>
      <t>※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인스턴스</t>
    </r>
    <r>
      <rPr>
        <i/>
        <sz val="9"/>
        <color rgb="FFC00000"/>
        <rFont val="Times New Roman"/>
        <family val="1"/>
      </rPr>
      <t xml:space="preserve">_SAMPLE </t>
    </r>
    <r>
      <rPr>
        <i/>
        <sz val="9"/>
        <color rgb="FFC00000"/>
        <rFont val="나눔고딕"/>
        <family val="3"/>
        <charset val="129"/>
      </rPr>
      <t>스키마가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바뀔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때마다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이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시트에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행을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추가합니다</t>
    </r>
    <r>
      <rPr>
        <i/>
        <sz val="9"/>
        <color rgb="FF5F5E5A"/>
        <rFont val="Times New Roman"/>
        <family val="1"/>
      </rPr>
      <t>(</t>
    </r>
    <r>
      <rPr>
        <i/>
        <sz val="9"/>
        <color rgb="FFC00000"/>
        <rFont val="나눔고딕"/>
        <family val="3"/>
        <charset val="129"/>
      </rPr>
      <t>누적</t>
    </r>
    <r>
      <rPr>
        <i/>
        <sz val="9"/>
        <color rgb="FFC00000"/>
        <rFont val="Times New Roman"/>
        <family val="1"/>
      </rPr>
      <t xml:space="preserve">, </t>
    </r>
    <r>
      <rPr>
        <i/>
        <sz val="9"/>
        <color rgb="FFC00000"/>
        <rFont val="나눔고딕"/>
        <family val="3"/>
        <charset val="129"/>
      </rPr>
      <t>덮어쓰지</t>
    </r>
    <r>
      <rPr>
        <i/>
        <sz val="9"/>
        <color rgb="FFC00000"/>
        <rFont val="Times New Roman"/>
        <family val="1"/>
      </rPr>
      <t xml:space="preserve"> </t>
    </r>
    <r>
      <rPr>
        <i/>
        <sz val="9"/>
        <color rgb="FFC00000"/>
        <rFont val="나눔고딕"/>
        <family val="3"/>
        <charset val="129"/>
      </rPr>
      <t>않음</t>
    </r>
    <r>
      <rPr>
        <i/>
        <sz val="9"/>
        <color rgb="FF5F5E5A"/>
        <rFont val="Times New Roman"/>
        <family val="1"/>
      </rPr>
      <t xml:space="preserve"> — </t>
    </r>
    <r>
      <rPr>
        <i/>
        <sz val="9"/>
        <color rgb="FF5F5E5A"/>
        <rFont val="나눔고딕"/>
        <family val="3"/>
        <charset val="129"/>
      </rPr>
      <t>증적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목적</t>
    </r>
    <r>
      <rPr>
        <i/>
        <sz val="9"/>
        <color rgb="FF5F5E5A"/>
        <rFont val="Times New Roman"/>
        <family val="1"/>
      </rPr>
      <t xml:space="preserve">). </t>
    </r>
    <r>
      <rPr>
        <i/>
        <sz val="9"/>
        <color rgb="FF5F5E5A"/>
        <rFont val="나눔고딕"/>
        <family val="3"/>
        <charset val="129"/>
      </rPr>
      <t>전파대상수</t>
    </r>
    <r>
      <rPr>
        <i/>
        <sz val="9"/>
        <color rgb="FF5F5E5A"/>
        <rFont val="Times New Roman"/>
        <family val="1"/>
      </rPr>
      <t>/</t>
    </r>
    <r>
      <rPr>
        <i/>
        <sz val="9"/>
        <color rgb="FF5F5E5A"/>
        <rFont val="나눔고딕"/>
        <family val="3"/>
        <charset val="129"/>
      </rPr>
      <t>전파완료일시는</t>
    </r>
    <r>
      <rPr>
        <i/>
        <sz val="9"/>
        <color rgb="FF5F5E5A"/>
        <rFont val="Times New Roman"/>
        <family val="1"/>
      </rPr>
      <t xml:space="preserve"> PropagateSampleSchema </t>
    </r>
    <r>
      <rPr>
        <i/>
        <sz val="9"/>
        <color rgb="FF5F5E5A"/>
        <rFont val="나눔고딕"/>
        <family val="3"/>
        <charset val="129"/>
      </rPr>
      <t>스크립트</t>
    </r>
    <r>
      <rPr>
        <i/>
        <sz val="9"/>
        <color rgb="FF5F5E5A"/>
        <rFont val="Times New Roman"/>
        <family val="1"/>
      </rPr>
      <t>(VBA/Python)</t>
    </r>
    <r>
      <rPr>
        <i/>
        <sz val="9"/>
        <color rgb="FF5F5E5A"/>
        <rFont val="나눔고딕"/>
        <family val="3"/>
        <charset val="129"/>
      </rPr>
      <t>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인스턴스</t>
    </r>
    <r>
      <rPr>
        <i/>
        <sz val="9"/>
        <color rgb="FF5F5E5A"/>
        <rFont val="Times New Roman"/>
        <family val="1"/>
      </rPr>
      <t>_</t>
    </r>
    <r>
      <rPr>
        <i/>
        <sz val="9"/>
        <color rgb="FF5F5E5A"/>
        <rFont val="나눔고딕"/>
        <family val="3"/>
        <charset val="129"/>
      </rPr>
      <t>목록을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대상으로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일괄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반영한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뒤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자동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기록합니다</t>
    </r>
    <r>
      <rPr>
        <i/>
        <sz val="9"/>
        <color rgb="FF5F5E5A"/>
        <rFont val="Times New Roman"/>
        <family val="1"/>
      </rPr>
      <t xml:space="preserve">. </t>
    </r>
    <r>
      <rPr>
        <i/>
        <sz val="9"/>
        <color rgb="FF5F5E5A"/>
        <rFont val="나눔고딕"/>
        <family val="3"/>
        <charset val="129"/>
      </rPr>
      <t>전파는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추가</t>
    </r>
    <r>
      <rPr>
        <i/>
        <sz val="9"/>
        <color rgb="FF5F5E5A"/>
        <rFont val="Times New Roman"/>
        <family val="1"/>
      </rPr>
      <t>(additive)</t>
    </r>
    <r>
      <rPr>
        <i/>
        <sz val="9"/>
        <color rgb="FF5F5E5A"/>
        <rFont val="나눔고딕"/>
        <family val="3"/>
        <charset val="129"/>
      </rPr>
      <t>만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수행하며</t>
    </r>
    <r>
      <rPr>
        <i/>
        <sz val="9"/>
        <color rgb="FF5F5E5A"/>
        <rFont val="Times New Roman"/>
        <family val="1"/>
      </rPr>
      <t xml:space="preserve">, </t>
    </r>
    <r>
      <rPr>
        <i/>
        <sz val="9"/>
        <color rgb="FF5F5E5A"/>
        <rFont val="나눔고딕"/>
        <family val="3"/>
        <charset val="129"/>
      </rPr>
      <t>기존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인스턴스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파일의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기존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데이터는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그대로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유지합니다</t>
    </r>
    <r>
      <rPr>
        <i/>
        <sz val="9"/>
        <color rgb="FF5F5E5A"/>
        <rFont val="Times New Roman"/>
        <family val="1"/>
      </rPr>
      <t>.</t>
    </r>
    <phoneticPr fontId="2" type="noConversion"/>
  </si>
  <si>
    <r>
      <rPr>
        <i/>
        <sz val="9"/>
        <color rgb="FF5F5E5A"/>
        <rFont val="나눔고딕"/>
        <family val="3"/>
        <charset val="129"/>
      </rPr>
      <t>※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유지보수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과제</t>
    </r>
    <r>
      <rPr>
        <i/>
        <sz val="9"/>
        <color rgb="FF5F5E5A"/>
        <rFont val="Times New Roman"/>
        <family val="1"/>
      </rPr>
      <t>(</t>
    </r>
    <r>
      <rPr>
        <i/>
        <sz val="9"/>
        <color rgb="FF5F5E5A"/>
        <rFont val="나눔고딕"/>
        <family val="3"/>
        <charset val="129"/>
      </rPr>
      <t>변경관리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위주</t>
    </r>
    <r>
      <rPr>
        <i/>
        <sz val="9"/>
        <color rgb="FF5F5E5A"/>
        <rFont val="Times New Roman"/>
        <family val="1"/>
      </rPr>
      <t>)</t>
    </r>
    <r>
      <rPr>
        <i/>
        <sz val="9"/>
        <color rgb="FF5F5E5A"/>
        <rFont val="나눔고딕"/>
        <family val="3"/>
        <charset val="129"/>
      </rPr>
      <t>에서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함수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단위로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형상관리하는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경우의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인스턴스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견본입니다</t>
    </r>
    <r>
      <rPr>
        <i/>
        <sz val="9"/>
        <color rgb="FF5F5E5A"/>
        <rFont val="Times New Roman"/>
        <family val="1"/>
      </rPr>
      <t xml:space="preserve">. </t>
    </r>
    <r>
      <rPr>
        <i/>
        <sz val="9"/>
        <color rgb="FF5F5E5A"/>
        <rFont val="나눔고딕"/>
        <family val="3"/>
        <charset val="129"/>
      </rPr>
      <t>같은</t>
    </r>
    <r>
      <rPr>
        <i/>
        <sz val="9"/>
        <color rgb="FF5F5E5A"/>
        <rFont val="Times New Roman"/>
        <family val="1"/>
      </rPr>
      <t xml:space="preserve"> SW_ID·</t>
    </r>
    <r>
      <rPr>
        <i/>
        <sz val="9"/>
        <color rgb="FF5F5E5A"/>
        <rFont val="나눔고딕"/>
        <family val="3"/>
        <charset val="129"/>
      </rPr>
      <t>같은</t>
    </r>
    <r>
      <rPr>
        <i/>
        <sz val="9"/>
        <color rgb="FF5F5E5A"/>
        <rFont val="Times New Roman"/>
        <family val="1"/>
      </rPr>
      <t xml:space="preserve"> CR</t>
    </r>
    <r>
      <rPr>
        <i/>
        <sz val="9"/>
        <color rgb="FF5F5E5A"/>
        <rFont val="나눔고딕"/>
        <family val="3"/>
        <charset val="129"/>
      </rPr>
      <t>이라도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차종별로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반영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시점이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다를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수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있어</t>
    </r>
    <r>
      <rPr>
        <i/>
        <sz val="9"/>
        <color rgb="FF5F5E5A"/>
        <rFont val="Times New Roman"/>
        <family val="1"/>
      </rPr>
      <t>, SW_ID×controller_id×</t>
    </r>
    <r>
      <rPr>
        <i/>
        <sz val="9"/>
        <color rgb="FF5F5E5A"/>
        <rFont val="나눔고딕"/>
        <family val="3"/>
        <charset val="129"/>
      </rPr>
      <t>적용차종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조합마다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별도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행으로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기록합니다</t>
    </r>
    <r>
      <rPr>
        <i/>
        <sz val="9"/>
        <color rgb="FF5F5E5A"/>
        <rFont val="Times New Roman"/>
        <family val="1"/>
      </rPr>
      <t xml:space="preserve">. phase </t>
    </r>
    <r>
      <rPr>
        <i/>
        <sz val="9"/>
        <color rgb="FF5F5E5A"/>
        <rFont val="나눔고딕"/>
        <family val="3"/>
        <charset val="129"/>
      </rPr>
      <t>필드는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생략했습니다</t>
    </r>
    <r>
      <rPr>
        <i/>
        <sz val="9"/>
        <color rgb="FF5F5E5A"/>
        <rFont val="Times New Roman"/>
        <family val="1"/>
      </rPr>
      <t xml:space="preserve"> — </t>
    </r>
    <r>
      <rPr>
        <i/>
        <sz val="9"/>
        <color rgb="FF5F5E5A"/>
        <rFont val="나눔고딕"/>
        <family val="3"/>
        <charset val="129"/>
      </rPr>
      <t>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템플릿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자체가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항상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유지보수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맥락이라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중복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정보이기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때문입니다</t>
    </r>
    <r>
      <rPr>
        <i/>
        <sz val="9"/>
        <color rgb="FF5F5E5A"/>
        <rFont val="Times New Roman"/>
        <family val="1"/>
      </rPr>
      <t>.</t>
    </r>
    <phoneticPr fontId="2" type="noConversion"/>
  </si>
  <si>
    <r>
      <rPr>
        <sz val="10"/>
        <color theme="1"/>
        <rFont val="나눔고딕"/>
        <family val="3"/>
        <charset val="129"/>
      </rPr>
      <t>★</t>
    </r>
    <r>
      <rPr>
        <sz val="10"/>
        <color theme="1"/>
        <rFont val="Times New Roman"/>
        <family val="1"/>
      </rPr>
      <t xml:space="preserve"> md </t>
    </r>
    <r>
      <rPr>
        <sz val="10"/>
        <color theme="1"/>
        <rFont val="나눔고딕"/>
        <family val="3"/>
        <charset val="129"/>
      </rPr>
      <t>파일</t>
    </r>
    <r>
      <rPr>
        <sz val="10"/>
        <color theme="1"/>
        <rFont val="Times New Roman"/>
        <family val="1"/>
      </rPr>
      <t xml:space="preserve"> permission </t>
    </r>
    <r>
      <rPr>
        <sz val="10"/>
        <color theme="1"/>
        <rFont val="나눔고딕"/>
        <family val="3"/>
        <charset val="129"/>
      </rPr>
      <t>문제로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함수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실행이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안되는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경우에는</t>
    </r>
    <r>
      <rPr>
        <sz val="10"/>
        <color theme="1"/>
        <rFont val="Times New Roman"/>
        <family val="1"/>
      </rPr>
      <t xml:space="preserve"> CLI </t>
    </r>
    <r>
      <rPr>
        <sz val="10"/>
        <color theme="1"/>
        <rFont val="나눔고딕"/>
        <family val="3"/>
        <charset val="129"/>
      </rPr>
      <t>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진행합니다</t>
    </r>
    <r>
      <rPr>
        <sz val="10"/>
        <color theme="1"/>
        <rFont val="Times New Roman"/>
        <family val="1"/>
      </rPr>
      <t xml:space="preserve">. </t>
    </r>
    <r>
      <rPr>
        <sz val="10"/>
        <color theme="1"/>
        <rFont val="나눔고딕"/>
        <family val="3"/>
        <charset val="129"/>
      </rPr>
      <t>필요시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담당자와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협의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바랍니다</t>
    </r>
    <r>
      <rPr>
        <sz val="10"/>
        <color theme="1"/>
        <rFont val="Times New Roman"/>
        <family val="1"/>
      </rPr>
      <t>.</t>
    </r>
    <phoneticPr fontId="2" type="noConversion"/>
  </si>
  <si>
    <t>C:\MyWork\Bom_SSoT\SSoT_Template_v3.xlsm</t>
    <phoneticPr fontId="2" type="noConversion"/>
  </si>
  <si>
    <r>
      <t xml:space="preserve"> </t>
    </r>
    <r>
      <rPr>
        <sz val="11"/>
        <color rgb="FFFF0000"/>
        <rFont val="나눔고딕"/>
        <family val="3"/>
        <charset val="129"/>
      </rPr>
      <t>※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암호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해제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조건에서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함수가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정상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동작합니다</t>
    </r>
    <r>
      <rPr>
        <sz val="11"/>
        <color rgb="FFFF0000"/>
        <rFont val="Times New Roman"/>
        <family val="1"/>
      </rPr>
      <t>.</t>
    </r>
    <phoneticPr fontId="10" type="noConversion"/>
  </si>
  <si>
    <r>
      <rPr>
        <sz val="10"/>
        <color theme="1"/>
        <rFont val="나눔고딕"/>
        <family val="3"/>
        <charset val="129"/>
      </rPr>
      <t>무결성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자가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진단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워크시트간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불일치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사항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확인</t>
    </r>
    <r>
      <rPr>
        <sz val="10"/>
        <color theme="1"/>
        <rFont val="Times New Roman"/>
        <family val="1"/>
      </rPr>
      <t>)</t>
    </r>
    <phoneticPr fontId="2" type="noConversion"/>
  </si>
  <si>
    <r>
      <rPr>
        <sz val="10"/>
        <color rgb="FFFF0000"/>
        <rFont val="나눔고딕"/>
        <family val="3"/>
        <charset val="129"/>
      </rPr>
      <t>★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워크시트</t>
    </r>
    <r>
      <rPr>
        <sz val="10"/>
        <color rgb="FFFF0000"/>
        <rFont val="Times New Roman"/>
        <family val="1"/>
      </rPr>
      <t xml:space="preserve"> E:N</t>
    </r>
    <r>
      <rPr>
        <sz val="10"/>
        <color rgb="FFFF0000"/>
        <rFont val="나눔고딕"/>
        <family val="3"/>
        <charset val="129"/>
      </rPr>
      <t>열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암호조건을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설정하세요</t>
    </r>
    <r>
      <rPr>
        <sz val="10"/>
        <color rgb="FFFF0000"/>
        <rFont val="Times New Roman"/>
        <family val="1"/>
      </rPr>
      <t>. (R:W</t>
    </r>
    <r>
      <rPr>
        <sz val="10"/>
        <color rgb="FFFF0000"/>
        <rFont val="나눔고딕"/>
        <family val="3"/>
        <charset val="129"/>
      </rPr>
      <t>열의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가이드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참조</t>
    </r>
    <r>
      <rPr>
        <sz val="10"/>
        <color rgb="FFFF0000"/>
        <rFont val="Times New Roman"/>
        <family val="1"/>
      </rPr>
      <t>)</t>
    </r>
    <phoneticPr fontId="10" type="noConversion"/>
  </si>
  <si>
    <r>
      <t>(</t>
    </r>
    <r>
      <rPr>
        <sz val="9"/>
        <color rgb="FFFF0000"/>
        <rFont val="나눔고딕"/>
        <family val="3"/>
        <charset val="129"/>
      </rPr>
      <t>수기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편집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불가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열</t>
    </r>
    <r>
      <rPr>
        <sz val="9"/>
        <color rgb="FFFF0000"/>
        <rFont val="Times New Roman"/>
        <family val="1"/>
      </rPr>
      <t>)</t>
    </r>
    <phoneticPr fontId="10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</si>
  <si>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Formatting</t>
    </r>
    <phoneticPr fontId="10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</si>
  <si>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Inserting</t>
    </r>
    <phoneticPr fontId="10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</si>
  <si>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Deleting</t>
    </r>
    <phoneticPr fontId="10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</si>
  <si>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Sorting</t>
    </r>
    <phoneticPr fontId="10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</si>
  <si>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Filtering</t>
    </r>
    <phoneticPr fontId="10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</si>
  <si>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Shapes</t>
    </r>
    <phoneticPr fontId="10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</si>
  <si>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OLEObjects</t>
    </r>
    <phoneticPr fontId="10" type="noConversion"/>
  </si>
  <si>
    <r>
      <rPr>
        <sz val="11"/>
        <color rgb="FFFF0000"/>
        <rFont val="나눔고딕"/>
        <family val="3"/>
        <charset val="129"/>
      </rPr>
      <t>★</t>
    </r>
    <r>
      <rPr>
        <sz val="11"/>
        <color rgb="FFFF0000"/>
        <rFont val="Times New Roman"/>
        <family val="1"/>
      </rPr>
      <t xml:space="preserve"> Task template </t>
    </r>
    <r>
      <rPr>
        <sz val="11"/>
        <color rgb="FFFF0000"/>
        <rFont val="나눔고딕"/>
        <family val="3"/>
        <charset val="129"/>
      </rPr>
      <t>파일은</t>
    </r>
    <r>
      <rPr>
        <sz val="11"/>
        <color rgb="FFFF0000"/>
        <rFont val="Times New Roman"/>
        <family val="1"/>
      </rPr>
      <t xml:space="preserve"> close </t>
    </r>
    <r>
      <rPr>
        <sz val="11"/>
        <color rgb="FFFF0000"/>
        <rFont val="나눔고딕"/>
        <family val="3"/>
        <charset val="129"/>
      </rPr>
      <t>상태에서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실행</t>
    </r>
    <r>
      <rPr>
        <sz val="11"/>
        <color rgb="FFFF0000"/>
        <rFont val="Times New Roman"/>
        <family val="1"/>
      </rPr>
      <t xml:space="preserve">. </t>
    </r>
    <r>
      <rPr>
        <sz val="11"/>
        <color rgb="FFFF0000"/>
        <rFont val="나눔고딕"/>
        <family val="3"/>
        <charset val="129"/>
      </rPr>
      <t>생성된</t>
    </r>
    <r>
      <rPr>
        <sz val="11"/>
        <color rgb="FFFF0000"/>
        <rFont val="Times New Roman"/>
        <family val="1"/>
      </rPr>
      <t xml:space="preserve"> task </t>
    </r>
    <r>
      <rPr>
        <sz val="11"/>
        <color rgb="FFFF0000"/>
        <rFont val="나눔고딕"/>
        <family val="3"/>
        <charset val="129"/>
      </rPr>
      <t>파일은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무관</t>
    </r>
    <phoneticPr fontId="2" type="noConversion"/>
  </si>
  <si>
    <r>
      <rPr>
        <i/>
        <sz val="9"/>
        <color rgb="FFFF0000"/>
        <rFont val="나눔고딕"/>
        <family val="3"/>
        <charset val="129"/>
      </rPr>
      <t>※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이것은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샘플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양식입니다</t>
    </r>
    <r>
      <rPr>
        <i/>
        <sz val="9"/>
        <color rgb="FFFF0000"/>
        <rFont val="Times New Roman"/>
        <family val="1"/>
      </rPr>
      <t xml:space="preserve">. </t>
    </r>
    <r>
      <rPr>
        <i/>
        <sz val="9"/>
        <color rgb="FFFF0000"/>
        <rFont val="나눔고딕"/>
        <family val="3"/>
        <charset val="129"/>
      </rPr>
      <t>제어기별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실제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인스턴스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파일</t>
    </r>
    <r>
      <rPr>
        <i/>
        <sz val="9"/>
        <color rgb="FFFF0000"/>
        <rFont val="Times New Roman"/>
        <family val="1"/>
      </rPr>
      <t>(</t>
    </r>
    <r>
      <rPr>
        <i/>
        <sz val="9"/>
        <color rgb="FFFF0000"/>
        <rFont val="나눔고딕"/>
        <family val="3"/>
        <charset val="129"/>
      </rPr>
      <t>외부</t>
    </r>
    <r>
      <rPr>
        <i/>
        <sz val="9"/>
        <color rgb="FFFF0000"/>
        <rFont val="Times New Roman"/>
        <family val="1"/>
      </rPr>
      <t>)</t>
    </r>
    <r>
      <rPr>
        <i/>
        <sz val="9"/>
        <color rgb="FFFF0000"/>
        <rFont val="나눔고딕"/>
        <family val="3"/>
        <charset val="129"/>
      </rPr>
      <t>은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이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헤더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구조를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그대로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복제해서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사용합니다</t>
    </r>
    <r>
      <rPr>
        <i/>
        <sz val="9"/>
        <color rgb="FFFF0000"/>
        <rFont val="Times New Roman"/>
        <family val="1"/>
      </rPr>
      <t xml:space="preserve">. </t>
    </r>
    <r>
      <rPr>
        <i/>
        <sz val="9"/>
        <color rgb="FFFF0000"/>
        <rFont val="나눔고딕"/>
        <family val="3"/>
        <charset val="129"/>
      </rPr>
      <t>이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시트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자체에는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실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데이터를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쌓지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않습니다</t>
    </r>
    <r>
      <rPr>
        <i/>
        <sz val="9"/>
        <color rgb="FFFF0000"/>
        <rFont val="Times New Roman"/>
        <family val="1"/>
      </rPr>
      <t xml:space="preserve"> — </t>
    </r>
    <r>
      <rPr>
        <i/>
        <sz val="9"/>
        <color rgb="FFFF0000"/>
        <rFont val="나눔고딕"/>
        <family val="3"/>
        <charset val="129"/>
      </rPr>
      <t>실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데이터는</t>
    </r>
    <r>
      <rPr>
        <i/>
        <sz val="9"/>
        <color rgb="FFFF0000"/>
        <rFont val="Times New Roman"/>
        <family val="1"/>
      </rPr>
      <t xml:space="preserve"> '</t>
    </r>
    <r>
      <rPr>
        <i/>
        <sz val="9"/>
        <color rgb="FFFF0000"/>
        <rFont val="나눔고딕"/>
        <family val="3"/>
        <charset val="129"/>
      </rPr>
      <t>인스턴스</t>
    </r>
    <r>
      <rPr>
        <i/>
        <sz val="9"/>
        <color rgb="FFFF0000"/>
        <rFont val="Times New Roman"/>
        <family val="1"/>
      </rPr>
      <t>_</t>
    </r>
    <r>
      <rPr>
        <i/>
        <sz val="9"/>
        <color rgb="FFFF0000"/>
        <rFont val="나눔고딕"/>
        <family val="3"/>
        <charset val="129"/>
      </rPr>
      <t>목록</t>
    </r>
    <r>
      <rPr>
        <i/>
        <sz val="9"/>
        <color rgb="FFFF0000"/>
        <rFont val="Times New Roman"/>
        <family val="1"/>
      </rPr>
      <t>'</t>
    </r>
    <r>
      <rPr>
        <i/>
        <sz val="9"/>
        <color rgb="FFFF0000"/>
        <rFont val="나눔고딕"/>
        <family val="3"/>
        <charset val="129"/>
      </rPr>
      <t>에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등록된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외부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파일에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있습니다</t>
    </r>
    <r>
      <rPr>
        <i/>
        <sz val="9"/>
        <color rgb="FFFF0000"/>
        <rFont val="Times New Roman"/>
        <family val="1"/>
      </rPr>
      <t xml:space="preserve">.
</t>
    </r>
    <r>
      <rPr>
        <i/>
        <sz val="9"/>
        <color rgb="FFFF0000"/>
        <rFont val="나눔고딕"/>
        <family val="3"/>
        <charset val="129"/>
      </rPr>
      <t>※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이것은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샘플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양식에서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새로운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필드를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임의로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추가하지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마시기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바랍니다</t>
    </r>
    <r>
      <rPr>
        <i/>
        <sz val="9"/>
        <color rgb="FFFF0000"/>
        <rFont val="Times New Roman"/>
        <family val="1"/>
      </rPr>
      <t xml:space="preserve">. </t>
    </r>
    <r>
      <rPr>
        <i/>
        <sz val="9"/>
        <color rgb="FFFF0000"/>
        <rFont val="나눔고딕"/>
        <family val="3"/>
        <charset val="129"/>
      </rPr>
      <t>새로운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필드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추가하면</t>
    </r>
    <r>
      <rPr>
        <i/>
        <sz val="9"/>
        <color rgb="FFFF0000"/>
        <rFont val="Times New Roman"/>
        <family val="1"/>
      </rPr>
      <t xml:space="preserve">, </t>
    </r>
    <r>
      <rPr>
        <i/>
        <sz val="9"/>
        <color rgb="FFFF0000"/>
        <rFont val="나눔고딕"/>
        <family val="3"/>
        <charset val="129"/>
      </rPr>
      <t>에러가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발생하고</t>
    </r>
    <r>
      <rPr>
        <i/>
        <sz val="9"/>
        <color rgb="FFFF0000"/>
        <rFont val="Times New Roman"/>
        <family val="1"/>
      </rPr>
      <t xml:space="preserve">, </t>
    </r>
    <r>
      <rPr>
        <i/>
        <sz val="9"/>
        <color rgb="FFFF0000"/>
        <rFont val="나눔고딕"/>
        <family val="3"/>
        <charset val="129"/>
      </rPr>
      <t>통합에서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제외되면서</t>
    </r>
    <r>
      <rPr>
        <i/>
        <sz val="9"/>
        <color rgb="FFFF0000"/>
        <rFont val="Times New Roman"/>
        <family val="1"/>
      </rPr>
      <t xml:space="preserve">, </t>
    </r>
    <r>
      <rPr>
        <i/>
        <sz val="9"/>
        <color rgb="FFFF0000"/>
        <rFont val="나눔고딕"/>
        <family val="3"/>
        <charset val="129"/>
      </rPr>
      <t>수기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통합이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불가피하고</t>
    </r>
    <r>
      <rPr>
        <i/>
        <sz val="9"/>
        <color rgb="FFFF0000"/>
        <rFont val="Times New Roman"/>
        <family val="1"/>
      </rPr>
      <t xml:space="preserve">, </t>
    </r>
    <r>
      <rPr>
        <i/>
        <sz val="9"/>
        <color rgb="FFFF0000"/>
        <rFont val="나눔고딕"/>
        <family val="3"/>
        <charset val="129"/>
      </rPr>
      <t>새로운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필드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내용은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반영이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되지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않게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됩니다</t>
    </r>
    <r>
      <rPr>
        <i/>
        <sz val="9"/>
        <color rgb="FFFF0000"/>
        <rFont val="Times New Roman"/>
        <family val="1"/>
      </rPr>
      <t xml:space="preserve">.
</t>
    </r>
    <r>
      <rPr>
        <i/>
        <sz val="9"/>
        <color rgb="FFFF0000"/>
        <rFont val="나눔고딕"/>
        <family val="3"/>
        <charset val="129"/>
      </rPr>
      <t>※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필드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변경할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경우엔</t>
    </r>
    <r>
      <rPr>
        <i/>
        <sz val="9"/>
        <color rgb="FFFF0000"/>
        <rFont val="Times New Roman"/>
        <family val="1"/>
      </rPr>
      <t xml:space="preserve"> SAMPLE_</t>
    </r>
    <r>
      <rPr>
        <i/>
        <sz val="9"/>
        <color rgb="FFFF0000"/>
        <rFont val="나눔고딕"/>
        <family val="3"/>
        <charset val="129"/>
      </rPr>
      <t>변경이력</t>
    </r>
    <r>
      <rPr>
        <i/>
        <sz val="9"/>
        <color rgb="FFFF0000"/>
        <rFont val="Times New Roman"/>
        <family val="1"/>
      </rPr>
      <t>(</t>
    </r>
    <r>
      <rPr>
        <i/>
        <sz val="9"/>
        <color rgb="FFFF0000"/>
        <rFont val="나눔고딕"/>
        <family val="3"/>
        <charset val="129"/>
      </rPr>
      <t>반드시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참조할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것</t>
    </r>
    <r>
      <rPr>
        <i/>
        <sz val="9"/>
        <color rgb="FFFF0000"/>
        <rFont val="Times New Roman"/>
        <family val="1"/>
      </rPr>
      <t>)</t>
    </r>
    <r>
      <rPr>
        <i/>
        <sz val="9"/>
        <color rgb="FFFF0000"/>
        <rFont val="나눔고딕"/>
        <family val="3"/>
        <charset val="129"/>
      </rPr>
      <t>이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이력을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남긴다</t>
    </r>
    <r>
      <rPr>
        <i/>
        <sz val="9"/>
        <color rgb="FFFF0000"/>
        <rFont val="Times New Roman"/>
        <family val="1"/>
      </rPr>
      <t>.</t>
    </r>
    <phoneticPr fontId="2" type="noConversion"/>
  </si>
  <si>
    <r>
      <rPr>
        <i/>
        <sz val="9"/>
        <color rgb="FF5F5E5A"/>
        <rFont val="나눔고딕"/>
        <family val="3"/>
        <charset val="129"/>
      </rPr>
      <t>※</t>
    </r>
    <r>
      <rPr>
        <i/>
        <sz val="9"/>
        <color rgb="FF5F5E5A"/>
        <rFont val="Times New Roman"/>
        <family val="1"/>
      </rPr>
      <t xml:space="preserve"> file_path/sheet_name</t>
    </r>
    <r>
      <rPr>
        <i/>
        <sz val="9"/>
        <color rgb="FF5F5E5A"/>
        <rFont val="나눔고딕"/>
        <family val="3"/>
        <charset val="129"/>
      </rPr>
      <t>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실제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경로로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교체하세요</t>
    </r>
    <r>
      <rPr>
        <i/>
        <sz val="9"/>
        <color rgb="FF5F5E5A"/>
        <rFont val="Times New Roman"/>
        <family val="1"/>
      </rPr>
      <t>. schema_type</t>
    </r>
    <r>
      <rPr>
        <i/>
        <sz val="9"/>
        <color rgb="FF5F5E5A"/>
        <rFont val="나눔고딕"/>
        <family val="3"/>
        <charset val="129"/>
      </rPr>
      <t>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인스턴스가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어느</t>
    </r>
    <r>
      <rPr>
        <i/>
        <sz val="9"/>
        <color rgb="FF5F5E5A"/>
        <rFont val="Times New Roman"/>
        <family val="1"/>
      </rPr>
      <t xml:space="preserve"> SAMPLE </t>
    </r>
    <r>
      <rPr>
        <i/>
        <sz val="9"/>
        <color rgb="FF5F5E5A"/>
        <rFont val="나눔고딕"/>
        <family val="3"/>
        <charset val="129"/>
      </rPr>
      <t>시트</t>
    </r>
    <r>
      <rPr>
        <i/>
        <sz val="9"/>
        <color rgb="FF5F5E5A"/>
        <rFont val="Times New Roman"/>
        <family val="1"/>
      </rPr>
      <t>(</t>
    </r>
    <r>
      <rPr>
        <i/>
        <sz val="9"/>
        <color rgb="FF5F5E5A"/>
        <rFont val="나눔고딕"/>
        <family val="3"/>
        <charset val="129"/>
      </rPr>
      <t>인스턴스</t>
    </r>
    <r>
      <rPr>
        <i/>
        <sz val="9"/>
        <color rgb="FF5F5E5A"/>
        <rFont val="Times New Roman"/>
        <family val="1"/>
      </rPr>
      <t xml:space="preserve">_SAMPLE / </t>
    </r>
    <r>
      <rPr>
        <i/>
        <sz val="9"/>
        <color rgb="FF5F5E5A"/>
        <rFont val="나눔고딕"/>
        <family val="3"/>
        <charset val="129"/>
      </rPr>
      <t>유지보수</t>
    </r>
    <r>
      <rPr>
        <i/>
        <sz val="9"/>
        <color rgb="FF5F5E5A"/>
        <rFont val="Times New Roman"/>
        <family val="1"/>
      </rPr>
      <t>_SAMPLE_</t>
    </r>
    <r>
      <rPr>
        <i/>
        <sz val="9"/>
        <color rgb="FF5F5E5A"/>
        <rFont val="나눔고딕"/>
        <family val="3"/>
        <charset val="129"/>
      </rPr>
      <t>함수단위</t>
    </r>
    <r>
      <rPr>
        <i/>
        <sz val="9"/>
        <color rgb="FF5F5E5A"/>
        <rFont val="Times New Roman"/>
        <family val="1"/>
      </rPr>
      <t xml:space="preserve"> / </t>
    </r>
    <r>
      <rPr>
        <i/>
        <sz val="9"/>
        <color rgb="FF5F5E5A"/>
        <rFont val="나눔고딕"/>
        <family val="3"/>
        <charset val="129"/>
      </rPr>
      <t>유지보수</t>
    </r>
    <r>
      <rPr>
        <i/>
        <sz val="9"/>
        <color rgb="FF5F5E5A"/>
        <rFont val="Times New Roman"/>
        <family val="1"/>
      </rPr>
      <t>_SAMPLE_</t>
    </r>
    <r>
      <rPr>
        <i/>
        <sz val="9"/>
        <color rgb="FF5F5E5A"/>
        <rFont val="나눔고딕"/>
        <family val="3"/>
        <charset val="129"/>
      </rPr>
      <t>펌웨어단위</t>
    </r>
    <r>
      <rPr>
        <i/>
        <sz val="9"/>
        <color rgb="FF5F5E5A"/>
        <rFont val="Times New Roman"/>
        <family val="1"/>
      </rPr>
      <t>)</t>
    </r>
    <r>
      <rPr>
        <i/>
        <sz val="9"/>
        <color rgb="FF5F5E5A"/>
        <rFont val="나눔고딕"/>
        <family val="3"/>
        <charset val="129"/>
      </rPr>
      <t>를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기준으로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검증되어야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하는지를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지정합니다</t>
    </r>
    <r>
      <rPr>
        <i/>
        <sz val="9"/>
        <color rgb="FF5F5E5A"/>
        <rFont val="Times New Roman"/>
        <family val="1"/>
      </rPr>
      <t xml:space="preserve"> — SyncInstances·PropagateSampleSchema</t>
    </r>
    <r>
      <rPr>
        <i/>
        <sz val="9"/>
        <color rgb="FF5F5E5A"/>
        <rFont val="나눔고딕"/>
        <family val="3"/>
        <charset val="129"/>
      </rPr>
      <t>는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이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값에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따라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대조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대상</t>
    </r>
    <r>
      <rPr>
        <i/>
        <sz val="9"/>
        <color rgb="FF5F5E5A"/>
        <rFont val="Times New Roman"/>
        <family val="1"/>
      </rPr>
      <t xml:space="preserve"> SAMPLE</t>
    </r>
    <r>
      <rPr>
        <i/>
        <sz val="9"/>
        <color rgb="FF5F5E5A"/>
        <rFont val="나눔고딕"/>
        <family val="3"/>
        <charset val="129"/>
      </rPr>
      <t>을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분기해야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합니다</t>
    </r>
    <r>
      <rPr>
        <i/>
        <sz val="9"/>
        <color rgb="FF5F5E5A"/>
        <rFont val="Times New Roman"/>
        <family val="1"/>
      </rPr>
      <t xml:space="preserve">(§9 </t>
    </r>
    <r>
      <rPr>
        <i/>
        <sz val="9"/>
        <color rgb="FF5F5E5A"/>
        <rFont val="나눔고딕"/>
        <family val="3"/>
        <charset val="129"/>
      </rPr>
      <t>향후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과제</t>
    </r>
    <r>
      <rPr>
        <i/>
        <sz val="9"/>
        <color rgb="FF5F5E5A"/>
        <rFont val="Times New Roman"/>
        <family val="1"/>
      </rPr>
      <t xml:space="preserve"> </t>
    </r>
    <r>
      <rPr>
        <i/>
        <sz val="9"/>
        <color rgb="FF5F5E5A"/>
        <rFont val="나눔고딕"/>
        <family val="3"/>
        <charset val="129"/>
      </rPr>
      <t>참조</t>
    </r>
    <r>
      <rPr>
        <i/>
        <sz val="9"/>
        <color rgb="FF5F5E5A"/>
        <rFont val="Times New Roman"/>
        <family val="1"/>
      </rPr>
      <t xml:space="preserve">). </t>
    </r>
    <r>
      <rPr>
        <i/>
        <sz val="9"/>
        <color rgb="FFFF0000"/>
        <rFont val="Times New Roman"/>
        <family val="1"/>
      </rPr>
      <t>last_modified_at/last_synced_at/sync_status</t>
    </r>
    <r>
      <rPr>
        <i/>
        <sz val="9"/>
        <color rgb="FFFF0000"/>
        <rFont val="나눔고딕"/>
        <family val="3"/>
        <charset val="129"/>
      </rPr>
      <t>는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매크로가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자동으로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채웁니다</t>
    </r>
    <r>
      <rPr>
        <i/>
        <sz val="9"/>
        <color rgb="FFFF0000"/>
        <rFont val="Times New Roman"/>
        <family val="1"/>
      </rPr>
      <t xml:space="preserve"> — </t>
    </r>
    <r>
      <rPr>
        <i/>
        <sz val="9"/>
        <color rgb="FFFF0000"/>
        <rFont val="나눔고딕"/>
        <family val="3"/>
        <charset val="129"/>
      </rPr>
      <t>직접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입력하지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않습니다</t>
    </r>
    <r>
      <rPr>
        <i/>
        <sz val="9"/>
        <color rgb="FFFF0000"/>
        <rFont val="Times New Roman"/>
        <family val="1"/>
      </rPr>
      <t xml:space="preserve">. sync_status: </t>
    </r>
    <r>
      <rPr>
        <i/>
        <sz val="9"/>
        <color rgb="FFFF0000"/>
        <rFont val="나눔고딕"/>
        <family val="3"/>
        <charset val="129"/>
      </rPr>
      <t>동기화됨</t>
    </r>
    <r>
      <rPr>
        <i/>
        <sz val="9"/>
        <color rgb="FFFF0000"/>
        <rFont val="Times New Roman"/>
        <family val="1"/>
      </rPr>
      <t xml:space="preserve"> / </t>
    </r>
    <r>
      <rPr>
        <i/>
        <sz val="9"/>
        <color rgb="FFFF0000"/>
        <rFont val="나눔고딕"/>
        <family val="3"/>
        <charset val="129"/>
      </rPr>
      <t>헤더불일치</t>
    </r>
    <r>
      <rPr>
        <i/>
        <sz val="9"/>
        <color rgb="FFFF0000"/>
        <rFont val="Times New Roman"/>
        <family val="1"/>
      </rPr>
      <t xml:space="preserve"> / </t>
    </r>
    <r>
      <rPr>
        <i/>
        <sz val="9"/>
        <color rgb="FFFF0000"/>
        <rFont val="나눔고딕"/>
        <family val="3"/>
        <charset val="129"/>
      </rPr>
      <t>파일없음</t>
    </r>
    <r>
      <rPr>
        <i/>
        <sz val="9"/>
        <color rgb="FFFF0000"/>
        <rFont val="Times New Roman"/>
        <family val="1"/>
      </rPr>
      <t xml:space="preserve"> / </t>
    </r>
    <r>
      <rPr>
        <i/>
        <sz val="9"/>
        <color rgb="FFFF0000"/>
        <rFont val="나눔고딕"/>
        <family val="3"/>
        <charset val="129"/>
      </rPr>
      <t>오류</t>
    </r>
    <r>
      <rPr>
        <i/>
        <sz val="9"/>
        <color rgb="FFFF0000"/>
        <rFont val="Times New Roman"/>
        <family val="1"/>
      </rPr>
      <t>(</t>
    </r>
    <r>
      <rPr>
        <i/>
        <sz val="9"/>
        <color rgb="FFFF0000"/>
        <rFont val="나눔고딕"/>
        <family val="3"/>
        <charset val="129"/>
      </rPr>
      <t>시트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확인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필요</t>
    </r>
    <r>
      <rPr>
        <i/>
        <sz val="9"/>
        <color rgb="FFFF0000"/>
        <rFont val="Times New Roman"/>
        <family val="1"/>
      </rPr>
      <t xml:space="preserve">). </t>
    </r>
    <r>
      <rPr>
        <i/>
        <sz val="9"/>
        <color rgb="FFFF0000"/>
        <rFont val="나눔고딕"/>
        <family val="3"/>
        <charset val="129"/>
      </rPr>
      <t>실행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주기</t>
    </r>
    <r>
      <rPr>
        <i/>
        <sz val="9"/>
        <color rgb="FFFF0000"/>
        <rFont val="Times New Roman"/>
        <family val="1"/>
      </rPr>
      <t xml:space="preserve">: </t>
    </r>
    <r>
      <rPr>
        <i/>
        <sz val="9"/>
        <color rgb="FFFF0000"/>
        <rFont val="나눔고딕"/>
        <family val="3"/>
        <charset val="129"/>
      </rPr>
      <t>주간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정기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점검</t>
    </r>
    <r>
      <rPr>
        <i/>
        <sz val="9"/>
        <color rgb="FFFF0000"/>
        <rFont val="Times New Roman"/>
        <family val="1"/>
      </rPr>
      <t xml:space="preserve"> + CVE </t>
    </r>
    <r>
      <rPr>
        <i/>
        <sz val="9"/>
        <color rgb="FFFF0000"/>
        <rFont val="나눔고딕"/>
        <family val="3"/>
        <charset val="129"/>
      </rPr>
      <t>공표</t>
    </r>
    <r>
      <rPr>
        <i/>
        <sz val="9"/>
        <color rgb="FFFF0000"/>
        <rFont val="Times New Roman"/>
        <family val="1"/>
      </rPr>
      <t>·</t>
    </r>
    <r>
      <rPr>
        <i/>
        <sz val="9"/>
        <color rgb="FFFF0000"/>
        <rFont val="나눔고딕"/>
        <family val="3"/>
        <charset val="129"/>
      </rPr>
      <t>긴급패치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등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발생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시</t>
    </r>
    <r>
      <rPr>
        <i/>
        <sz val="9"/>
        <color rgb="FFFF0000"/>
        <rFont val="Times New Roman"/>
        <family val="1"/>
      </rPr>
      <t xml:space="preserve"> ad-hoc </t>
    </r>
    <r>
      <rPr>
        <i/>
        <sz val="9"/>
        <color rgb="FFFF0000"/>
        <rFont val="나눔고딕"/>
        <family val="3"/>
        <charset val="129"/>
      </rPr>
      <t>실행</t>
    </r>
    <r>
      <rPr>
        <i/>
        <sz val="9"/>
        <color rgb="FFFF0000"/>
        <rFont val="Times New Roman"/>
        <family val="1"/>
      </rPr>
      <t>.</t>
    </r>
    <phoneticPr fontId="2" type="noConversion"/>
  </si>
  <si>
    <r>
      <rPr>
        <sz val="11"/>
        <color rgb="FFFF0000"/>
        <rFont val="나눔고딕"/>
        <family val="3"/>
        <charset val="129"/>
      </rPr>
      <t>개발생산</t>
    </r>
    <r>
      <rPr>
        <sz val="11"/>
        <color rgb="FFFF0000"/>
        <rFont val="Times New Roman"/>
        <family val="1"/>
      </rPr>
      <t>_</t>
    </r>
    <r>
      <rPr>
        <sz val="11"/>
        <color rgb="FFFF0000"/>
        <rFont val="나눔고딕"/>
        <family val="3"/>
        <charset val="129"/>
      </rPr>
      <t>인스턴스</t>
    </r>
    <r>
      <rPr>
        <sz val="11"/>
        <color rgb="FFFF0000"/>
        <rFont val="Times New Roman"/>
        <family val="1"/>
      </rPr>
      <t xml:space="preserve">, </t>
    </r>
    <r>
      <rPr>
        <sz val="11"/>
        <color rgb="FFFF0000"/>
        <rFont val="나눔고딕"/>
        <family val="3"/>
        <charset val="129"/>
      </rPr>
      <t>유지보수</t>
    </r>
    <r>
      <rPr>
        <sz val="11"/>
        <color rgb="FFFF0000"/>
        <rFont val="Times New Roman"/>
        <family val="1"/>
      </rPr>
      <t>_</t>
    </r>
    <r>
      <rPr>
        <sz val="11"/>
        <color rgb="FFFF0000"/>
        <rFont val="나눔고딕"/>
        <family val="3"/>
        <charset val="129"/>
      </rPr>
      <t>함수단위</t>
    </r>
    <r>
      <rPr>
        <sz val="11"/>
        <color rgb="FFFF0000"/>
        <rFont val="Times New Roman"/>
        <family val="1"/>
      </rPr>
      <t>/</t>
    </r>
    <r>
      <rPr>
        <sz val="11"/>
        <color rgb="FFFF0000"/>
        <rFont val="나눔고딕"/>
        <family val="3"/>
        <charset val="129"/>
      </rPr>
      <t>펌웨어단위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외는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없다</t>
    </r>
    <r>
      <rPr>
        <sz val="11"/>
        <color rgb="FFFF0000"/>
        <rFont val="Times New Roman"/>
        <family val="1"/>
      </rPr>
      <t>.</t>
    </r>
    <phoneticPr fontId="2" type="noConversion"/>
  </si>
  <si>
    <r>
      <rPr>
        <sz val="10"/>
        <color rgb="FFFF0000"/>
        <rFont val="나눔고딕"/>
        <family val="3"/>
        <charset val="129"/>
      </rPr>
      <t>개발생산도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함수단위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또는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펌웨어단위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형상관리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중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하나인데</t>
    </r>
    <r>
      <rPr>
        <sz val="10"/>
        <color rgb="FFFF0000"/>
        <rFont val="Times New Roman"/>
        <family val="1"/>
      </rPr>
      <t>?</t>
    </r>
    <phoneticPr fontId="2" type="noConversion"/>
  </si>
  <si>
    <r>
      <rPr>
        <sz val="10"/>
        <rFont val="나눔고딕"/>
        <family val="3"/>
        <charset val="129"/>
      </rPr>
      <t>①</t>
    </r>
    <r>
      <rPr>
        <sz val="10"/>
        <rFont val="Times New Roman"/>
        <family val="1"/>
      </rPr>
      <t xml:space="preserve"> SSoT: </t>
    </r>
    <r>
      <rPr>
        <sz val="10"/>
        <rFont val="나눔고딕"/>
        <family val="3"/>
        <charset val="129"/>
      </rPr>
      <t>제어기와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무관한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불변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속성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마스터</t>
    </r>
    <r>
      <rPr>
        <sz val="10"/>
        <rFont val="Times New Roman"/>
        <family val="1"/>
      </rPr>
      <t>). level_depth</t>
    </r>
    <r>
      <rPr>
        <sz val="10"/>
        <rFont val="나눔고딕"/>
        <family val="3"/>
        <charset val="129"/>
      </rPr>
      <t>는</t>
    </r>
    <r>
      <rPr>
        <sz val="10"/>
        <rFont val="Times New Roman"/>
        <family val="1"/>
      </rPr>
      <t xml:space="preserve"> LevelDepth </t>
    </r>
    <r>
      <rPr>
        <sz val="10"/>
        <rFont val="나눔고딕"/>
        <family val="3"/>
        <charset val="129"/>
      </rPr>
      <t>시트에서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자동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반영</t>
    </r>
    <r>
      <rPr>
        <sz val="10"/>
        <rFont val="Times New Roman"/>
        <family val="1"/>
      </rPr>
      <t xml:space="preserve">.
</t>
    </r>
    <r>
      <rPr>
        <sz val="10"/>
        <rFont val="나눔고딕"/>
        <family val="3"/>
        <charset val="129"/>
      </rPr>
      <t>②</t>
    </r>
    <r>
      <rPr>
        <sz val="10"/>
        <rFont val="Times New Roman"/>
        <family val="1"/>
      </rPr>
      <t xml:space="preserve"> LevelDepth: SW_ID</t>
    </r>
    <r>
      <rPr>
        <sz val="10"/>
        <rFont val="나눔고딕"/>
        <family val="3"/>
        <charset val="129"/>
      </rPr>
      <t>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계층</t>
    </r>
    <r>
      <rPr>
        <sz val="10"/>
        <rFont val="Times New Roman"/>
        <family val="1"/>
      </rPr>
      <t>(L1~L5)</t>
    </r>
    <r>
      <rPr>
        <sz val="10"/>
        <rFont val="나눔고딕"/>
        <family val="3"/>
        <charset val="129"/>
      </rPr>
      <t>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○로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표시하는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입력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</t>
    </r>
    <r>
      <rPr>
        <sz val="10"/>
        <rFont val="Times New Roman"/>
        <family val="1"/>
      </rPr>
      <t>. SW_name</t>
    </r>
    <r>
      <rPr>
        <sz val="10"/>
        <rFont val="나눔고딕"/>
        <family val="3"/>
        <charset val="129"/>
      </rPr>
      <t>은</t>
    </r>
    <r>
      <rPr>
        <sz val="10"/>
        <rFont val="Times New Roman"/>
        <family val="1"/>
      </rPr>
      <t xml:space="preserve"> SSoT</t>
    </r>
    <r>
      <rPr>
        <sz val="10"/>
        <rFont val="나눔고딕"/>
        <family val="3"/>
        <charset val="129"/>
      </rPr>
      <t>에서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자동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조회</t>
    </r>
    <r>
      <rPr>
        <sz val="10"/>
        <rFont val="Times New Roman"/>
        <family val="1"/>
      </rPr>
      <t xml:space="preserve">.
</t>
    </r>
    <r>
      <rPr>
        <sz val="10"/>
        <rFont val="나눔고딕"/>
        <family val="3"/>
        <charset val="129"/>
      </rPr>
      <t>③</t>
    </r>
    <r>
      <rPr>
        <sz val="10"/>
        <rFont val="Times New Roman"/>
        <family val="1"/>
      </rPr>
      <t xml:space="preserve"> LevelDepth_Name</t>
    </r>
    <r>
      <rPr>
        <sz val="10"/>
        <rFont val="나눔고딕"/>
        <family val="3"/>
        <charset val="129"/>
      </rPr>
      <t>변형</t>
    </r>
    <r>
      <rPr>
        <sz val="10"/>
        <rFont val="Times New Roman"/>
        <family val="1"/>
      </rPr>
      <t xml:space="preserve">: </t>
    </r>
    <r>
      <rPr>
        <sz val="10"/>
        <rFont val="나눔고딕"/>
        <family val="3"/>
        <charset val="129"/>
      </rPr>
      <t>②의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○를</t>
    </r>
    <r>
      <rPr>
        <sz val="10"/>
        <rFont val="Times New Roman"/>
        <family val="1"/>
      </rPr>
      <t xml:space="preserve"> SW_name</t>
    </r>
    <r>
      <rPr>
        <sz val="10"/>
        <rFont val="나눔고딕"/>
        <family val="3"/>
        <charset val="129"/>
      </rPr>
      <t>으로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치환한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가독성용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뷰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전부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수식</t>
    </r>
    <r>
      <rPr>
        <sz val="10"/>
        <rFont val="Times New Roman"/>
        <family val="1"/>
      </rPr>
      <t xml:space="preserve">).
</t>
    </r>
    <r>
      <rPr>
        <sz val="10"/>
        <rFont val="나눔고딕"/>
        <family val="3"/>
        <charset val="129"/>
      </rPr>
      <t>④</t>
    </r>
    <r>
      <rPr>
        <sz val="10"/>
        <rFont val="Times New Roman"/>
        <family val="1"/>
      </rPr>
      <t xml:space="preserve"> SSoT_</t>
    </r>
    <r>
      <rPr>
        <sz val="10"/>
        <rFont val="나눔고딕"/>
        <family val="3"/>
        <charset val="129"/>
      </rPr>
      <t>변경이력</t>
    </r>
    <r>
      <rPr>
        <sz val="10"/>
        <rFont val="Times New Roman"/>
        <family val="1"/>
      </rPr>
      <t xml:space="preserve">: license/CVE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시간에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따라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바뀌는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마스터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속성의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누적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로그</t>
    </r>
    <r>
      <rPr>
        <sz val="10"/>
        <rFont val="Times New Roman"/>
        <family val="1"/>
      </rPr>
      <t xml:space="preserve">. VBA </t>
    </r>
    <r>
      <rPr>
        <sz val="10"/>
        <rFont val="나눔고딕"/>
        <family val="3"/>
        <charset val="129"/>
      </rPr>
      <t>매크로로</t>
    </r>
    <r>
      <rPr>
        <sz val="10"/>
        <rFont val="Times New Roman"/>
        <family val="1"/>
      </rPr>
      <t xml:space="preserve"> SSoT</t>
    </r>
    <r>
      <rPr>
        <sz val="10"/>
        <rFont val="나눔고딕"/>
        <family val="3"/>
        <charset val="129"/>
      </rPr>
      <t>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반영</t>
    </r>
    <r>
      <rPr>
        <sz val="10"/>
        <rFont val="Times New Roman"/>
        <family val="1"/>
      </rPr>
      <t xml:space="preserve">.
</t>
    </r>
    <r>
      <rPr>
        <sz val="10"/>
        <rFont val="나눔고딕"/>
        <family val="3"/>
        <charset val="129"/>
      </rPr>
      <t>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 xml:space="preserve">_SAMPLE: </t>
    </r>
    <r>
      <rPr>
        <sz val="10"/>
        <color rgb="FFFF0000"/>
        <rFont val="나눔고딕"/>
        <family val="3"/>
        <charset val="129"/>
      </rPr>
      <t>제어기별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실제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인스턴스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파일</t>
    </r>
    <r>
      <rPr>
        <sz val="10"/>
        <color rgb="FFFF0000"/>
        <rFont val="Times New Roman"/>
        <family val="1"/>
      </rPr>
      <t>(</t>
    </r>
    <r>
      <rPr>
        <sz val="10"/>
        <color rgb="FFFF0000"/>
        <rFont val="나눔고딕"/>
        <family val="3"/>
        <charset val="129"/>
      </rPr>
      <t>외부</t>
    </r>
    <r>
      <rPr>
        <sz val="10"/>
        <color rgb="FFFF0000"/>
        <rFont val="Times New Roman"/>
        <family val="1"/>
      </rPr>
      <t>)</t>
    </r>
    <r>
      <rPr>
        <sz val="10"/>
        <color rgb="FFFF0000"/>
        <rFont val="나눔고딕"/>
        <family val="3"/>
        <charset val="129"/>
      </rPr>
      <t>이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복제해야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할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스키마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견본</t>
    </r>
    <r>
      <rPr>
        <sz val="10"/>
        <color rgb="FFFF0000"/>
        <rFont val="Times New Roman"/>
        <family val="1"/>
      </rPr>
      <t>.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자체엔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데이터를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쌓지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않음</t>
    </r>
    <r>
      <rPr>
        <sz val="10"/>
        <rFont val="Times New Roman"/>
        <family val="1"/>
      </rPr>
      <t xml:space="preserve">.
</t>
    </r>
    <r>
      <rPr>
        <sz val="10"/>
        <rFont val="나눔고딕"/>
        <family val="3"/>
        <charset val="129"/>
      </rPr>
      <t>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목록</t>
    </r>
    <r>
      <rPr>
        <sz val="10"/>
        <rFont val="Times New Roman"/>
        <family val="1"/>
      </rPr>
      <t xml:space="preserve">: </t>
    </r>
    <r>
      <rPr>
        <sz val="10"/>
        <rFont val="나눔고딕"/>
        <family val="3"/>
        <charset val="129"/>
      </rPr>
      <t>제어기별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외부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파일의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경로</t>
    </r>
    <r>
      <rPr>
        <sz val="10"/>
        <rFont val="Times New Roman"/>
        <family val="1"/>
      </rPr>
      <t>·</t>
    </r>
    <r>
      <rPr>
        <sz val="10"/>
        <rFont val="나눔고딕"/>
        <family val="3"/>
        <charset val="129"/>
      </rPr>
      <t>최종수정일시</t>
    </r>
    <r>
      <rPr>
        <sz val="10"/>
        <rFont val="Times New Roman"/>
        <family val="1"/>
      </rPr>
      <t>·</t>
    </r>
    <r>
      <rPr>
        <sz val="10"/>
        <rFont val="나눔고딕"/>
        <family val="3"/>
        <charset val="129"/>
      </rPr>
      <t>동기화일시</t>
    </r>
    <r>
      <rPr>
        <sz val="10"/>
        <rFont val="Times New Roman"/>
        <family val="1"/>
      </rPr>
      <t>·</t>
    </r>
    <r>
      <rPr>
        <sz val="10"/>
        <rFont val="나눔고딕"/>
        <family val="3"/>
        <charset val="129"/>
      </rPr>
      <t>동기화상태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레지스트리</t>
    </r>
    <r>
      <rPr>
        <sz val="10"/>
        <rFont val="Times New Roman"/>
        <family val="1"/>
      </rPr>
      <t xml:space="preserve">.
</t>
    </r>
    <r>
      <rPr>
        <sz val="10"/>
        <rFont val="나눔고딕"/>
        <family val="3"/>
        <charset val="129"/>
      </rPr>
      <t>⑥</t>
    </r>
    <r>
      <rPr>
        <sz val="10"/>
        <rFont val="Times New Roman"/>
        <family val="1"/>
      </rPr>
      <t>-1 SAMPLE_</t>
    </r>
    <r>
      <rPr>
        <sz val="10"/>
        <rFont val="나눔고딕"/>
        <family val="3"/>
        <charset val="129"/>
      </rPr>
      <t>변경이력</t>
    </r>
    <r>
      <rPr>
        <sz val="10"/>
        <rFont val="Times New Roman"/>
        <family val="1"/>
      </rPr>
      <t xml:space="preserve">: </t>
    </r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 xml:space="preserve">_SAMPLE </t>
    </r>
    <r>
      <rPr>
        <sz val="10"/>
        <rFont val="나눔고딕"/>
        <family val="3"/>
        <charset val="129"/>
      </rPr>
      <t>스키마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이력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누적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증적용</t>
    </r>
    <r>
      <rPr>
        <sz val="10"/>
        <rFont val="Times New Roman"/>
        <family val="1"/>
      </rPr>
      <t xml:space="preserve">). </t>
    </r>
    <r>
      <rPr>
        <sz val="10"/>
        <rFont val="나눔고딕"/>
        <family val="3"/>
        <charset val="129"/>
      </rPr>
      <t>전파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결과도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함께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</t>
    </r>
    <r>
      <rPr>
        <sz val="10"/>
        <rFont val="Times New Roman"/>
        <family val="1"/>
      </rPr>
      <t xml:space="preserve">.
</t>
    </r>
    <r>
      <rPr>
        <sz val="10"/>
        <rFont val="나눔고딕"/>
        <family val="3"/>
        <charset val="129"/>
      </rPr>
      <t>⑥</t>
    </r>
    <r>
      <rPr>
        <sz val="10"/>
        <rFont val="Times New Roman"/>
        <family val="1"/>
      </rPr>
      <t xml:space="preserve">-2 </t>
    </r>
    <r>
      <rPr>
        <sz val="10"/>
        <rFont val="나눔고딕"/>
        <family val="3"/>
        <charset val="129"/>
      </rPr>
      <t>베이스라인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계보</t>
    </r>
    <r>
      <rPr>
        <sz val="10"/>
        <rFont val="Times New Roman"/>
        <family val="1"/>
      </rPr>
      <t xml:space="preserve">: </t>
    </r>
    <r>
      <rPr>
        <sz val="10"/>
        <color rgb="FFFF0000"/>
        <rFont val="나눔고딕"/>
        <family val="3"/>
        <charset val="129"/>
      </rPr>
      <t>파생개발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시</t>
    </r>
    <r>
      <rPr>
        <sz val="10"/>
        <color rgb="FFFF0000"/>
        <rFont val="Times New Roman"/>
        <family val="1"/>
      </rPr>
      <t xml:space="preserve"> baseline </t>
    </r>
    <r>
      <rPr>
        <sz val="10"/>
        <color rgb="FFFF0000"/>
        <rFont val="나눔고딕"/>
        <family val="3"/>
        <charset val="129"/>
      </rPr>
      <t>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포크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관계</t>
    </r>
    <r>
      <rPr>
        <sz val="10"/>
        <color rgb="FFFF0000"/>
        <rFont val="Times New Roman"/>
        <family val="1"/>
      </rPr>
      <t>(</t>
    </r>
    <r>
      <rPr>
        <sz val="10"/>
        <color rgb="FFFF0000"/>
        <rFont val="나눔고딕"/>
        <family val="3"/>
        <charset val="129"/>
      </rPr>
      <t>어느</t>
    </r>
    <r>
      <rPr>
        <sz val="10"/>
        <color rgb="FFFF0000"/>
        <rFont val="Times New Roman"/>
        <family val="1"/>
      </rPr>
      <t xml:space="preserve"> baseline</t>
    </r>
    <r>
      <rPr>
        <sz val="10"/>
        <color rgb="FFFF0000"/>
        <rFont val="나눔고딕"/>
        <family val="3"/>
        <charset val="129"/>
      </rPr>
      <t>에서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갈라졌는지</t>
    </r>
    <r>
      <rPr>
        <sz val="10"/>
        <color rgb="FFFF0000"/>
        <rFont val="Times New Roman"/>
        <family val="1"/>
      </rPr>
      <t>)</t>
    </r>
    <r>
      <rPr>
        <sz val="10"/>
        <color rgb="FFFF0000"/>
        <rFont val="나눔고딕"/>
        <family val="3"/>
        <charset val="129"/>
      </rPr>
      <t>를</t>
    </r>
    <r>
      <rPr>
        <sz val="10"/>
        <color rgb="FFFF0000"/>
        <rFont val="Times New Roman"/>
        <family val="1"/>
      </rPr>
      <t xml:space="preserve"> baseline </t>
    </r>
    <r>
      <rPr>
        <sz val="10"/>
        <color rgb="FFFF0000"/>
        <rFont val="나눔고딕"/>
        <family val="3"/>
        <charset val="129"/>
      </rPr>
      <t>단위로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기록</t>
    </r>
    <r>
      <rPr>
        <sz val="10"/>
        <rFont val="Times New Roman"/>
        <family val="1"/>
      </rPr>
      <t xml:space="preserve">. </t>
    </r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행에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중복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저장하지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않음</t>
    </r>
    <r>
      <rPr>
        <sz val="10"/>
        <rFont val="Times New Roman"/>
        <family val="1"/>
      </rPr>
      <t xml:space="preserve">. TraceBaselineDescendants </t>
    </r>
    <r>
      <rPr>
        <sz val="10"/>
        <rFont val="나눔고딕"/>
        <family val="3"/>
        <charset val="129"/>
      </rPr>
      <t>매크로가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다세대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파생까지</t>
    </r>
    <r>
      <rPr>
        <sz val="10"/>
        <rFont val="Times New Roman"/>
        <family val="1"/>
      </rPr>
      <t xml:space="preserve"> BFS</t>
    </r>
    <r>
      <rPr>
        <sz val="10"/>
        <rFont val="나눔고딕"/>
        <family val="3"/>
        <charset val="129"/>
      </rPr>
      <t>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추적</t>
    </r>
    <r>
      <rPr>
        <sz val="10"/>
        <rFont val="Times New Roman"/>
        <family val="1"/>
      </rPr>
      <t xml:space="preserve">.
</t>
    </r>
    <r>
      <rPr>
        <sz val="10"/>
        <rFont val="나눔고딕"/>
        <family val="3"/>
        <charset val="129"/>
      </rPr>
      <t>⑥</t>
    </r>
    <r>
      <rPr>
        <sz val="10"/>
        <rFont val="Times New Roman"/>
        <family val="1"/>
      </rPr>
      <t xml:space="preserve">-3 </t>
    </r>
    <r>
      <rPr>
        <sz val="10"/>
        <rFont val="나눔고딕"/>
        <family val="3"/>
        <charset val="129"/>
      </rPr>
      <t>예외처리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가이드</t>
    </r>
    <r>
      <rPr>
        <sz val="10"/>
        <rFont val="Times New Roman"/>
        <family val="1"/>
      </rPr>
      <t>: sync_status</t>
    </r>
    <r>
      <rPr>
        <sz val="10"/>
        <rFont val="나눔고딕"/>
        <family val="3"/>
        <charset val="129"/>
      </rPr>
      <t>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원인</t>
    </r>
    <r>
      <rPr>
        <sz val="10"/>
        <rFont val="Times New Roman"/>
        <family val="1"/>
      </rPr>
      <t>·</t>
    </r>
    <r>
      <rPr>
        <sz val="10"/>
        <rFont val="나눔고딕"/>
        <family val="3"/>
        <charset val="129"/>
      </rPr>
      <t>조치법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및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역할별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주체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누가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무엇을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언제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실행하는지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정리</t>
    </r>
    <r>
      <rPr>
        <sz val="10"/>
        <rFont val="Times New Roman"/>
        <family val="1"/>
      </rPr>
      <t xml:space="preserve">.
</t>
    </r>
    <r>
      <rPr>
        <sz val="10"/>
        <rFont val="나눔고딕"/>
        <family val="3"/>
        <charset val="129"/>
      </rPr>
      <t>⑥</t>
    </r>
    <r>
      <rPr>
        <sz val="10"/>
        <rFont val="Times New Roman"/>
        <family val="1"/>
      </rPr>
      <t xml:space="preserve">-4 </t>
    </r>
    <r>
      <rPr>
        <sz val="10"/>
        <rFont val="나눔고딕"/>
        <family val="3"/>
        <charset val="129"/>
      </rPr>
      <t>스냅샷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보관</t>
    </r>
    <r>
      <rPr>
        <sz val="10"/>
        <rFont val="Times New Roman"/>
        <family val="1"/>
      </rPr>
      <t xml:space="preserve">: formally_baselined </t>
    </r>
    <r>
      <rPr>
        <sz val="10"/>
        <rFont val="나눔고딕"/>
        <family val="3"/>
        <charset val="129"/>
      </rPr>
      <t>시점마다의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읽기전용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스냅샷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보관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로그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감사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재현성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목적</t>
    </r>
    <r>
      <rPr>
        <sz val="10"/>
        <rFont val="Times New Roman"/>
        <family val="1"/>
      </rPr>
      <t xml:space="preserve">).
</t>
    </r>
    <r>
      <rPr>
        <sz val="10"/>
        <rFont val="나눔고딕"/>
        <family val="3"/>
        <charset val="129"/>
      </rPr>
      <t>⑤</t>
    </r>
    <r>
      <rPr>
        <sz val="10"/>
        <rFont val="Times New Roman"/>
        <family val="1"/>
      </rPr>
      <t xml:space="preserve">-1 </t>
    </r>
    <r>
      <rPr>
        <sz val="10"/>
        <rFont val="나눔고딕"/>
        <family val="3"/>
        <charset val="129"/>
      </rPr>
      <t>유지보수</t>
    </r>
    <r>
      <rPr>
        <sz val="10"/>
        <rFont val="Times New Roman"/>
        <family val="1"/>
      </rPr>
      <t>_SAMPLE_</t>
    </r>
    <r>
      <rPr>
        <sz val="10"/>
        <rFont val="나눔고딕"/>
        <family val="3"/>
        <charset val="129"/>
      </rPr>
      <t>함수단위</t>
    </r>
    <r>
      <rPr>
        <sz val="10"/>
        <rFont val="Times New Roman"/>
        <family val="1"/>
      </rPr>
      <t xml:space="preserve"> / </t>
    </r>
    <r>
      <rPr>
        <sz val="10"/>
        <rFont val="나눔고딕"/>
        <family val="3"/>
        <charset val="129"/>
      </rPr>
      <t>⑤</t>
    </r>
    <r>
      <rPr>
        <sz val="10"/>
        <rFont val="Times New Roman"/>
        <family val="1"/>
      </rPr>
      <t xml:space="preserve">-2 </t>
    </r>
    <r>
      <rPr>
        <sz val="10"/>
        <rFont val="나눔고딕"/>
        <family val="3"/>
        <charset val="129"/>
      </rPr>
      <t>유지보수</t>
    </r>
    <r>
      <rPr>
        <sz val="10"/>
        <rFont val="Times New Roman"/>
        <family val="1"/>
      </rPr>
      <t>_SAMPLE_</t>
    </r>
    <r>
      <rPr>
        <sz val="10"/>
        <rFont val="나눔고딕"/>
        <family val="3"/>
        <charset val="129"/>
      </rPr>
      <t>펌웨어단위</t>
    </r>
    <r>
      <rPr>
        <sz val="10"/>
        <rFont val="Times New Roman"/>
        <family val="1"/>
      </rPr>
      <t xml:space="preserve">: </t>
    </r>
    <r>
      <rPr>
        <sz val="10"/>
        <rFont val="나눔고딕"/>
        <family val="3"/>
        <charset val="129"/>
      </rPr>
      <t>변경관리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위주의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유지보수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과제용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견본</t>
    </r>
    <r>
      <rPr>
        <sz val="10"/>
        <rFont val="Times New Roman"/>
        <family val="1"/>
      </rPr>
      <t xml:space="preserve">. </t>
    </r>
    <r>
      <rPr>
        <sz val="10"/>
        <rFont val="나눔고딕"/>
        <family val="3"/>
        <charset val="129"/>
      </rPr>
      <t>함수단위는</t>
    </r>
    <r>
      <rPr>
        <sz val="10"/>
        <rFont val="Times New Roman"/>
        <family val="1"/>
      </rPr>
      <t xml:space="preserve"> SW_ID×controller_id×</t>
    </r>
    <r>
      <rPr>
        <sz val="10"/>
        <rFont val="나눔고딕"/>
        <family val="3"/>
        <charset val="129"/>
      </rPr>
      <t>적용차종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조합으로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펌웨어단위는</t>
    </r>
    <r>
      <rPr>
        <sz val="10"/>
        <rFont val="Times New Roman"/>
        <family val="1"/>
      </rPr>
      <t xml:space="preserve"> baseline_id </t>
    </r>
    <r>
      <rPr>
        <sz val="10"/>
        <rFont val="나눔고딕"/>
        <family val="3"/>
        <charset val="129"/>
      </rPr>
      <t>기준</t>
    </r>
    <r>
      <rPr>
        <sz val="10"/>
        <rFont val="Times New Roman"/>
        <family val="1"/>
      </rPr>
      <t xml:space="preserve"> + </t>
    </r>
    <r>
      <rPr>
        <sz val="10"/>
        <rFont val="나눔고딕"/>
        <family val="3"/>
        <charset val="129"/>
      </rPr>
      <t>타펌웨어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적용여부</t>
    </r>
    <r>
      <rPr>
        <sz val="10"/>
        <rFont val="Times New Roman"/>
        <family val="1"/>
      </rPr>
      <t>·</t>
    </r>
    <r>
      <rPr>
        <sz val="10"/>
        <rFont val="나눔고딕"/>
        <family val="3"/>
        <charset val="129"/>
      </rPr>
      <t>적용범위로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관리</t>
    </r>
    <r>
      <rPr>
        <sz val="10"/>
        <rFont val="Times New Roman"/>
        <family val="1"/>
      </rPr>
      <t xml:space="preserve">.
</t>
    </r>
    <r>
      <rPr>
        <sz val="10"/>
        <rFont val="나눔고딕"/>
        <family val="3"/>
        <charset val="129"/>
      </rPr>
      <t>※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목록의</t>
    </r>
    <r>
      <rPr>
        <sz val="10"/>
        <rFont val="Times New Roman"/>
        <family val="1"/>
      </rPr>
      <t xml:space="preserve"> schema_type </t>
    </r>
    <r>
      <rPr>
        <sz val="10"/>
        <rFont val="나눔고딕"/>
        <family val="3"/>
        <charset val="129"/>
      </rPr>
      <t>필드로</t>
    </r>
    <r>
      <rPr>
        <sz val="10"/>
        <rFont val="Times New Roman"/>
        <family val="1"/>
      </rPr>
      <t xml:space="preserve"> 3</t>
    </r>
    <r>
      <rPr>
        <sz val="10"/>
        <rFont val="나눔고딕"/>
        <family val="3"/>
        <charset val="129"/>
      </rPr>
      <t>종</t>
    </r>
    <r>
      <rPr>
        <sz val="10"/>
        <rFont val="Times New Roman"/>
        <family val="1"/>
      </rPr>
      <t xml:space="preserve"> SAMPLE </t>
    </r>
    <r>
      <rPr>
        <sz val="10"/>
        <rFont val="나눔고딕"/>
        <family val="3"/>
        <charset val="129"/>
      </rPr>
      <t>중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어느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것과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대조할지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지정</t>
    </r>
    <r>
      <rPr>
        <sz val="10"/>
        <rFont val="Times New Roman"/>
        <family val="1"/>
      </rPr>
      <t xml:space="preserve"> — </t>
    </r>
    <r>
      <rPr>
        <sz val="10"/>
        <rFont val="나눔고딕"/>
        <family val="3"/>
        <charset val="129"/>
      </rPr>
      <t>기존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매크로는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아직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분기를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반영하지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않음</t>
    </r>
    <r>
      <rPr>
        <sz val="10"/>
        <rFont val="Times New Roman"/>
        <family val="1"/>
      </rPr>
      <t xml:space="preserve">(§9 </t>
    </r>
    <r>
      <rPr>
        <sz val="10"/>
        <rFont val="나눔고딕"/>
        <family val="3"/>
        <charset val="129"/>
      </rPr>
      <t>향후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과제</t>
    </r>
    <r>
      <rPr>
        <sz val="10"/>
        <rFont val="Times New Roman"/>
        <family val="1"/>
      </rPr>
      <t xml:space="preserve">).
</t>
    </r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스키마에는</t>
    </r>
    <r>
      <rPr>
        <sz val="10"/>
        <rFont val="Times New Roman"/>
        <family val="1"/>
      </rPr>
      <t xml:space="preserve"> vuln_status/vuln_resolved_at/vuln_verification_ref(CVE </t>
    </r>
    <r>
      <rPr>
        <sz val="10"/>
        <rFont val="나눔고딕"/>
        <family val="3"/>
        <charset val="129"/>
      </rPr>
      <t>조치결과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포함됨</t>
    </r>
    <r>
      <rPr>
        <sz val="10"/>
        <rFont val="Times New Roman"/>
        <family val="1"/>
      </rPr>
      <t xml:space="preserve"> — </t>
    </r>
    <r>
      <rPr>
        <sz val="10"/>
        <rFont val="나눔고딕"/>
        <family val="3"/>
        <charset val="129"/>
      </rPr>
      <t>제어기마다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조치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시점이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달라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소속</t>
    </r>
    <r>
      <rPr>
        <sz val="10"/>
        <rFont val="Times New Roman"/>
        <family val="1"/>
      </rPr>
      <t xml:space="preserve">.
</t>
    </r>
    <r>
      <rPr>
        <sz val="10"/>
        <rFont val="나눔고딕"/>
        <family val="3"/>
        <charset val="129"/>
      </rPr>
      <t>⑦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 xml:space="preserve">: </t>
    </r>
    <r>
      <rPr>
        <sz val="10"/>
        <rFont val="나눔고딕"/>
        <family val="3"/>
        <charset val="129"/>
      </rPr>
      <t>인스턴스</t>
    </r>
    <r>
      <rPr>
        <sz val="10"/>
        <rFont val="Times New Roman"/>
        <family val="1"/>
      </rPr>
      <t>_</t>
    </r>
    <r>
      <rPr>
        <sz val="10"/>
        <rFont val="나눔고딕"/>
        <family val="3"/>
        <charset val="129"/>
      </rPr>
      <t>목록에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등록된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범위로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한정된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현재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상태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캐시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무한정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누적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아님</t>
    </r>
    <r>
      <rPr>
        <sz val="10"/>
        <rFont val="Times New Roman"/>
        <family val="1"/>
      </rPr>
      <t xml:space="preserve">). </t>
    </r>
    <r>
      <rPr>
        <sz val="10"/>
        <rFont val="나눔고딕"/>
        <family val="3"/>
        <charset val="129"/>
      </rPr>
      <t>신규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행은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추가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기존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행은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갱신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외부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파일에서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사라진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행은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회색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처리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보존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됩니다</t>
    </r>
    <r>
      <rPr>
        <sz val="10"/>
        <rFont val="Times New Roman"/>
        <family val="1"/>
      </rPr>
      <t xml:space="preserve">.
</t>
    </r>
    <r>
      <rPr>
        <sz val="10"/>
        <rFont val="나눔고딕"/>
        <family val="3"/>
        <charset val="129"/>
      </rPr>
      <t>⑧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종합현황</t>
    </r>
    <r>
      <rPr>
        <sz val="10"/>
        <rFont val="Times New Roman"/>
        <family val="1"/>
      </rPr>
      <t xml:space="preserve">: </t>
    </r>
    <r>
      <rPr>
        <sz val="10"/>
        <rFont val="나눔고딕"/>
        <family val="3"/>
        <charset val="129"/>
      </rPr>
      <t>①⑦을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자동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집계한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산출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뷰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전부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수식</t>
    </r>
    <r>
      <rPr>
        <sz val="10"/>
        <rFont val="Times New Roman"/>
        <family val="1"/>
      </rPr>
      <t xml:space="preserve">) — </t>
    </r>
    <r>
      <rPr>
        <sz val="10"/>
        <rFont val="나눔고딕"/>
        <family val="3"/>
        <charset val="129"/>
      </rPr>
      <t>직접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입력하지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않음</t>
    </r>
    <r>
      <rPr>
        <sz val="10"/>
        <rFont val="Times New Roman"/>
        <family val="1"/>
      </rPr>
      <t xml:space="preserve">.
</t>
    </r>
    <r>
      <rPr>
        <sz val="10"/>
        <rFont val="나눔고딕"/>
        <family val="3"/>
        <charset val="129"/>
      </rPr>
      <t>※</t>
    </r>
    <r>
      <rPr>
        <sz val="10"/>
        <rFont val="Times New Roman"/>
        <family val="1"/>
      </rPr>
      <t xml:space="preserve"> SyncInstances </t>
    </r>
    <r>
      <rPr>
        <sz val="10"/>
        <rFont val="나눔고딕"/>
        <family val="3"/>
        <charset val="129"/>
      </rPr>
      <t>매크로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실행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주기</t>
    </r>
    <r>
      <rPr>
        <sz val="10"/>
        <rFont val="Times New Roman"/>
        <family val="1"/>
      </rPr>
      <t xml:space="preserve">: </t>
    </r>
    <r>
      <rPr>
        <sz val="10"/>
        <rFont val="나눔고딕"/>
        <family val="3"/>
        <charset val="129"/>
      </rPr>
      <t>주간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정기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점검</t>
    </r>
    <r>
      <rPr>
        <sz val="10"/>
        <rFont val="Times New Roman"/>
        <family val="1"/>
      </rPr>
      <t xml:space="preserve"> + CVE </t>
    </r>
    <r>
      <rPr>
        <sz val="10"/>
        <rFont val="나눔고딕"/>
        <family val="3"/>
        <charset val="129"/>
      </rPr>
      <t>공표</t>
    </r>
    <r>
      <rPr>
        <sz val="10"/>
        <rFont val="Times New Roman"/>
        <family val="1"/>
      </rPr>
      <t>·</t>
    </r>
    <r>
      <rPr>
        <sz val="10"/>
        <rFont val="나눔고딕"/>
        <family val="3"/>
        <charset val="129"/>
      </rPr>
      <t>긴급패치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발생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ad-hoc </t>
    </r>
    <r>
      <rPr>
        <sz val="10"/>
        <rFont val="나눔고딕"/>
        <family val="3"/>
        <charset val="129"/>
      </rPr>
      <t>실행</t>
    </r>
    <r>
      <rPr>
        <sz val="10"/>
        <rFont val="Times New Roman"/>
        <family val="1"/>
      </rPr>
      <t xml:space="preserve">.
</t>
    </r>
    <r>
      <rPr>
        <sz val="10"/>
        <rFont val="나눔고딕"/>
        <family val="3"/>
        <charset val="129"/>
      </rPr>
      <t>※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최종수정일시로</t>
    </r>
    <r>
      <rPr>
        <sz val="10"/>
        <rFont val="Times New Roman"/>
        <family val="1"/>
      </rPr>
      <t xml:space="preserve"> '</t>
    </r>
    <r>
      <rPr>
        <sz val="10"/>
        <rFont val="나눔고딕"/>
        <family val="3"/>
        <charset val="129"/>
      </rPr>
      <t>변경분만</t>
    </r>
    <r>
      <rPr>
        <sz val="10"/>
        <rFont val="Times New Roman"/>
        <family val="1"/>
      </rPr>
      <t xml:space="preserve">' </t>
    </r>
    <r>
      <rPr>
        <sz val="10"/>
        <rFont val="나눔고딕"/>
        <family val="3"/>
        <charset val="129"/>
      </rPr>
      <t>선별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동기화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무변경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파일은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스킵</t>
    </r>
    <r>
      <rPr>
        <sz val="10"/>
        <rFont val="Times New Roman"/>
        <family val="1"/>
      </rPr>
      <t>).</t>
    </r>
    <phoneticPr fontId="2" type="noConversion"/>
  </si>
  <si>
    <r>
      <rPr>
        <sz val="10"/>
        <rFont val="나눔고딕"/>
        <family val="3"/>
        <charset val="129"/>
      </rPr>
      <t>출처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분류</t>
    </r>
    <r>
      <rPr>
        <sz val="10"/>
        <rFont val="Times New Roman"/>
        <family val="1"/>
      </rPr>
      <t>. origin</t>
    </r>
    <r>
      <rPr>
        <sz val="10"/>
        <rFont val="나눔고딕"/>
        <family val="3"/>
        <charset val="129"/>
      </rPr>
      <t>이</t>
    </r>
    <r>
      <rPr>
        <sz val="10"/>
        <rFont val="Times New Roman"/>
        <family val="1"/>
      </rPr>
      <t xml:space="preserve"> self</t>
    </r>
    <r>
      <rPr>
        <sz val="10"/>
        <rFont val="나눔고딕"/>
        <family val="3"/>
        <charset val="129"/>
      </rPr>
      <t>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아닐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필수</t>
    </r>
    <r>
      <rPr>
        <sz val="10"/>
        <rFont val="Times New Roman"/>
        <family val="1"/>
      </rPr>
      <t xml:space="preserve">. </t>
    </r>
    <r>
      <rPr>
        <sz val="10"/>
        <rFont val="나눔고딕"/>
        <family val="3"/>
        <charset val="129"/>
      </rPr>
      <t>값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SSoT_</t>
    </r>
    <r>
      <rPr>
        <sz val="10"/>
        <rFont val="나눔고딕"/>
        <family val="3"/>
        <charset val="129"/>
      </rPr>
      <t>변경이력</t>
    </r>
    <r>
      <rPr>
        <sz val="10"/>
        <rFont val="Times New Roman"/>
        <family val="1"/>
      </rPr>
      <t>(§4.3)</t>
    </r>
    <r>
      <rPr>
        <sz val="10"/>
        <rFont val="나눔고딕"/>
        <family val="3"/>
        <charset val="129"/>
      </rPr>
      <t>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누적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</t>
    </r>
    <phoneticPr fontId="2" type="noConversion"/>
  </si>
  <si>
    <r>
      <rPr>
        <b/>
        <sz val="10"/>
        <color rgb="FFFFFFFF"/>
        <rFont val="나눔고딕"/>
        <family val="3"/>
        <charset val="129"/>
      </rPr>
      <t>출처그룹</t>
    </r>
    <phoneticPr fontId="2" type="noConversion"/>
  </si>
  <si>
    <r>
      <rPr>
        <sz val="9"/>
        <color rgb="FF5F5E5A"/>
        <rFont val="나눔고딕"/>
        <family val="3"/>
        <charset val="129"/>
      </rPr>
      <t>※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트리거</t>
    </r>
    <r>
      <rPr>
        <sz val="9"/>
        <color rgb="FF5F5E5A"/>
        <rFont val="Times New Roman"/>
        <family val="1"/>
      </rPr>
      <t>: baseline_status</t>
    </r>
    <r>
      <rPr>
        <sz val="9"/>
        <color rgb="FF5F5E5A"/>
        <rFont val="나눔고딕"/>
        <family val="3"/>
        <charset val="129"/>
      </rPr>
      <t>가</t>
    </r>
    <r>
      <rPr>
        <sz val="9"/>
        <color rgb="FF5F5E5A"/>
        <rFont val="Times New Roman"/>
        <family val="1"/>
      </rPr>
      <t xml:space="preserve"> formally_baselined</t>
    </r>
    <r>
      <rPr>
        <sz val="9"/>
        <color rgb="FF5F5E5A"/>
        <rFont val="나눔고딕"/>
        <family val="3"/>
        <charset val="129"/>
      </rPr>
      <t>로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전환되는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시점마다</t>
    </r>
    <r>
      <rPr>
        <sz val="9"/>
        <color rgb="FF5F5E5A"/>
        <rFont val="Times New Roman"/>
        <family val="1"/>
      </rPr>
      <t xml:space="preserve"> SSoT </t>
    </r>
    <r>
      <rPr>
        <sz val="9"/>
        <color rgb="FF5F5E5A"/>
        <rFont val="나눔고딕"/>
        <family val="3"/>
        <charset val="129"/>
      </rPr>
      <t>마스터</t>
    </r>
    <r>
      <rPr>
        <sz val="9"/>
        <color rgb="FF5F5E5A"/>
        <rFont val="Times New Roman"/>
        <family val="1"/>
      </rPr>
      <t xml:space="preserve"> + </t>
    </r>
    <r>
      <rPr>
        <sz val="9"/>
        <color rgb="FF5F5E5A"/>
        <rFont val="나눔고딕"/>
        <family val="3"/>
        <charset val="129"/>
      </rPr>
      <t>인스턴스</t>
    </r>
    <r>
      <rPr>
        <sz val="9"/>
        <color rgb="FF5F5E5A"/>
        <rFont val="Times New Roman"/>
        <family val="1"/>
      </rPr>
      <t>_</t>
    </r>
    <r>
      <rPr>
        <sz val="9"/>
        <color rgb="FF5F5E5A"/>
        <rFont val="나눔고딕"/>
        <family val="3"/>
        <charset val="129"/>
      </rPr>
      <t>통합의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해당</t>
    </r>
    <r>
      <rPr>
        <sz val="9"/>
        <color rgb="FF5F5E5A"/>
        <rFont val="Times New Roman"/>
        <family val="1"/>
      </rPr>
      <t xml:space="preserve"> baseline </t>
    </r>
    <r>
      <rPr>
        <sz val="9"/>
        <color rgb="FF5F5E5A"/>
        <rFont val="나눔고딕"/>
        <family val="3"/>
        <charset val="129"/>
      </rPr>
      <t>행을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읽기전용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파일로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스냅샷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저장</t>
    </r>
    <r>
      <rPr>
        <sz val="9"/>
        <color rgb="FF5F5E5A"/>
        <rFont val="Times New Roman"/>
        <family val="1"/>
      </rPr>
      <t xml:space="preserve">. </t>
    </r>
    <r>
      <rPr>
        <sz val="9"/>
        <color rgb="FF5F5E5A"/>
        <rFont val="나눔고딕"/>
        <family val="3"/>
        <charset val="129"/>
      </rPr>
      <t>보관기간은</t>
    </r>
    <r>
      <rPr>
        <sz val="9"/>
        <color rgb="FF5F5E5A"/>
        <rFont val="Times New Roman"/>
        <family val="1"/>
      </rPr>
      <t xml:space="preserve"> CRA </t>
    </r>
    <r>
      <rPr>
        <sz val="9"/>
        <color rgb="FF5F5E5A"/>
        <rFont val="나눔고딕"/>
        <family val="3"/>
        <charset val="129"/>
      </rPr>
      <t>요구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문서보관</t>
    </r>
    <r>
      <rPr>
        <sz val="9"/>
        <color rgb="FF5F5E5A"/>
        <rFont val="Times New Roman"/>
        <family val="1"/>
      </rPr>
      <t>(10</t>
    </r>
    <r>
      <rPr>
        <sz val="9"/>
        <color rgb="FF5F5E5A"/>
        <rFont val="나눔고딕"/>
        <family val="3"/>
        <charset val="129"/>
      </rPr>
      <t>년</t>
    </r>
    <r>
      <rPr>
        <sz val="9"/>
        <color rgb="FF5F5E5A"/>
        <rFont val="Times New Roman"/>
        <family val="1"/>
      </rPr>
      <t>)</t>
    </r>
    <r>
      <rPr>
        <sz val="9"/>
        <color rgb="FF5F5E5A"/>
        <rFont val="나눔고딕"/>
        <family val="3"/>
        <charset val="129"/>
      </rPr>
      <t>과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정합되게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최소</t>
    </r>
    <r>
      <rPr>
        <sz val="9"/>
        <color rgb="FF5F5E5A"/>
        <rFont val="Times New Roman"/>
        <family val="1"/>
      </rPr>
      <t xml:space="preserve"> 10</t>
    </r>
    <r>
      <rPr>
        <sz val="9"/>
        <color rgb="FF5F5E5A"/>
        <rFont val="나눔고딕"/>
        <family val="3"/>
        <charset val="129"/>
      </rPr>
      <t>년</t>
    </r>
    <r>
      <rPr>
        <sz val="9"/>
        <color rgb="FF5F5E5A"/>
        <rFont val="Times New Roman"/>
        <family val="1"/>
      </rPr>
      <t xml:space="preserve">. </t>
    </r>
    <r>
      <rPr>
        <sz val="9"/>
        <color rgb="FF5F5E5A"/>
        <rFont val="나눔고딕"/>
        <family val="3"/>
        <charset val="129"/>
      </rPr>
      <t>파일해시는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사후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위변조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여부</t>
    </r>
    <r>
      <rPr>
        <sz val="9"/>
        <color rgb="FF5F5E5A"/>
        <rFont val="Times New Roman"/>
        <family val="1"/>
      </rPr>
      <t xml:space="preserve"> </t>
    </r>
    <r>
      <rPr>
        <sz val="9"/>
        <color rgb="FF5F5E5A"/>
        <rFont val="나눔고딕"/>
        <family val="3"/>
        <charset val="129"/>
      </rPr>
      <t>검증용</t>
    </r>
    <r>
      <rPr>
        <sz val="9"/>
        <color rgb="FF5F5E5A"/>
        <rFont val="Times New Roman"/>
        <family val="1"/>
      </rPr>
      <t xml:space="preserve">.
</t>
    </r>
    <r>
      <rPr>
        <sz val="9"/>
        <color rgb="FFFF0000"/>
        <rFont val="나눔고딕"/>
        <family val="3"/>
        <charset val="129"/>
      </rPr>
      <t>※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동일한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베이스라인으로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릴리즈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자료를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생성하면</t>
    </r>
    <r>
      <rPr>
        <sz val="9"/>
        <color rgb="FFFF0000"/>
        <rFont val="Times New Roman"/>
        <family val="1"/>
      </rPr>
      <t xml:space="preserve">, </t>
    </r>
    <r>
      <rPr>
        <sz val="9"/>
        <color rgb="FFFF0000"/>
        <rFont val="나눔고딕"/>
        <family val="3"/>
        <charset val="129"/>
      </rPr>
      <t>추가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행을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생성하지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않고</t>
    </r>
    <r>
      <rPr>
        <sz val="9"/>
        <color rgb="FFFF0000"/>
        <rFont val="Times New Roman"/>
        <family val="1"/>
      </rPr>
      <t xml:space="preserve">, </t>
    </r>
    <r>
      <rPr>
        <sz val="9"/>
        <color rgb="FFFF0000"/>
        <rFont val="나눔고딕"/>
        <family val="3"/>
        <charset val="129"/>
      </rPr>
      <t>기존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행을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새로운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내용으로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덮어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쓴다</t>
    </r>
    <r>
      <rPr>
        <sz val="9"/>
        <color rgb="FFFF0000"/>
        <rFont val="Times New Roman"/>
        <family val="1"/>
      </rPr>
      <t>.</t>
    </r>
    <phoneticPr fontId="2" type="noConversion"/>
  </si>
  <si>
    <r>
      <rPr>
        <sz val="11"/>
        <color rgb="FFFF0000"/>
        <rFont val="돋움"/>
        <family val="3"/>
        <charset val="129"/>
      </rPr>
      <t>함수</t>
    </r>
    <r>
      <rPr>
        <sz val="11"/>
        <color rgb="FFFF0000"/>
        <rFont val="Calibri"/>
        <family val="2"/>
        <charset val="1"/>
      </rPr>
      <t xml:space="preserve"> </t>
    </r>
    <r>
      <rPr>
        <sz val="11"/>
        <color rgb="FFFF0000"/>
        <rFont val="돋움"/>
        <family val="3"/>
        <charset val="129"/>
      </rPr>
      <t>검증</t>
    </r>
    <r>
      <rPr>
        <sz val="11"/>
        <color rgb="FFFF0000"/>
        <rFont val="Calibri"/>
        <family val="2"/>
        <charset val="1"/>
      </rPr>
      <t xml:space="preserve"> </t>
    </r>
    <r>
      <rPr>
        <sz val="11"/>
        <color rgb="FFFF0000"/>
        <rFont val="돋움"/>
        <family val="3"/>
        <charset val="129"/>
      </rPr>
      <t>필요</t>
    </r>
    <r>
      <rPr>
        <sz val="11"/>
        <color rgb="FFFF0000"/>
        <rFont val="Calibri"/>
        <family val="2"/>
        <charset val="1"/>
      </rPr>
      <t>(2026.09.02)</t>
    </r>
    <phoneticPr fontId="2" type="noConversion"/>
  </si>
  <si>
    <t>ICCU</t>
    <phoneticPr fontId="2" type="noConversion"/>
  </si>
  <si>
    <r>
      <rPr>
        <i/>
        <sz val="9"/>
        <color rgb="FFFF0000"/>
        <rFont val="나눔고딕"/>
        <family val="3"/>
        <charset val="129"/>
      </rPr>
      <t>※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개별</t>
    </r>
    <r>
      <rPr>
        <i/>
        <sz val="9"/>
        <color rgb="FFFF0000"/>
        <rFont val="Times New Roman"/>
        <family val="1"/>
      </rPr>
      <t xml:space="preserve"> PJT(</t>
    </r>
    <r>
      <rPr>
        <i/>
        <sz val="9"/>
        <color rgb="FFFF0000"/>
        <rFont val="나눔고딕"/>
        <family val="3"/>
        <charset val="129"/>
      </rPr>
      <t>차종</t>
    </r>
    <r>
      <rPr>
        <i/>
        <sz val="9"/>
        <color rgb="FFFF0000"/>
        <rFont val="Times New Roman"/>
        <family val="1"/>
      </rPr>
      <t>,</t>
    </r>
    <r>
      <rPr>
        <i/>
        <sz val="9"/>
        <color rgb="FFFF0000"/>
        <rFont val="나눔고딕"/>
        <family val="3"/>
        <charset val="129"/>
      </rPr>
      <t>제어기</t>
    </r>
    <r>
      <rPr>
        <i/>
        <sz val="9"/>
        <color rgb="FFFF0000"/>
        <rFont val="Times New Roman"/>
        <family val="1"/>
      </rPr>
      <t>)</t>
    </r>
    <r>
      <rPr>
        <i/>
        <sz val="9"/>
        <color rgb="FFFF0000"/>
        <rFont val="나눔고딕"/>
        <family val="3"/>
        <charset val="129"/>
      </rPr>
      <t>의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형상관리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파일</t>
    </r>
    <r>
      <rPr>
        <i/>
        <sz val="9"/>
        <color rgb="FFFF0000"/>
        <rFont val="Times New Roman"/>
        <family val="1"/>
      </rPr>
      <t xml:space="preserve">, 0. CI_structure </t>
    </r>
    <r>
      <rPr>
        <i/>
        <sz val="9"/>
        <color rgb="FFFF0000"/>
        <rFont val="나눔고딕"/>
        <family val="3"/>
        <charset val="129"/>
      </rPr>
      <t>시트에서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작성된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테이블을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가져와서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사용
※</t>
    </r>
    <r>
      <rPr>
        <i/>
        <sz val="9"/>
        <color rgb="FFFF0000"/>
        <rFont val="Times New Roman"/>
        <family val="1"/>
      </rPr>
      <t xml:space="preserve"> level_depth</t>
    </r>
    <r>
      <rPr>
        <i/>
        <sz val="9"/>
        <color rgb="FFFF0000"/>
        <rFont val="나눔고딕"/>
        <family val="3"/>
        <charset val="129"/>
      </rPr>
      <t>는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입력하지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color rgb="FFFF0000"/>
        <rFont val="나눔고딕"/>
        <family val="3"/>
        <charset val="129"/>
      </rPr>
      <t>않습니다</t>
    </r>
    <r>
      <rPr>
        <i/>
        <sz val="9"/>
        <color rgb="FFFF0000"/>
        <rFont val="Times New Roman"/>
        <family val="1"/>
      </rPr>
      <t xml:space="preserve"> </t>
    </r>
    <r>
      <rPr>
        <i/>
        <sz val="9"/>
        <rFont val="Times New Roman"/>
        <family val="1"/>
      </rPr>
      <t xml:space="preserve">— 'LevelDepth' </t>
    </r>
    <r>
      <rPr>
        <i/>
        <sz val="9"/>
        <rFont val="나눔고딕"/>
        <family val="3"/>
        <charset val="129"/>
      </rPr>
      <t>시트에서</t>
    </r>
    <r>
      <rPr>
        <i/>
        <sz val="9"/>
        <rFont val="Times New Roman"/>
        <family val="1"/>
      </rPr>
      <t xml:space="preserve"> L1~L5 </t>
    </r>
    <r>
      <rPr>
        <i/>
        <sz val="9"/>
        <rFont val="나눔고딕"/>
        <family val="3"/>
        <charset val="129"/>
      </rPr>
      <t>열에</t>
    </r>
    <r>
      <rPr>
        <i/>
        <sz val="9"/>
        <rFont val="Times New Roman"/>
        <family val="1"/>
      </rPr>
      <t xml:space="preserve"> </t>
    </r>
    <r>
      <rPr>
        <i/>
        <sz val="9"/>
        <rFont val="나눔고딕"/>
        <family val="3"/>
        <charset val="129"/>
      </rPr>
      <t>표시한</t>
    </r>
    <r>
      <rPr>
        <i/>
        <sz val="9"/>
        <rFont val="Times New Roman"/>
        <family val="1"/>
      </rPr>
      <t xml:space="preserve"> </t>
    </r>
    <r>
      <rPr>
        <i/>
        <sz val="9"/>
        <rFont val="나눔고딕"/>
        <family val="3"/>
        <charset val="129"/>
      </rPr>
      <t>○를</t>
    </r>
    <r>
      <rPr>
        <i/>
        <sz val="9"/>
        <rFont val="Times New Roman"/>
        <family val="1"/>
      </rPr>
      <t xml:space="preserve"> </t>
    </r>
    <r>
      <rPr>
        <i/>
        <sz val="9"/>
        <rFont val="나눔고딕"/>
        <family val="3"/>
        <charset val="129"/>
      </rPr>
      <t>이</t>
    </r>
    <r>
      <rPr>
        <i/>
        <sz val="9"/>
        <rFont val="Times New Roman"/>
        <family val="1"/>
      </rPr>
      <t xml:space="preserve"> </t>
    </r>
    <r>
      <rPr>
        <i/>
        <sz val="9"/>
        <rFont val="나눔고딕"/>
        <family val="3"/>
        <charset val="129"/>
      </rPr>
      <t>시트가</t>
    </r>
    <r>
      <rPr>
        <i/>
        <sz val="9"/>
        <rFont val="Times New Roman"/>
        <family val="1"/>
      </rPr>
      <t xml:space="preserve"> </t>
    </r>
    <r>
      <rPr>
        <i/>
        <sz val="9"/>
        <rFont val="나눔고딕"/>
        <family val="3"/>
        <charset val="129"/>
      </rPr>
      <t>수식으로</t>
    </r>
    <r>
      <rPr>
        <i/>
        <sz val="9"/>
        <rFont val="Times New Roman"/>
        <family val="1"/>
      </rPr>
      <t xml:space="preserve"> </t>
    </r>
    <r>
      <rPr>
        <i/>
        <sz val="9"/>
        <rFont val="나눔고딕"/>
        <family val="3"/>
        <charset val="129"/>
      </rPr>
      <t>읽어옵니다</t>
    </r>
    <r>
      <rPr>
        <i/>
        <sz val="9"/>
        <rFont val="Times New Roman"/>
        <family val="1"/>
      </rPr>
      <t xml:space="preserve">. </t>
    </r>
    <r>
      <rPr>
        <i/>
        <sz val="9"/>
        <rFont val="나눔고딕"/>
        <family val="3"/>
        <charset val="129"/>
      </rPr>
      <t>신규</t>
    </r>
    <r>
      <rPr>
        <i/>
        <sz val="9"/>
        <rFont val="Times New Roman"/>
        <family val="1"/>
      </rPr>
      <t xml:space="preserve"> SW_ID</t>
    </r>
    <r>
      <rPr>
        <i/>
        <sz val="9"/>
        <rFont val="나눔고딕"/>
        <family val="3"/>
        <charset val="129"/>
      </rPr>
      <t>는</t>
    </r>
    <r>
      <rPr>
        <i/>
        <sz val="9"/>
        <rFont val="Times New Roman"/>
        <family val="1"/>
      </rPr>
      <t xml:space="preserve"> </t>
    </r>
    <r>
      <rPr>
        <i/>
        <sz val="9"/>
        <rFont val="나눔고딕"/>
        <family val="3"/>
        <charset val="129"/>
      </rPr>
      <t>이</t>
    </r>
    <r>
      <rPr>
        <i/>
        <sz val="9"/>
        <rFont val="Times New Roman"/>
        <family val="1"/>
      </rPr>
      <t xml:space="preserve"> </t>
    </r>
    <r>
      <rPr>
        <i/>
        <sz val="9"/>
        <rFont val="나눔고딕"/>
        <family val="3"/>
        <charset val="129"/>
      </rPr>
      <t>시트와</t>
    </r>
    <r>
      <rPr>
        <i/>
        <sz val="9"/>
        <rFont val="Times New Roman"/>
        <family val="1"/>
      </rPr>
      <t xml:space="preserve"> LevelDepth </t>
    </r>
    <r>
      <rPr>
        <i/>
        <sz val="9"/>
        <rFont val="나눔고딕"/>
        <family val="3"/>
        <charset val="129"/>
      </rPr>
      <t>시트</t>
    </r>
    <r>
      <rPr>
        <i/>
        <sz val="9"/>
        <rFont val="Times New Roman"/>
        <family val="1"/>
      </rPr>
      <t xml:space="preserve"> </t>
    </r>
    <r>
      <rPr>
        <i/>
        <sz val="9"/>
        <rFont val="나눔고딕"/>
        <family val="3"/>
        <charset val="129"/>
      </rPr>
      <t>양쪽에</t>
    </r>
    <r>
      <rPr>
        <i/>
        <sz val="9"/>
        <rFont val="Times New Roman"/>
        <family val="1"/>
      </rPr>
      <t xml:space="preserve"> </t>
    </r>
    <r>
      <rPr>
        <i/>
        <sz val="9"/>
        <rFont val="나눔고딕"/>
        <family val="3"/>
        <charset val="129"/>
      </rPr>
      <t>등록해야</t>
    </r>
    <r>
      <rPr>
        <i/>
        <sz val="9"/>
        <rFont val="Times New Roman"/>
        <family val="1"/>
      </rPr>
      <t xml:space="preserve"> </t>
    </r>
    <r>
      <rPr>
        <i/>
        <sz val="9"/>
        <rFont val="나눔고딕"/>
        <family val="3"/>
        <charset val="129"/>
      </rPr>
      <t>합니다</t>
    </r>
    <r>
      <rPr>
        <i/>
        <sz val="9"/>
        <rFont val="Times New Roman"/>
        <family val="1"/>
      </rPr>
      <t>(</t>
    </r>
    <r>
      <rPr>
        <i/>
        <sz val="9"/>
        <rFont val="나눔고딕"/>
        <family val="3"/>
        <charset val="129"/>
      </rPr>
      <t>이름</t>
    </r>
    <r>
      <rPr>
        <i/>
        <sz val="9"/>
        <rFont val="Times New Roman"/>
        <family val="1"/>
      </rPr>
      <t>·</t>
    </r>
    <r>
      <rPr>
        <i/>
        <sz val="9"/>
        <rFont val="나눔고딕"/>
        <family val="3"/>
        <charset val="129"/>
      </rPr>
      <t>계층은</t>
    </r>
    <r>
      <rPr>
        <i/>
        <sz val="9"/>
        <rFont val="Times New Roman"/>
        <family val="1"/>
      </rPr>
      <t xml:space="preserve"> LevelDepth</t>
    </r>
    <r>
      <rPr>
        <i/>
        <sz val="9"/>
        <rFont val="나눔고딕"/>
        <family val="3"/>
        <charset val="129"/>
      </rPr>
      <t>에서</t>
    </r>
    <r>
      <rPr>
        <i/>
        <sz val="9"/>
        <rFont val="Times New Roman"/>
        <family val="1"/>
      </rPr>
      <t xml:space="preserve">, </t>
    </r>
    <r>
      <rPr>
        <i/>
        <sz val="9"/>
        <rFont val="나눔고딕"/>
        <family val="3"/>
        <charset val="129"/>
      </rPr>
      <t>공급망</t>
    </r>
    <r>
      <rPr>
        <i/>
        <sz val="9"/>
        <rFont val="Times New Roman"/>
        <family val="1"/>
      </rPr>
      <t>·</t>
    </r>
    <r>
      <rPr>
        <i/>
        <sz val="9"/>
        <rFont val="나눔고딕"/>
        <family val="3"/>
        <charset val="129"/>
      </rPr>
      <t>취약점</t>
    </r>
    <r>
      <rPr>
        <i/>
        <sz val="9"/>
        <rFont val="Times New Roman"/>
        <family val="1"/>
      </rPr>
      <t xml:space="preserve"> </t>
    </r>
    <r>
      <rPr>
        <i/>
        <sz val="9"/>
        <rFont val="나눔고딕"/>
        <family val="3"/>
        <charset val="129"/>
      </rPr>
      <t>속성은</t>
    </r>
    <r>
      <rPr>
        <i/>
        <sz val="9"/>
        <rFont val="Times New Roman"/>
        <family val="1"/>
      </rPr>
      <t xml:space="preserve"> </t>
    </r>
    <r>
      <rPr>
        <i/>
        <sz val="9"/>
        <rFont val="나눔고딕"/>
        <family val="3"/>
        <charset val="129"/>
      </rPr>
      <t>여기서</t>
    </r>
    <r>
      <rPr>
        <i/>
        <sz val="9"/>
        <rFont val="Times New Roman"/>
        <family val="1"/>
      </rPr>
      <t>).</t>
    </r>
    <phoneticPr fontId="2" type="noConversion"/>
  </si>
  <si>
    <r>
      <rPr>
        <sz val="9"/>
        <color theme="1"/>
        <rFont val="나눔고딕"/>
        <family val="3"/>
        <charset val="129"/>
      </rPr>
      <t>항목</t>
    </r>
    <phoneticPr fontId="2" type="noConversion"/>
  </si>
  <si>
    <r>
      <rPr>
        <sz val="9"/>
        <color theme="1"/>
        <rFont val="나눔고딕"/>
        <family val="3"/>
        <charset val="129"/>
      </rPr>
      <t>내용</t>
    </r>
    <phoneticPr fontId="2" type="noConversion"/>
  </si>
  <si>
    <r>
      <rPr>
        <sz val="9"/>
        <color theme="1"/>
        <rFont val="나눔고딕"/>
        <family val="3"/>
        <charset val="129"/>
      </rPr>
      <t>판단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근거</t>
    </r>
    <r>
      <rPr>
        <sz val="9"/>
        <color theme="1"/>
        <rFont val="Times New Roman"/>
        <family val="1"/>
      </rPr>
      <t xml:space="preserve"> / </t>
    </r>
    <r>
      <rPr>
        <sz val="9"/>
        <color theme="1"/>
        <rFont val="나눔고딕"/>
        <family val="3"/>
        <charset val="129"/>
      </rPr>
      <t>상세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내역</t>
    </r>
    <phoneticPr fontId="2" type="noConversion"/>
  </si>
  <si>
    <r>
      <t xml:space="preserve">baseline_id </t>
    </r>
    <r>
      <rPr>
        <b/>
        <sz val="9"/>
        <rFont val="나눔고딕"/>
        <family val="3"/>
        <charset val="129"/>
      </rPr>
      <t>선택</t>
    </r>
    <phoneticPr fontId="2" type="noConversion"/>
  </si>
  <si>
    <r>
      <t xml:space="preserve">CR </t>
    </r>
    <r>
      <rPr>
        <b/>
        <sz val="9"/>
        <rFont val="나눔고딕"/>
        <family val="3"/>
        <charset val="129"/>
      </rPr>
      <t>반영률</t>
    </r>
    <phoneticPr fontId="2" type="noConversion"/>
  </si>
  <si>
    <r>
      <t xml:space="preserve">CVE </t>
    </r>
    <r>
      <rPr>
        <b/>
        <sz val="9"/>
        <rFont val="나눔고딕"/>
        <family val="3"/>
        <charset val="129"/>
      </rPr>
      <t>미조치</t>
    </r>
    <r>
      <rPr>
        <b/>
        <sz val="9"/>
        <rFont val="Times New Roman"/>
        <family val="1"/>
      </rPr>
      <t>/</t>
    </r>
    <r>
      <rPr>
        <b/>
        <sz val="9"/>
        <rFont val="나눔고딕"/>
        <family val="3"/>
        <charset val="129"/>
      </rPr>
      <t>조치중</t>
    </r>
    <r>
      <rPr>
        <b/>
        <sz val="9"/>
        <rFont val="Times New Roman"/>
        <family val="1"/>
      </rPr>
      <t xml:space="preserve"> </t>
    </r>
    <r>
      <rPr>
        <b/>
        <sz val="9"/>
        <rFont val="나눔고딕"/>
        <family val="3"/>
        <charset val="129"/>
      </rPr>
      <t>건수</t>
    </r>
    <phoneticPr fontId="2" type="noConversion"/>
  </si>
  <si>
    <r>
      <rPr>
        <sz val="9"/>
        <color theme="1"/>
        <rFont val="나눔고딕"/>
        <family val="3"/>
        <charset val="129"/>
      </rPr>
      <t>발생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위치</t>
    </r>
    <r>
      <rPr>
        <sz val="9"/>
        <color theme="1"/>
        <rFont val="Times New Roman"/>
        <family val="1"/>
      </rPr>
      <t xml:space="preserve">: </t>
    </r>
    <r>
      <rPr>
        <sz val="9"/>
        <color theme="1"/>
        <rFont val="나눔고딕"/>
        <family val="3"/>
        <charset val="129"/>
      </rPr>
      <t>없음</t>
    </r>
    <phoneticPr fontId="2" type="noConversion"/>
  </si>
  <si>
    <r>
      <rPr>
        <sz val="9"/>
        <color theme="1"/>
        <rFont val="나눔고딕"/>
        <family val="3"/>
        <charset val="129"/>
      </rPr>
      <t>스냅샷</t>
    </r>
    <r>
      <rPr>
        <sz val="9"/>
        <color theme="1"/>
        <rFont val="Times New Roman"/>
        <family val="1"/>
      </rPr>
      <t>_</t>
    </r>
    <r>
      <rPr>
        <sz val="9"/>
        <color theme="1"/>
        <rFont val="나눔고딕"/>
        <family val="3"/>
        <charset val="129"/>
      </rPr>
      <t>보관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시트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내</t>
    </r>
    <r>
      <rPr>
        <sz val="9"/>
        <color theme="1"/>
        <rFont val="Times New Roman"/>
        <family val="1"/>
      </rPr>
      <t xml:space="preserve"> baseline_id </t>
    </r>
    <r>
      <rPr>
        <sz val="9"/>
        <color theme="1"/>
        <rFont val="나눔고딕"/>
        <family val="3"/>
        <charset val="129"/>
      </rPr>
      <t>미존재</t>
    </r>
    <phoneticPr fontId="2" type="noConversion"/>
  </si>
  <si>
    <r>
      <rPr>
        <b/>
        <sz val="9"/>
        <rFont val="나눔고딕"/>
        <family val="3"/>
        <charset val="129"/>
      </rPr>
      <t>스냅샷</t>
    </r>
    <r>
      <rPr>
        <b/>
        <sz val="9"/>
        <rFont val="Times New Roman"/>
        <family val="1"/>
      </rPr>
      <t xml:space="preserve"> </t>
    </r>
    <r>
      <rPr>
        <b/>
        <sz val="9"/>
        <rFont val="나눔고딕"/>
        <family val="3"/>
        <charset val="129"/>
      </rPr>
      <t>기록</t>
    </r>
    <r>
      <rPr>
        <b/>
        <sz val="9"/>
        <rFont val="Times New Roman"/>
        <family val="1"/>
      </rPr>
      <t xml:space="preserve"> </t>
    </r>
    <r>
      <rPr>
        <b/>
        <sz val="9"/>
        <rFont val="나눔고딕"/>
        <family val="3"/>
        <charset val="129"/>
      </rPr>
      <t>존재</t>
    </r>
    <r>
      <rPr>
        <b/>
        <sz val="9"/>
        <rFont val="Times New Roman"/>
        <family val="1"/>
      </rPr>
      <t xml:space="preserve"> </t>
    </r>
    <r>
      <rPr>
        <b/>
        <sz val="9"/>
        <rFont val="나눔고딕"/>
        <family val="3"/>
        <charset val="129"/>
      </rPr>
      <t>여부</t>
    </r>
    <phoneticPr fontId="2" type="noConversion"/>
  </si>
  <si>
    <r>
      <rPr>
        <sz val="9"/>
        <color theme="1"/>
        <rFont val="나눔고딕"/>
        <family val="3"/>
        <charset val="129"/>
      </rPr>
      <t>미달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사유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발생</t>
    </r>
    <phoneticPr fontId="2" type="noConversion"/>
  </si>
  <si>
    <r>
      <rPr>
        <b/>
        <sz val="9"/>
        <rFont val="나눔고딕"/>
        <family val="3"/>
        <charset val="129"/>
      </rPr>
      <t>종합판정</t>
    </r>
    <phoneticPr fontId="2" type="noConversion"/>
  </si>
  <si>
    <r>
      <t xml:space="preserve">CR </t>
    </r>
    <r>
      <rPr>
        <sz val="9"/>
        <rFont val="나눔고딕"/>
        <family val="3"/>
        <charset val="129"/>
      </rPr>
      <t>미반영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존재</t>
    </r>
    <r>
      <rPr>
        <sz val="9"/>
        <rFont val="Times New Roman"/>
        <family val="1"/>
      </rPr>
      <t>; CVE 1</t>
    </r>
    <r>
      <rPr>
        <sz val="9"/>
        <rFont val="나눔고딕"/>
        <family val="3"/>
        <charset val="129"/>
      </rPr>
      <t>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잔존</t>
    </r>
    <r>
      <rPr>
        <sz val="9"/>
        <rFont val="Times New Roman"/>
        <family val="1"/>
      </rPr>
      <t xml:space="preserve">; Critical </t>
    </r>
    <r>
      <rPr>
        <sz val="9"/>
        <rFont val="나눔고딕"/>
        <family val="3"/>
        <charset val="129"/>
      </rPr>
      <t>이슈</t>
    </r>
    <r>
      <rPr>
        <sz val="9"/>
        <rFont val="Times New Roman"/>
        <family val="1"/>
      </rPr>
      <t xml:space="preserve"> 1</t>
    </r>
    <r>
      <rPr>
        <sz val="9"/>
        <rFont val="나눔고딕"/>
        <family val="3"/>
        <charset val="129"/>
      </rPr>
      <t>건</t>
    </r>
    <r>
      <rPr>
        <sz val="9"/>
        <rFont val="Times New Roman"/>
        <family val="1"/>
      </rPr>
      <t xml:space="preserve">; </t>
    </r>
    <r>
      <rPr>
        <sz val="9"/>
        <rFont val="나눔고딕"/>
        <family val="3"/>
        <charset val="129"/>
      </rPr>
      <t>스냅샷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미기록</t>
    </r>
    <r>
      <rPr>
        <sz val="9"/>
        <rFont val="Times New Roman"/>
        <family val="1"/>
      </rPr>
      <t xml:space="preserve">; </t>
    </r>
  </si>
  <si>
    <r>
      <rPr>
        <b/>
        <sz val="9"/>
        <rFont val="나눔고딕"/>
        <family val="3"/>
        <charset val="129"/>
      </rPr>
      <t>판정</t>
    </r>
    <r>
      <rPr>
        <b/>
        <sz val="9"/>
        <rFont val="Times New Roman"/>
        <family val="1"/>
      </rPr>
      <t xml:space="preserve"> </t>
    </r>
    <r>
      <rPr>
        <b/>
        <sz val="9"/>
        <rFont val="나눔고딕"/>
        <family val="3"/>
        <charset val="129"/>
      </rPr>
      <t>사유</t>
    </r>
    <phoneticPr fontId="2" type="noConversion"/>
  </si>
  <si>
    <t>VCU</t>
    <phoneticPr fontId="2" type="noConversion"/>
  </si>
  <si>
    <t>BL-260722-02</t>
    <phoneticPr fontId="2" type="noConversion"/>
  </si>
  <si>
    <t>vehicle</t>
    <phoneticPr fontId="2" type="noConversion"/>
  </si>
  <si>
    <r>
      <rPr>
        <sz val="9"/>
        <color theme="1"/>
        <rFont val="나눔고딕"/>
        <family val="3"/>
        <charset val="129"/>
      </rPr>
      <t>쏘나타</t>
    </r>
    <r>
      <rPr>
        <sz val="9"/>
        <color theme="1"/>
        <rFont val="Times New Roman"/>
        <family val="1"/>
      </rPr>
      <t xml:space="preserve"> DN8</t>
    </r>
    <phoneticPr fontId="2" type="noConversion"/>
  </si>
  <si>
    <r>
      <rPr>
        <sz val="9"/>
        <color theme="1"/>
        <rFont val="나눔고딕"/>
        <family val="3"/>
        <charset val="129"/>
      </rPr>
      <t>미반영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항목</t>
    </r>
    <r>
      <rPr>
        <sz val="9"/>
        <color theme="1"/>
        <rFont val="Times New Roman"/>
        <family val="1"/>
      </rPr>
      <t xml:space="preserve">: </t>
    </r>
    <r>
      <rPr>
        <sz val="9"/>
        <color theme="1"/>
        <rFont val="나눔고딕"/>
        <family val="3"/>
        <charset val="129"/>
      </rPr>
      <t>없음</t>
    </r>
    <phoneticPr fontId="2" type="noConversion"/>
  </si>
  <si>
    <r>
      <rPr>
        <sz val="9"/>
        <color theme="1"/>
        <rFont val="나눔고딕"/>
        <family val="3"/>
        <charset val="129"/>
      </rPr>
      <t>미조치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목록</t>
    </r>
    <r>
      <rPr>
        <sz val="9"/>
        <color theme="1"/>
        <rFont val="Times New Roman"/>
        <family val="1"/>
      </rPr>
      <t xml:space="preserve">: </t>
    </r>
    <r>
      <rPr>
        <sz val="9"/>
        <color theme="1"/>
        <rFont val="나눔고딕"/>
        <family val="3"/>
        <charset val="129"/>
      </rPr>
      <t>없음</t>
    </r>
    <phoneticPr fontId="2" type="noConversion"/>
  </si>
  <si>
    <r>
      <rPr>
        <b/>
        <sz val="9"/>
        <rFont val="나눔고딕"/>
        <family val="3"/>
        <charset val="129"/>
      </rPr>
      <t>미종결</t>
    </r>
    <r>
      <rPr>
        <b/>
        <sz val="9"/>
        <rFont val="Times New Roman"/>
        <family val="1"/>
      </rPr>
      <t xml:space="preserve"> Critical </t>
    </r>
    <r>
      <rPr>
        <b/>
        <sz val="9"/>
        <rFont val="나눔고딕"/>
        <family val="3"/>
        <charset val="129"/>
      </rPr>
      <t>이슈</t>
    </r>
    <r>
      <rPr>
        <b/>
        <sz val="9"/>
        <rFont val="Times New Roman"/>
        <family val="1"/>
      </rPr>
      <t xml:space="preserve"> </t>
    </r>
    <r>
      <rPr>
        <b/>
        <sz val="9"/>
        <rFont val="나눔고딕"/>
        <family val="3"/>
        <charset val="129"/>
      </rPr>
      <t>건수</t>
    </r>
    <phoneticPr fontId="2" type="noConversion"/>
  </si>
  <si>
    <t>C:\MyWork\BOM_SSoT\Release\BL-260722-02_Snapshot.zip</t>
    <phoneticPr fontId="2" type="noConversion"/>
  </si>
  <si>
    <t>BL-260722-02</t>
    <phoneticPr fontId="2" type="noConversion"/>
  </si>
  <si>
    <t>sha256:8739c76e681f900923b900c9df0ef75cf421d39cabb54650c4b9ad19b6a76d85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</si>
</sst>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80" x14ac:knownFonts="1">
    <font>
      <sz val="11"/>
      <color theme="1"/>
      <name val="Calibri"/>
      <family val="2"/>
      <charset val="1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Calibri"/>
      <family val="2"/>
      <charset val="1"/>
    </font>
    <font>
      <sz val="10"/>
      <color theme="1"/>
      <name val="나눔고딕"/>
      <family val="3"/>
      <charset val="129"/>
    </font>
    <font>
      <sz val="9"/>
      <color theme="1"/>
      <name val="나눔고딕"/>
      <family val="3"/>
      <charset val="129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rgb="FFFF0000"/>
      <name val="나눔고딕"/>
      <family val="3"/>
      <charset val="129"/>
    </font>
    <font>
      <sz val="10"/>
      <color theme="1"/>
      <name val="Times New Roman"/>
      <family val="1"/>
    </font>
    <font>
      <sz val="8"/>
      <name val="맑은 고딕"/>
      <family val="2"/>
      <charset val="129"/>
      <scheme val="minor"/>
    </font>
    <font>
      <sz val="9"/>
      <color theme="1"/>
      <name val="Times New Roman"/>
      <family val="1"/>
    </font>
    <font>
      <sz val="10"/>
      <color theme="1"/>
      <name val="맑은 고딕"/>
      <family val="2"/>
      <charset val="129"/>
      <scheme val="minor"/>
    </font>
    <font>
      <sz val="10"/>
      <color rgb="FFFF0000"/>
      <name val="Times New Roman"/>
      <family val="1"/>
    </font>
    <font>
      <sz val="10"/>
      <color rgb="FFFF0000"/>
      <name val="나눔고딕"/>
      <family val="3"/>
      <charset val="129"/>
    </font>
    <font>
      <sz val="9"/>
      <color rgb="FFFF0000"/>
      <name val="Times New Roman"/>
      <family val="1"/>
    </font>
    <font>
      <sz val="9"/>
      <color rgb="FFFF0000"/>
      <name val="나눔고딕"/>
      <family val="3"/>
      <charset val="129"/>
    </font>
    <font>
      <sz val="10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FFFFFF"/>
      <name val="나눔고딕"/>
      <family val="3"/>
      <charset val="129"/>
    </font>
    <font>
      <sz val="10"/>
      <name val="나눔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theme="1"/>
      <name val="Times New Roman"/>
      <family val="1"/>
    </font>
    <font>
      <b/>
      <sz val="10"/>
      <name val="나눔고딕"/>
      <family val="3"/>
      <charset val="129"/>
    </font>
    <font>
      <sz val="10"/>
      <color rgb="FF0000FF"/>
      <name val="나눔고딕"/>
      <family val="3"/>
      <charset val="129"/>
    </font>
    <font>
      <i/>
      <sz val="9"/>
      <color rgb="FF5F5E5A"/>
      <name val="나눔고딕"/>
      <family val="3"/>
      <charset val="129"/>
    </font>
    <font>
      <b/>
      <sz val="10"/>
      <name val="Times New Roman"/>
      <family val="1"/>
    </font>
    <font>
      <sz val="10"/>
      <color rgb="FF0000FF"/>
      <name val="Times New Roman"/>
      <family val="1"/>
    </font>
    <font>
      <sz val="10"/>
      <color rgb="FF000000"/>
      <name val="Times New Roman"/>
      <family val="1"/>
    </font>
    <font>
      <i/>
      <sz val="9"/>
      <color rgb="FF5F5E5A"/>
      <name val="Times New Roman"/>
      <family val="1"/>
    </font>
    <font>
      <b/>
      <sz val="11"/>
      <name val="나눔고딕"/>
      <family val="3"/>
      <charset val="129"/>
    </font>
    <font>
      <b/>
      <sz val="11"/>
      <name val="Times New Roman"/>
      <family val="1"/>
    </font>
    <font>
      <b/>
      <sz val="14"/>
      <name val="나눔고딕"/>
      <family val="3"/>
      <charset val="129"/>
    </font>
    <font>
      <sz val="10"/>
      <color rgb="FF5F5E5A"/>
      <name val="나눔고딕"/>
      <family val="3"/>
      <charset val="129"/>
    </font>
    <font>
      <b/>
      <sz val="14"/>
      <name val="Times New Roman"/>
      <family val="1"/>
    </font>
    <font>
      <sz val="10"/>
      <color rgb="FF5F5E5A"/>
      <name val="Times New Roman"/>
      <family val="1"/>
    </font>
    <font>
      <sz val="11"/>
      <color theme="1"/>
      <name val="나눔고딕"/>
      <family val="3"/>
      <charset val="129"/>
    </font>
    <font>
      <b/>
      <sz val="10"/>
      <color theme="1"/>
      <name val="나눔고딕"/>
      <family val="3"/>
      <charset val="129"/>
    </font>
    <font>
      <b/>
      <sz val="11"/>
      <color rgb="FF1F2937"/>
      <name val="나눔고딕"/>
      <family val="3"/>
      <charset val="129"/>
    </font>
    <font>
      <i/>
      <sz val="9"/>
      <color rgb="FF666666"/>
      <name val="나눔고딕"/>
      <family val="3"/>
      <charset val="129"/>
    </font>
    <font>
      <b/>
      <sz val="11"/>
      <color rgb="FF1F2937"/>
      <name val="Times New Roman"/>
      <family val="1"/>
    </font>
    <font>
      <i/>
      <sz val="9"/>
      <color rgb="FF666666"/>
      <name val="Times New Roman"/>
      <family val="1"/>
    </font>
    <font>
      <b/>
      <sz val="9"/>
      <name val="나눔고딕"/>
      <family val="3"/>
      <charset val="129"/>
    </font>
    <font>
      <sz val="9"/>
      <name val="나눔고딕"/>
      <family val="3"/>
      <charset val="129"/>
    </font>
    <font>
      <b/>
      <sz val="9"/>
      <name val="Times New Roman"/>
      <family val="1"/>
    </font>
    <font>
      <sz val="9"/>
      <name val="Times New Roman"/>
      <family val="1"/>
    </font>
    <font>
      <i/>
      <sz val="9"/>
      <color rgb="FFFF0000"/>
      <name val="Times New Roman"/>
      <family val="1"/>
    </font>
    <font>
      <i/>
      <sz val="9"/>
      <color rgb="FFFF0000"/>
      <name val="나눔고딕"/>
      <family val="3"/>
      <charset val="129"/>
    </font>
    <font>
      <b/>
      <sz val="9"/>
      <color rgb="FFFFFFFF"/>
      <name val="나눔고딕"/>
      <family val="3"/>
      <charset val="129"/>
    </font>
    <font>
      <b/>
      <sz val="9"/>
      <color rgb="FFFFFFFF"/>
      <name val="Times New Roman"/>
      <family val="1"/>
    </font>
    <font>
      <sz val="10"/>
      <color theme="1"/>
      <name val="Calibri"/>
      <family val="2"/>
      <charset val="1"/>
    </font>
    <font>
      <sz val="11"/>
      <color theme="1"/>
      <name val="맑은 고딕"/>
      <family val="2"/>
      <scheme val="minor"/>
    </font>
    <font>
      <b/>
      <sz val="9"/>
      <color indexed="81"/>
      <name val="돋움"/>
      <family val="3"/>
      <charset val="129"/>
    </font>
    <font>
      <b/>
      <sz val="11"/>
      <color theme="1"/>
      <name val="나눔고딕"/>
      <family val="3"/>
      <charset val="129"/>
    </font>
    <font>
      <b/>
      <sz val="11"/>
      <color theme="1"/>
      <name val="Times New Roman"/>
      <family val="1"/>
    </font>
    <font>
      <sz val="9"/>
      <color rgb="FFC00000"/>
      <name val="Times New Roman"/>
      <family val="1"/>
    </font>
    <font>
      <sz val="9"/>
      <color rgb="FFC00000"/>
      <name val="나눔고딕"/>
      <family val="3"/>
      <charset val="129"/>
    </font>
    <font>
      <i/>
      <sz val="9"/>
      <color rgb="FFC00000"/>
      <name val="Times New Roman"/>
      <family val="1"/>
    </font>
    <font>
      <i/>
      <sz val="9"/>
      <color rgb="FFC00000"/>
      <name val="나눔고딕"/>
      <family val="3"/>
      <charset val="129"/>
    </font>
    <font>
      <sz val="10"/>
      <color rgb="FF1F1F1F"/>
      <name val="나눔고딕"/>
      <family val="3"/>
      <charset val="129"/>
    </font>
    <font>
      <sz val="10"/>
      <color rgb="FF1F1F1F"/>
      <name val="Times New Roman"/>
      <family val="1"/>
    </font>
    <font>
      <sz val="10"/>
      <color rgb="FFC00000"/>
      <name val="Times New Roman"/>
      <family val="1"/>
    </font>
    <font>
      <sz val="10"/>
      <color rgb="FFC00000"/>
      <name val="나눔고딕"/>
      <family val="3"/>
      <charset val="129"/>
    </font>
    <font>
      <sz val="10"/>
      <color rgb="FF1F1F1F"/>
      <name val="Arial"/>
      <family val="2"/>
    </font>
    <font>
      <b/>
      <sz val="10"/>
      <color rgb="FF1F1F1F"/>
      <name val="나눔고딕"/>
      <family val="3"/>
      <charset val="129"/>
    </font>
    <font>
      <b/>
      <sz val="10"/>
      <color rgb="FF1F1F1F"/>
      <name val="Times New Roman"/>
      <family val="1"/>
    </font>
    <font>
      <i/>
      <sz val="11"/>
      <color theme="1"/>
      <name val="Times New Roman"/>
      <family val="1"/>
    </font>
    <font>
      <b/>
      <sz val="10"/>
      <color rgb="FFC00000"/>
      <name val="나눔고딕"/>
      <family val="3"/>
      <charset val="129"/>
    </font>
    <font>
      <b/>
      <sz val="10"/>
      <color rgb="FFC00000"/>
      <name val="Times New Roman"/>
      <family val="1"/>
    </font>
    <font>
      <b/>
      <sz val="9"/>
      <color rgb="FFC00000"/>
      <name val="Times New Roman"/>
      <family val="1"/>
    </font>
    <font>
      <b/>
      <sz val="9"/>
      <color rgb="FFC00000"/>
      <name val="나눔고딕"/>
      <family val="3"/>
      <charset val="129"/>
    </font>
    <font>
      <sz val="9"/>
      <color rgb="FF5F5E5A"/>
      <name val="Times New Roman"/>
      <family val="1"/>
    </font>
    <font>
      <sz val="9"/>
      <color rgb="FF5F5E5A"/>
      <name val="나눔고딕"/>
      <family val="3"/>
      <charset val="129"/>
    </font>
    <font>
      <sz val="11"/>
      <color rgb="FFFF0000"/>
      <name val="Calibri"/>
      <family val="2"/>
      <charset val="1"/>
    </font>
    <font>
      <sz val="11"/>
      <color rgb="FFFF0000"/>
      <name val="돋움"/>
      <family val="3"/>
      <charset val="129"/>
    </font>
    <font>
      <i/>
      <sz val="9"/>
      <name val="Times New Roman"/>
      <family val="1"/>
    </font>
    <font>
      <i/>
      <sz val="9"/>
      <name val="나눔고딕"/>
      <family val="3"/>
      <charset val="129"/>
    </font>
    <font>
      <b/>
      <sz val="9"/>
      <color theme="1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rgb="FFCECBF6"/>
        <bgColor rgb="FFD3D1C7"/>
      </patternFill>
    </fill>
    <fill>
      <patternFill patternType="solid">
        <fgColor rgb="FFD3D1C7"/>
        <bgColor rgb="FFCECBF6"/>
      </patternFill>
    </fill>
    <fill>
      <patternFill patternType="solid">
        <fgColor rgb="FF9FE1CB"/>
        <bgColor rgb="FFD3D1C7"/>
      </patternFill>
    </fill>
    <fill>
      <patternFill patternType="solid">
        <fgColor rgb="FFFAC775"/>
        <bgColor rgb="FFD3D1C7"/>
      </patternFill>
    </fill>
    <fill>
      <patternFill patternType="solid">
        <fgColor rgb="FFE1F5EE"/>
        <bgColor rgb="FFCCFFFF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1F4E78"/>
        <bgColor rgb="FF003366"/>
      </patternFill>
    </fill>
    <fill>
      <patternFill patternType="solid">
        <fgColor rgb="FFD1ECF1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rgb="FFFDEADA"/>
      </patternFill>
    </fill>
    <fill>
      <patternFill patternType="solid">
        <fgColor rgb="FFFFC7CE"/>
        <bgColor rgb="FFF8D7DA"/>
      </patternFill>
    </fill>
    <fill>
      <patternFill patternType="solid">
        <fgColor rgb="FF2F3B52"/>
        <bgColor rgb="FF1F2937"/>
      </patternFill>
    </fill>
    <fill>
      <patternFill patternType="solid">
        <fgColor rgb="FFC6EFCE"/>
        <bgColor rgb="FFD1ECF1"/>
      </patternFill>
    </fill>
    <fill>
      <patternFill patternType="solid">
        <fgColor rgb="FFE2EFDA"/>
        <bgColor rgb="FFE1F5EE"/>
      </patternFill>
    </fill>
    <fill>
      <patternFill patternType="solid">
        <fgColor rgb="FFFFF2CC"/>
        <bgColor indexed="64"/>
      </patternFill>
    </fill>
    <fill>
      <patternFill patternType="solid">
        <fgColor rgb="FF9FE1CB"/>
        <bgColor rgb="FFC6EFCE"/>
      </patternFill>
    </fill>
    <fill>
      <patternFill patternType="solid">
        <fgColor rgb="FF2F3B52"/>
      </patternFill>
    </fill>
    <fill>
      <patternFill patternType="solid">
        <fgColor rgb="FFF8D7DA"/>
      </patternFill>
    </fill>
    <fill>
      <patternFill patternType="solid">
        <fgColor rgb="FFFFF3CD"/>
      </patternFill>
    </fill>
    <fill>
      <patternFill patternType="solid">
        <fgColor rgb="FFD1ECF1"/>
      </patternFill>
    </fill>
    <fill>
      <patternFill patternType="solid">
        <fgColor rgb="FFFFF3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  <bgColor indexed="64"/>
      </patternFill>
    </fill>
  </fills>
  <borders count="18">
    <border>
      <left/>
      <right/>
      <top/>
      <bottom/>
      <diagonal/>
    </border>
    <border>
      <left style="thin">
        <color rgb="FFB4B2A9"/>
      </left>
      <right style="thin">
        <color rgb="FFB4B2A9"/>
      </right>
      <top style="thin">
        <color rgb="FFB4B2A9"/>
      </top>
      <bottom style="thin">
        <color rgb="FFB4B2A9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rgb="FFC8C8C8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n">
        <color theme="0" tint="-0.34998626667073579"/>
      </bottom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 style="medium">
        <color rgb="FFC4C7C5"/>
      </bottom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/>
      <diagonal/>
    </border>
    <border>
      <left style="thin">
        <color rgb="FFB4B2A9"/>
      </left>
      <right style="thin">
        <color rgb="FFB4B2A9"/>
      </right>
      <top style="thin">
        <color rgb="FFB4B2A9"/>
      </top>
      <bottom/>
      <diagonal/>
    </border>
    <border>
      <left style="thin">
        <color rgb="FFA0C0C0"/>
      </left>
      <right style="thin">
        <color rgb="FFA0C0C0"/>
      </right>
      <top style="thin">
        <color rgb="FFA0C0C0"/>
      </top>
      <bottom style="thin">
        <color rgb="FFA0C0C0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3" fillId="0" borderId="0"/>
    <xf numFmtId="0" fontId="53" fillId="0" borderId="0"/>
  </cellStyleXfs>
  <cellXfs count="19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6" fillId="0" borderId="0" xfId="1" applyFont="1" applyProtection="1">
      <alignment vertical="center"/>
    </xf>
    <xf numFmtId="0" fontId="9" fillId="0" borderId="4" xfId="1" applyFont="1" applyFill="1" applyBorder="1" applyAlignment="1" applyProtection="1">
      <alignment horizontal="center" vertical="center"/>
    </xf>
    <xf numFmtId="0" fontId="1" fillId="0" borderId="0" xfId="1" applyProtection="1">
      <alignment vertical="center"/>
    </xf>
    <xf numFmtId="0" fontId="9" fillId="12" borderId="4" xfId="1" applyFont="1" applyFill="1" applyBorder="1" applyAlignment="1" applyProtection="1">
      <alignment horizontal="center" vertical="center"/>
    </xf>
    <xf numFmtId="0" fontId="9" fillId="0" borderId="4" xfId="1" applyFont="1" applyBorder="1" applyAlignment="1" applyProtection="1">
      <alignment horizontal="center" vertical="center"/>
    </xf>
    <xf numFmtId="0" fontId="9" fillId="0" borderId="0" xfId="1" applyFont="1" applyAlignment="1" applyProtection="1">
      <alignment horizontal="center" vertical="center"/>
    </xf>
    <xf numFmtId="0" fontId="9" fillId="0" borderId="0" xfId="1" applyFont="1" applyProtection="1">
      <alignment vertical="center"/>
    </xf>
    <xf numFmtId="0" fontId="12" fillId="0" borderId="0" xfId="1" applyFont="1" applyProtection="1">
      <alignment vertical="center"/>
    </xf>
    <xf numFmtId="0" fontId="15" fillId="0" borderId="0" xfId="1" applyFont="1" applyAlignment="1" applyProtection="1">
      <alignment horizontal="center" vertical="center"/>
    </xf>
    <xf numFmtId="0" fontId="9" fillId="10" borderId="5" xfId="1" applyFont="1" applyFill="1" applyBorder="1" applyAlignment="1" applyProtection="1">
      <alignment horizontal="center" vertical="center"/>
    </xf>
    <xf numFmtId="0" fontId="9" fillId="10" borderId="6" xfId="1" applyFont="1" applyFill="1" applyBorder="1" applyAlignment="1" applyProtection="1">
      <alignment horizontal="center" vertical="center"/>
    </xf>
    <xf numFmtId="0" fontId="17" fillId="10" borderId="5" xfId="2" applyFont="1" applyFill="1" applyBorder="1" applyAlignment="1" applyProtection="1">
      <alignment horizontal="center" vertical="center" wrapText="1"/>
    </xf>
    <xf numFmtId="0" fontId="18" fillId="13" borderId="5" xfId="2" applyFont="1" applyFill="1" applyBorder="1" applyAlignment="1" applyProtection="1">
      <alignment horizontal="center" vertical="center" wrapText="1"/>
    </xf>
    <xf numFmtId="0" fontId="12" fillId="0" borderId="0" xfId="1" applyFont="1" applyAlignment="1" applyProtection="1">
      <alignment horizontal="center" vertical="center"/>
    </xf>
    <xf numFmtId="0" fontId="9" fillId="0" borderId="4" xfId="1" applyFont="1" applyFill="1" applyBorder="1" applyAlignment="1" applyProtection="1">
      <alignment horizontal="left" vertical="center" wrapText="1"/>
    </xf>
    <xf numFmtId="0" fontId="11" fillId="7" borderId="4" xfId="1" applyFont="1" applyFill="1" applyBorder="1" applyAlignment="1" applyProtection="1">
      <alignment horizontal="center" vertical="center"/>
      <protection locked="0"/>
    </xf>
    <xf numFmtId="0" fontId="9" fillId="9" borderId="4" xfId="1" applyFont="1" applyFill="1" applyBorder="1" applyAlignment="1" applyProtection="1">
      <alignment horizontal="center" vertical="center"/>
    </xf>
    <xf numFmtId="0" fontId="17" fillId="0" borderId="5" xfId="2" applyFont="1" applyBorder="1" applyAlignment="1" applyProtection="1">
      <alignment horizontal="left" vertical="top" wrapText="1"/>
    </xf>
    <xf numFmtId="0" fontId="17" fillId="0" borderId="5" xfId="2" applyFont="1" applyBorder="1" applyAlignment="1" applyProtection="1">
      <alignment horizontal="center" vertical="top" wrapText="1"/>
    </xf>
    <xf numFmtId="0" fontId="17" fillId="0" borderId="5" xfId="2" applyFont="1" applyFill="1" applyBorder="1" applyAlignment="1" applyProtection="1">
      <alignment horizontal="center" vertical="top" wrapText="1"/>
    </xf>
    <xf numFmtId="0" fontId="11" fillId="7" borderId="4" xfId="1" applyFont="1" applyFill="1" applyBorder="1" applyAlignment="1" applyProtection="1">
      <alignment horizontal="center" vertical="center"/>
    </xf>
    <xf numFmtId="0" fontId="9" fillId="0" borderId="4" xfId="1" applyFont="1" applyBorder="1" applyAlignment="1" applyProtection="1">
      <alignment horizontal="left" vertical="center" wrapText="1"/>
    </xf>
    <xf numFmtId="0" fontId="9" fillId="0" borderId="0" xfId="1" applyFont="1" applyBorder="1" applyAlignment="1" applyProtection="1">
      <alignment horizontal="center" vertical="center"/>
    </xf>
    <xf numFmtId="0" fontId="9" fillId="0" borderId="0" xfId="1" applyFont="1" applyBorder="1" applyProtection="1">
      <alignment vertical="center"/>
    </xf>
    <xf numFmtId="0" fontId="9" fillId="0" borderId="0" xfId="1" applyFont="1" applyFill="1" applyBorder="1" applyAlignment="1" applyProtection="1">
      <alignment horizontal="center" vertical="center"/>
    </xf>
    <xf numFmtId="0" fontId="9" fillId="0" borderId="0" xfId="1" applyFont="1" applyFill="1" applyBorder="1" applyProtection="1">
      <alignment vertical="center"/>
    </xf>
    <xf numFmtId="0" fontId="4" fillId="0" borderId="0" xfId="1" applyFont="1" applyProtection="1">
      <alignment vertical="center"/>
    </xf>
    <xf numFmtId="0" fontId="9" fillId="0" borderId="4" xfId="0" applyFont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6" fillId="0" borderId="0" xfId="0" applyFont="1"/>
    <xf numFmtId="0" fontId="28" fillId="2" borderId="1" xfId="0" applyFont="1" applyFill="1" applyBorder="1" applyAlignment="1">
      <alignment horizontal="center" vertical="center" wrapText="1"/>
    </xf>
    <xf numFmtId="0" fontId="29" fillId="0" borderId="1" xfId="0" applyFont="1" applyBorder="1"/>
    <xf numFmtId="0" fontId="30" fillId="0" borderId="1" xfId="0" applyFont="1" applyBorder="1"/>
    <xf numFmtId="0" fontId="29" fillId="0" borderId="1" xfId="0" applyFont="1" applyBorder="1" applyAlignment="1">
      <alignment horizontal="center"/>
    </xf>
    <xf numFmtId="0" fontId="28" fillId="3" borderId="1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5" borderId="1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/>
    </xf>
    <xf numFmtId="0" fontId="29" fillId="0" borderId="0" xfId="0" applyFont="1" applyBorder="1"/>
    <xf numFmtId="0" fontId="29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0" fontId="29" fillId="0" borderId="1" xfId="0" applyFont="1" applyBorder="1" applyAlignment="1">
      <alignment vertical="center" wrapText="1"/>
    </xf>
    <xf numFmtId="0" fontId="33" fillId="0" borderId="0" xfId="0" applyFont="1"/>
    <xf numFmtId="0" fontId="36" fillId="7" borderId="0" xfId="0" applyFont="1" applyFill="1"/>
    <xf numFmtId="0" fontId="6" fillId="7" borderId="0" xfId="0" applyFont="1" applyFill="1"/>
    <xf numFmtId="0" fontId="28" fillId="6" borderId="1" xfId="0" applyFont="1" applyFill="1" applyBorder="1"/>
    <xf numFmtId="0" fontId="28" fillId="0" borderId="1" xfId="0" applyFont="1" applyBorder="1"/>
    <xf numFmtId="0" fontId="17" fillId="0" borderId="1" xfId="0" applyFont="1" applyBorder="1"/>
    <xf numFmtId="0" fontId="17" fillId="0" borderId="1" xfId="0" applyFont="1" applyBorder="1" applyAlignment="1">
      <alignment vertical="center" wrapText="1"/>
    </xf>
    <xf numFmtId="0" fontId="37" fillId="0" borderId="1" xfId="0" applyFont="1" applyBorder="1" applyAlignment="1">
      <alignment vertical="center" wrapText="1"/>
    </xf>
    <xf numFmtId="0" fontId="6" fillId="0" borderId="0" xfId="0" applyFont="1" applyAlignment="1">
      <alignment horizontal="center"/>
    </xf>
    <xf numFmtId="0" fontId="24" fillId="8" borderId="3" xfId="0" applyFont="1" applyFill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11" borderId="0" xfId="0" applyFont="1" applyFill="1" applyAlignment="1">
      <alignment horizontal="left" vertical="center"/>
    </xf>
    <xf numFmtId="0" fontId="7" fillId="0" borderId="0" xfId="0" applyFont="1"/>
    <xf numFmtId="0" fontId="24" fillId="0" borderId="3" xfId="0" applyFont="1" applyBorder="1" applyAlignment="1">
      <alignment horizontal="left"/>
    </xf>
    <xf numFmtId="0" fontId="29" fillId="0" borderId="1" xfId="0" applyFont="1" applyBorder="1" applyAlignment="1">
      <alignment horizontal="center" vertical="center" wrapText="1"/>
    </xf>
    <xf numFmtId="0" fontId="29" fillId="7" borderId="1" xfId="0" applyFont="1" applyFill="1" applyBorder="1"/>
    <xf numFmtId="0" fontId="0" fillId="0" borderId="0" xfId="0" applyAlignment="1">
      <alignment vertical="center"/>
    </xf>
    <xf numFmtId="0" fontId="9" fillId="0" borderId="4" xfId="0" applyFont="1" applyBorder="1" applyAlignment="1">
      <alignment horizontal="center" vertical="center" wrapText="1"/>
    </xf>
    <xf numFmtId="0" fontId="9" fillId="0" borderId="4" xfId="1" applyFont="1" applyBorder="1" applyAlignment="1" applyProtection="1">
      <alignment horizontal="center" vertical="center" wrapText="1"/>
    </xf>
    <xf numFmtId="0" fontId="17" fillId="0" borderId="7" xfId="0" applyFont="1" applyBorder="1"/>
    <xf numFmtId="0" fontId="18" fillId="20" borderId="7" xfId="0" applyFont="1" applyFill="1" applyBorder="1" applyAlignment="1">
      <alignment horizontal="center" vertical="center" wrapText="1"/>
    </xf>
    <xf numFmtId="0" fontId="17" fillId="18" borderId="7" xfId="0" applyFont="1" applyFill="1" applyBorder="1" applyAlignment="1">
      <alignment vertical="center" wrapText="1"/>
    </xf>
    <xf numFmtId="0" fontId="17" fillId="0" borderId="7" xfId="0" applyFont="1" applyBorder="1" applyAlignment="1">
      <alignment vertical="center" wrapText="1"/>
    </xf>
    <xf numFmtId="0" fontId="17" fillId="19" borderId="7" xfId="0" applyFont="1" applyFill="1" applyBorder="1" applyAlignment="1">
      <alignment vertical="center" wrapText="1"/>
    </xf>
    <xf numFmtId="0" fontId="17" fillId="21" borderId="7" xfId="0" applyFont="1" applyFill="1" applyBorder="1" applyAlignment="1">
      <alignment vertical="center" wrapText="1"/>
    </xf>
    <xf numFmtId="0" fontId="17" fillId="22" borderId="7" xfId="0" applyFont="1" applyFill="1" applyBorder="1" applyAlignment="1">
      <alignment vertical="center" wrapText="1"/>
    </xf>
    <xf numFmtId="0" fontId="17" fillId="21" borderId="7" xfId="0" applyFont="1" applyFill="1" applyBorder="1" applyAlignment="1">
      <alignment horizontal="center"/>
    </xf>
    <xf numFmtId="0" fontId="42" fillId="0" borderId="0" xfId="0" applyFont="1" applyBorder="1" applyAlignment="1"/>
    <xf numFmtId="0" fontId="11" fillId="8" borderId="4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 wrapText="1"/>
    </xf>
    <xf numFmtId="0" fontId="46" fillId="0" borderId="4" xfId="0" applyFont="1" applyBorder="1" applyAlignment="1">
      <alignment horizontal="left" vertical="center"/>
    </xf>
    <xf numFmtId="0" fontId="47" fillId="0" borderId="4" xfId="0" applyFont="1" applyBorder="1" applyAlignment="1">
      <alignment horizontal="left" vertical="center"/>
    </xf>
    <xf numFmtId="0" fontId="47" fillId="18" borderId="4" xfId="0" applyFont="1" applyFill="1" applyBorder="1" applyAlignment="1">
      <alignment horizontal="left" vertical="center"/>
    </xf>
    <xf numFmtId="0" fontId="47" fillId="19" borderId="4" xfId="0" applyFont="1" applyFill="1" applyBorder="1" applyAlignment="1">
      <alignment horizontal="left" vertical="center"/>
    </xf>
    <xf numFmtId="0" fontId="47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/>
    </xf>
    <xf numFmtId="0" fontId="11" fillId="23" borderId="4" xfId="0" applyFont="1" applyFill="1" applyBorder="1" applyAlignment="1">
      <alignment horizontal="center" vertical="center"/>
    </xf>
    <xf numFmtId="0" fontId="11" fillId="23" borderId="4" xfId="0" applyFont="1" applyFill="1" applyBorder="1" applyAlignment="1">
      <alignment horizontal="left" vertical="center"/>
    </xf>
    <xf numFmtId="0" fontId="51" fillId="20" borderId="4" xfId="0" applyFont="1" applyFill="1" applyBorder="1" applyAlignment="1">
      <alignment horizontal="center" vertical="center" wrapText="1"/>
    </xf>
    <xf numFmtId="22" fontId="11" fillId="0" borderId="4" xfId="0" applyNumberFormat="1" applyFont="1" applyBorder="1" applyAlignment="1">
      <alignment horizontal="center" vertical="center"/>
    </xf>
    <xf numFmtId="176" fontId="11" fillId="0" borderId="4" xfId="0" applyNumberFormat="1" applyFont="1" applyBorder="1" applyAlignment="1">
      <alignment horizontal="center" vertical="center"/>
    </xf>
    <xf numFmtId="0" fontId="0" fillId="0" borderId="0" xfId="0" applyAlignment="1"/>
    <xf numFmtId="0" fontId="43" fillId="0" borderId="0" xfId="0" applyFont="1" applyBorder="1" applyAlignment="1"/>
    <xf numFmtId="0" fontId="7" fillId="0" borderId="0" xfId="1" applyFont="1" applyAlignment="1" applyProtection="1">
      <alignment vertical="center" wrapText="1"/>
    </xf>
    <xf numFmtId="0" fontId="9" fillId="12" borderId="4" xfId="1" applyFont="1" applyFill="1" applyBorder="1" applyAlignment="1" applyProtection="1">
      <alignment horizontal="center" vertical="center" wrapText="1"/>
    </xf>
    <xf numFmtId="0" fontId="1" fillId="0" borderId="0" xfId="1" applyAlignment="1" applyProtection="1">
      <alignment vertical="center" wrapText="1"/>
    </xf>
    <xf numFmtId="0" fontId="28" fillId="24" borderId="1" xfId="0" applyFont="1" applyFill="1" applyBorder="1" applyAlignment="1">
      <alignment horizontal="center" vertical="center" wrapText="1"/>
    </xf>
    <xf numFmtId="0" fontId="29" fillId="0" borderId="1" xfId="0" applyFont="1" applyBorder="1" applyAlignment="1"/>
    <xf numFmtId="0" fontId="17" fillId="0" borderId="7" xfId="0" applyFont="1" applyBorder="1" applyAlignment="1"/>
    <xf numFmtId="0" fontId="6" fillId="0" borderId="0" xfId="0" applyFont="1" applyAlignment="1"/>
    <xf numFmtId="0" fontId="11" fillId="15" borderId="3" xfId="0" applyFont="1" applyFill="1" applyBorder="1" applyAlignment="1">
      <alignment horizontal="left"/>
    </xf>
    <xf numFmtId="0" fontId="11" fillId="15" borderId="3" xfId="0" quotePrefix="1" applyFont="1" applyFill="1" applyBorder="1" applyAlignment="1">
      <alignment horizontal="left"/>
    </xf>
    <xf numFmtId="0" fontId="11" fillId="14" borderId="3" xfId="0" applyFont="1" applyFill="1" applyBorder="1" applyAlignment="1">
      <alignment horizontal="left"/>
    </xf>
    <xf numFmtId="0" fontId="52" fillId="0" borderId="0" xfId="0" applyFont="1" applyAlignment="1">
      <alignment horizontal="center" vertical="center"/>
    </xf>
    <xf numFmtId="0" fontId="5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52" fillId="0" borderId="0" xfId="0" applyFont="1" applyAlignment="1">
      <alignment vertical="center" wrapText="1"/>
    </xf>
    <xf numFmtId="0" fontId="9" fillId="0" borderId="0" xfId="0" applyFont="1" applyBorder="1" applyAlignment="1">
      <alignment vertical="center"/>
    </xf>
    <xf numFmtId="0" fontId="28" fillId="0" borderId="1" xfId="0" applyFont="1" applyBorder="1" applyAlignment="1">
      <alignment vertical="center"/>
    </xf>
    <xf numFmtId="0" fontId="17" fillId="0" borderId="1" xfId="0" applyFont="1" applyBorder="1" applyAlignment="1">
      <alignment vertical="center"/>
    </xf>
    <xf numFmtId="0" fontId="18" fillId="25" borderId="7" xfId="3" applyFont="1" applyFill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26" borderId="7" xfId="3" applyFont="1" applyFill="1" applyBorder="1" applyAlignment="1">
      <alignment vertical="center"/>
    </xf>
    <xf numFmtId="0" fontId="17" fillId="27" borderId="7" xfId="3" applyFont="1" applyFill="1" applyBorder="1" applyAlignment="1">
      <alignment vertical="center"/>
    </xf>
    <xf numFmtId="0" fontId="17" fillId="28" borderId="7" xfId="3" applyFont="1" applyFill="1" applyBorder="1" applyAlignment="1">
      <alignment vertical="center"/>
    </xf>
    <xf numFmtId="0" fontId="13" fillId="0" borderId="0" xfId="0" applyFont="1" applyFill="1" applyBorder="1"/>
    <xf numFmtId="0" fontId="29" fillId="0" borderId="1" xfId="0" applyFont="1" applyFill="1" applyBorder="1" applyAlignment="1"/>
    <xf numFmtId="0" fontId="17" fillId="7" borderId="7" xfId="0" applyFont="1" applyFill="1" applyBorder="1" applyAlignment="1"/>
    <xf numFmtId="0" fontId="29" fillId="7" borderId="1" xfId="0" applyFont="1" applyFill="1" applyBorder="1" applyAlignment="1"/>
    <xf numFmtId="0" fontId="11" fillId="29" borderId="3" xfId="0" applyFont="1" applyFill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wrapText="1"/>
    </xf>
    <xf numFmtId="0" fontId="6" fillId="0" borderId="0" xfId="0" applyFont="1" applyBorder="1"/>
    <xf numFmtId="0" fontId="9" fillId="0" borderId="0" xfId="0" applyFont="1" applyBorder="1" applyAlignment="1">
      <alignment wrapText="1"/>
    </xf>
    <xf numFmtId="0" fontId="62" fillId="0" borderId="8" xfId="0" applyFont="1" applyBorder="1" applyAlignment="1">
      <alignment vertical="top" wrapText="1"/>
    </xf>
    <xf numFmtId="0" fontId="62" fillId="0" borderId="8" xfId="0" applyFont="1" applyBorder="1" applyAlignment="1">
      <alignment vertical="center" wrapText="1"/>
    </xf>
    <xf numFmtId="0" fontId="62" fillId="16" borderId="8" xfId="0" applyFont="1" applyFill="1" applyBorder="1" applyAlignment="1">
      <alignment horizontal="center" vertical="top" wrapText="1"/>
    </xf>
    <xf numFmtId="0" fontId="62" fillId="16" borderId="8" xfId="0" applyFont="1" applyFill="1" applyBorder="1" applyAlignment="1">
      <alignment horizontal="center" vertical="center" wrapText="1"/>
    </xf>
    <xf numFmtId="0" fontId="9" fillId="0" borderId="8" xfId="0" applyFont="1" applyBorder="1" applyAlignment="1">
      <alignment vertical="top" wrapText="1"/>
    </xf>
    <xf numFmtId="0" fontId="9" fillId="30" borderId="8" xfId="0" applyFont="1" applyFill="1" applyBorder="1" applyAlignment="1">
      <alignment vertical="top" wrapText="1"/>
    </xf>
    <xf numFmtId="0" fontId="9" fillId="7" borderId="8" xfId="0" applyFont="1" applyFill="1" applyBorder="1" applyAlignment="1">
      <alignment vertical="top" wrapText="1"/>
    </xf>
    <xf numFmtId="0" fontId="9" fillId="0" borderId="8" xfId="0" applyFont="1" applyFill="1" applyBorder="1" applyAlignment="1">
      <alignment vertical="top" wrapText="1"/>
    </xf>
    <xf numFmtId="0" fontId="9" fillId="16" borderId="8" xfId="0" applyFont="1" applyFill="1" applyBorder="1" applyAlignment="1">
      <alignment horizontal="center" wrapText="1"/>
    </xf>
    <xf numFmtId="0" fontId="9" fillId="9" borderId="8" xfId="0" applyFont="1" applyFill="1" applyBorder="1" applyAlignment="1">
      <alignment horizontal="center" wrapText="1"/>
    </xf>
    <xf numFmtId="0" fontId="9" fillId="16" borderId="8" xfId="0" applyFont="1" applyFill="1" applyBorder="1" applyAlignment="1">
      <alignment horizontal="center" vertical="center" wrapText="1"/>
    </xf>
    <xf numFmtId="0" fontId="62" fillId="16" borderId="8" xfId="0" applyFont="1" applyFill="1" applyBorder="1" applyAlignment="1">
      <alignment horizontal="center" wrapText="1"/>
    </xf>
    <xf numFmtId="0" fontId="56" fillId="0" borderId="0" xfId="0" applyFont="1" applyAlignment="1">
      <alignment horizontal="left" vertical="center" indent="1"/>
    </xf>
    <xf numFmtId="0" fontId="56" fillId="0" borderId="0" xfId="0" applyFont="1"/>
    <xf numFmtId="0" fontId="67" fillId="0" borderId="14" xfId="0" applyFont="1" applyBorder="1" applyAlignment="1">
      <alignment vertical="center" wrapText="1" readingOrder="1"/>
    </xf>
    <xf numFmtId="0" fontId="62" fillId="0" borderId="14" xfId="0" applyFont="1" applyBorder="1" applyAlignment="1">
      <alignment vertical="center" wrapText="1" readingOrder="1"/>
    </xf>
    <xf numFmtId="0" fontId="67" fillId="16" borderId="14" xfId="0" applyFont="1" applyFill="1" applyBorder="1" applyAlignment="1">
      <alignment horizontal="center" vertical="center" wrapText="1" readingOrder="1"/>
    </xf>
    <xf numFmtId="0" fontId="67" fillId="16" borderId="15" xfId="0" applyFont="1" applyFill="1" applyBorder="1" applyAlignment="1">
      <alignment horizontal="center" vertical="center" wrapText="1" readingOrder="1"/>
    </xf>
    <xf numFmtId="0" fontId="62" fillId="0" borderId="8" xfId="0" applyFont="1" applyBorder="1" applyAlignment="1">
      <alignment vertical="center" wrapText="1" readingOrder="1"/>
    </xf>
    <xf numFmtId="0" fontId="9" fillId="0" borderId="8" xfId="0" applyFont="1" applyBorder="1" applyAlignment="1">
      <alignment vertical="center" wrapText="1" readingOrder="1"/>
    </xf>
    <xf numFmtId="0" fontId="68" fillId="0" borderId="0" xfId="0" applyFont="1"/>
    <xf numFmtId="0" fontId="62" fillId="0" borderId="8" xfId="0" applyFont="1" applyBorder="1" applyAlignment="1">
      <alignment vertical="top" wrapText="1" readingOrder="1"/>
    </xf>
    <xf numFmtId="0" fontId="67" fillId="0" borderId="0" xfId="0" applyFont="1" applyBorder="1" applyAlignment="1">
      <alignment vertical="center" wrapText="1" readingOrder="1"/>
    </xf>
    <xf numFmtId="0" fontId="62" fillId="0" borderId="0" xfId="0" applyFont="1" applyBorder="1" applyAlignment="1">
      <alignment vertical="center" wrapText="1" readingOrder="1"/>
    </xf>
    <xf numFmtId="0" fontId="71" fillId="0" borderId="0" xfId="0" applyFont="1" applyAlignment="1">
      <alignment horizontal="left" vertical="center" wrapText="1"/>
    </xf>
    <xf numFmtId="0" fontId="57" fillId="0" borderId="0" xfId="0" applyFont="1" applyAlignment="1">
      <alignment horizontal="left" vertical="center"/>
    </xf>
    <xf numFmtId="0" fontId="29" fillId="0" borderId="0" xfId="0" applyFont="1"/>
    <xf numFmtId="0" fontId="9" fillId="0" borderId="0" xfId="0" applyFont="1"/>
    <xf numFmtId="0" fontId="67" fillId="8" borderId="14" xfId="0" applyFont="1" applyFill="1" applyBorder="1" applyAlignment="1">
      <alignment horizontal="center" vertical="center" wrapText="1" readingOrder="1"/>
    </xf>
    <xf numFmtId="0" fontId="17" fillId="0" borderId="7" xfId="3" applyFont="1" applyBorder="1" applyAlignment="1">
      <alignment vertical="center" wrapText="1"/>
    </xf>
    <xf numFmtId="0" fontId="18" fillId="25" borderId="7" xfId="3" applyFont="1" applyFill="1" applyBorder="1" applyAlignment="1">
      <alignment vertical="center"/>
    </xf>
    <xf numFmtId="0" fontId="11" fillId="0" borderId="3" xfId="0" applyFont="1" applyBorder="1" applyAlignment="1">
      <alignment horizontal="left"/>
    </xf>
    <xf numFmtId="0" fontId="24" fillId="17" borderId="3" xfId="0" applyFont="1" applyFill="1" applyBorder="1" applyAlignment="1">
      <alignment horizontal="left"/>
    </xf>
    <xf numFmtId="0" fontId="15" fillId="0" borderId="0" xfId="0" applyFont="1" applyAlignment="1">
      <alignment vertical="center"/>
    </xf>
    <xf numFmtId="0" fontId="75" fillId="0" borderId="0" xfId="0" applyFont="1" applyAlignment="1"/>
    <xf numFmtId="0" fontId="67" fillId="0" borderId="8" xfId="0" applyFont="1" applyBorder="1" applyAlignment="1">
      <alignment horizontal="left" vertical="center" wrapText="1" readingOrder="1"/>
    </xf>
    <xf numFmtId="0" fontId="9" fillId="0" borderId="0" xfId="0" applyFont="1" applyAlignment="1">
      <alignment horizontal="left" vertical="center"/>
    </xf>
    <xf numFmtId="0" fontId="9" fillId="0" borderId="13" xfId="0" applyFont="1" applyBorder="1" applyAlignment="1">
      <alignment horizontal="left" vertical="center" wrapText="1"/>
    </xf>
    <xf numFmtId="0" fontId="9" fillId="0" borderId="13" xfId="0" applyFont="1" applyBorder="1" applyAlignment="1">
      <alignment horizontal="left" vertical="center"/>
    </xf>
    <xf numFmtId="0" fontId="63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/>
    </xf>
    <xf numFmtId="0" fontId="13" fillId="0" borderId="2" xfId="1" applyFont="1" applyBorder="1" applyAlignment="1" applyProtection="1">
      <alignment horizontal="left" vertical="center"/>
    </xf>
    <xf numFmtId="0" fontId="56" fillId="0" borderId="0" xfId="0" applyFont="1" applyAlignment="1">
      <alignment horizontal="center" vertical="center"/>
    </xf>
    <xf numFmtId="0" fontId="17" fillId="0" borderId="7" xfId="3" applyFont="1" applyBorder="1" applyAlignment="1">
      <alignment vertical="center" wrapText="1"/>
    </xf>
    <xf numFmtId="0" fontId="6" fillId="0" borderId="7" xfId="3" applyFont="1" applyBorder="1" applyAlignment="1">
      <alignment vertical="center"/>
    </xf>
    <xf numFmtId="0" fontId="18" fillId="25" borderId="7" xfId="3" applyFont="1" applyFill="1" applyBorder="1" applyAlignment="1">
      <alignment vertical="center"/>
    </xf>
    <xf numFmtId="0" fontId="6" fillId="0" borderId="11" xfId="3" applyFont="1" applyBorder="1" applyAlignment="1">
      <alignment vertical="center"/>
    </xf>
    <xf numFmtId="0" fontId="6" fillId="0" borderId="12" xfId="3" applyFont="1" applyBorder="1" applyAlignment="1">
      <alignment vertical="center"/>
    </xf>
    <xf numFmtId="0" fontId="31" fillId="0" borderId="0" xfId="0" applyFont="1" applyBorder="1" applyAlignment="1">
      <alignment vertical="center" wrapText="1"/>
    </xf>
    <xf numFmtId="0" fontId="31" fillId="0" borderId="0" xfId="0" applyFont="1" applyBorder="1" applyAlignment="1">
      <alignment wrapText="1"/>
    </xf>
    <xf numFmtId="0" fontId="43" fillId="0" borderId="0" xfId="0" applyFont="1" applyBorder="1" applyAlignment="1">
      <alignment wrapText="1"/>
    </xf>
    <xf numFmtId="0" fontId="48" fillId="0" borderId="0" xfId="0" applyFont="1" applyBorder="1" applyAlignment="1">
      <alignment vertical="center" wrapText="1"/>
    </xf>
    <xf numFmtId="0" fontId="73" fillId="0" borderId="0" xfId="0" applyFont="1" applyBorder="1" applyAlignment="1">
      <alignment vertical="center" wrapText="1"/>
    </xf>
    <xf numFmtId="0" fontId="17" fillId="0" borderId="0" xfId="0" applyFont="1" applyBorder="1" applyAlignment="1">
      <alignment vertical="top" wrapText="1"/>
    </xf>
    <xf numFmtId="0" fontId="11" fillId="0" borderId="3" xfId="0" applyFont="1" applyBorder="1" applyAlignment="1">
      <alignment horizontal="left"/>
    </xf>
    <xf numFmtId="0" fontId="24" fillId="17" borderId="3" xfId="0" applyFont="1" applyFill="1" applyBorder="1" applyAlignment="1">
      <alignment horizontal="left"/>
    </xf>
    <xf numFmtId="0" fontId="43" fillId="0" borderId="9" xfId="0" applyFont="1" applyBorder="1" applyAlignment="1">
      <alignment horizontal="left" vertical="center" wrapText="1"/>
    </xf>
    <xf numFmtId="0" fontId="42" fillId="0" borderId="0" xfId="0" applyFont="1" applyBorder="1"/>
    <xf numFmtId="0" fontId="43" fillId="0" borderId="10" xfId="0" applyFont="1" applyBorder="1" applyAlignment="1">
      <alignment horizontal="left" vertical="center" wrapText="1"/>
    </xf>
    <xf numFmtId="0" fontId="43" fillId="0" borderId="0" xfId="0" applyFont="1" applyBorder="1"/>
    <xf numFmtId="0" fontId="42" fillId="0" borderId="0" xfId="0" applyFont="1" applyBorder="1" applyAlignment="1">
      <alignment horizontal="center"/>
    </xf>
    <xf numFmtId="0" fontId="43" fillId="0" borderId="0" xfId="0" applyFont="1" applyBorder="1" applyAlignment="1">
      <alignment vertical="center" wrapText="1"/>
    </xf>
    <xf numFmtId="0" fontId="42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 vertical="center" wrapText="1"/>
    </xf>
    <xf numFmtId="0" fontId="47" fillId="31" borderId="4" xfId="0" applyFont="1" applyFill="1" applyBorder="1" applyAlignment="1">
      <alignment horizontal="left" vertical="center"/>
    </xf>
    <xf numFmtId="0" fontId="79" fillId="0" borderId="4" xfId="0" applyFont="1" applyBorder="1" applyAlignment="1">
      <alignment horizontal="left" vertical="center"/>
    </xf>
    <xf numFmtId="0" fontId="29" fillId="0" borderId="16" xfId="0" applyFont="1" applyBorder="1"/>
    <xf numFmtId="0" fontId="29" fillId="7" borderId="16" xfId="0" applyFont="1" applyFill="1" applyBorder="1"/>
    <xf numFmtId="0" fontId="5" fillId="0" borderId="17" xfId="0" applyFont="1" applyBorder="1" applyAlignment="1">
      <alignment horizontal="left"/>
    </xf>
    <xf numFmtId="14" fontId="5" fillId="0" borderId="17" xfId="0" applyNumberFormat="1" applyFont="1" applyBorder="1" applyAlignment="1">
      <alignment horizontal="center"/>
    </xf>
  </cellXfs>
  <cellStyles count="4">
    <cellStyle name="표준" xfId="0" builtinId="0"/>
    <cellStyle name="표준 2" xfId="1"/>
    <cellStyle name="표준 2 2" xfId="2"/>
    <cellStyle name="표준 3" xfId="3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2A9"/>
      <rgbColor rgb="FF808080"/>
      <rgbColor rgb="FF9999FF"/>
      <rgbColor rgb="FF993366"/>
      <rgbColor rgb="FFFFFFCC"/>
      <rgbColor rgb="FFE1F5EE"/>
      <rgbColor rgb="FF660066"/>
      <rgbColor rgb="FFFF8080"/>
      <rgbColor rgb="FF0066CC"/>
      <rgbColor rgb="FFCECBF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3D1C7"/>
      <rgbColor rgb="FFFFFF99"/>
      <rgbColor rgb="FF9FE1CB"/>
      <rgbColor rgb="FFFF99CC"/>
      <rgbColor rgb="FFCC99FF"/>
      <rgbColor rgb="FFFAC775"/>
      <rgbColor rgb="FF3366FF"/>
      <rgbColor rgb="FF33CCCC"/>
      <rgbColor rgb="FF99CC00"/>
      <rgbColor rgb="FFFFCC00"/>
      <rgbColor rgb="FFFF9900"/>
      <rgbColor rgb="FFFF6600"/>
      <rgbColor rgb="FF5F5E5A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0</xdr:colOff>
      <xdr:row>1</xdr:row>
      <xdr:rowOff>0</xdr:rowOff>
    </xdr:to>
    <xdr:sp macro="[0]!ListUpWorksheetsInSelectedXlFile" textlink="">
      <xdr:nvSpPr>
        <xdr:cNvPr id="2" name="btnListWorksheet"/>
        <xdr:cNvSpPr/>
      </xdr:nvSpPr>
      <xdr:spPr>
        <a:xfrm>
          <a:off x="660400" y="0"/>
          <a:ext cx="3276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wsList </a:t>
          </a:r>
          <a:r>
            <a:rPr lang="ko-KR" altLang="en-US" sz="1000" b="1">
              <a:latin typeface="Times New Roman" panose="02020603050405020304" pitchFamily="18" charset="0"/>
            </a:rPr>
            <a:t>목록 업데이트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ActivateWorkbookAndWorksheet_FromWsList" textlink="">
      <xdr:nvSpPr>
        <xdr:cNvPr id="3" name="btnGoToWorksheet"/>
        <xdr:cNvSpPr/>
      </xdr:nvSpPr>
      <xdr:spPr>
        <a:xfrm>
          <a:off x="660400" y="215900"/>
          <a:ext cx="3276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Times New Roman" panose="02020603050405020304" pitchFamily="18" charset="0"/>
            </a:rPr>
            <a:t>워크시트 찾아가기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0</xdr:colOff>
      <xdr:row>3</xdr:row>
      <xdr:rowOff>0</xdr:rowOff>
    </xdr:to>
    <xdr:sp macro="[0]!SetFontAllSheets_시트보호제외" textlink="">
      <xdr:nvSpPr>
        <xdr:cNvPr id="4" name="btnFontWorkbook"/>
        <xdr:cNvSpPr/>
      </xdr:nvSpPr>
      <xdr:spPr>
        <a:xfrm>
          <a:off x="11899900" y="0"/>
          <a:ext cx="1263650" cy="6477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Font/Size </a:t>
          </a:r>
          <a:r>
            <a:rPr lang="ko-KR" altLang="en-US" sz="1000" b="1">
              <a:latin typeface="Times New Roman" panose="02020603050405020304" pitchFamily="18" charset="0"/>
            </a:rPr>
            <a:t>설정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AddGotoNaviBoxToAllSheets" textlink="">
      <xdr:nvSpPr>
        <xdr:cNvPr id="5" name="btnCreateWorksheet"/>
        <xdr:cNvSpPr/>
      </xdr:nvSpPr>
      <xdr:spPr>
        <a:xfrm>
          <a:off x="9258300" y="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ws(A1)</a:t>
          </a:r>
          <a:r>
            <a:rPr lang="ko-KR" altLang="en-US" sz="1000" b="1">
              <a:latin typeface="Times New Roman" panose="02020603050405020304" pitchFamily="18" charset="0"/>
            </a:rPr>
            <a:t>에 </a:t>
          </a:r>
          <a:r>
            <a:rPr lang="en-US" altLang="ko-KR" sz="1000" b="1">
              <a:latin typeface="Times New Roman" panose="02020603050405020304" pitchFamily="18" charset="0"/>
            </a:rPr>
            <a:t>Goto wsList </a:t>
          </a:r>
          <a:r>
            <a:rPr lang="ko-KR" altLang="en-US" sz="1000" b="1">
              <a:latin typeface="Times New Roman" panose="02020603050405020304" pitchFamily="18" charset="0"/>
            </a:rPr>
            <a:t>함수 버튼 추가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10</xdr:col>
      <xdr:colOff>0</xdr:colOff>
      <xdr:row>2</xdr:row>
      <xdr:rowOff>0</xdr:rowOff>
    </xdr:to>
    <xdr:sp macro="[0]!FixOnAction_AllSheets" textlink="">
      <xdr:nvSpPr>
        <xdr:cNvPr id="6" name="btnModOnAction"/>
        <xdr:cNvSpPr/>
      </xdr:nvSpPr>
      <xdr:spPr>
        <a:xfrm>
          <a:off x="9258300" y="21590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onAction </a:t>
          </a:r>
          <a:r>
            <a:rPr lang="ko-KR" altLang="en-US" sz="1000" b="1">
              <a:latin typeface="Times New Roman" panose="02020603050405020304" pitchFamily="18" charset="0"/>
            </a:rPr>
            <a:t>함수명을 현재 파일에 연결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3</xdr:row>
      <xdr:rowOff>0</xdr:rowOff>
    </xdr:to>
    <xdr:sp macro="[0]!MacroDispatcher" textlink="">
      <xdr:nvSpPr>
        <xdr:cNvPr id="7" name="Preliminary"/>
        <xdr:cNvSpPr/>
      </xdr:nvSpPr>
      <xdr:spPr>
        <a:xfrm>
          <a:off x="9258300" y="43180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Times New Roman" panose="02020603050405020304" pitchFamily="18" charset="0"/>
            </a:rPr>
            <a:t>목록에서 선택한 함수를 실행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createWsList" textlink="">
      <xdr:nvSpPr>
        <xdr:cNvPr id="2" name="직사각형 1"/>
        <xdr:cNvSpPr/>
      </xdr:nvSpPr>
      <xdr:spPr>
        <a:xfrm>
          <a:off x="660400" y="203200"/>
          <a:ext cx="2647950" cy="2032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(</a:t>
          </a:r>
          <a:r>
            <a:rPr lang="ko-KR" altLang="en-US" sz="1100" b="1"/>
            <a:t>암호 해제 상태</a:t>
          </a:r>
          <a:r>
            <a:rPr lang="en-US" altLang="ko-KR" sz="1100" b="1"/>
            <a:t>) </a:t>
          </a:r>
          <a:r>
            <a:rPr lang="ko-KR" altLang="en-US" sz="1100" b="1"/>
            <a:t>워크시트 목록 만들기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wsProtect_Execute" textlink="">
      <xdr:nvSpPr>
        <xdr:cNvPr id="3" name="직사각형 2"/>
        <xdr:cNvSpPr/>
      </xdr:nvSpPr>
      <xdr:spPr>
        <a:xfrm>
          <a:off x="3308350" y="203200"/>
          <a:ext cx="2501900" cy="2032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워크시트 암호 설정</a:t>
          </a:r>
          <a:r>
            <a:rPr lang="en-US" altLang="ko-KR" sz="1100" b="1"/>
            <a:t>/</a:t>
          </a:r>
          <a:r>
            <a:rPr lang="ko-KR" altLang="en-US" sz="1100" b="1"/>
            <a:t>해제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4" name="btnGotoNavi"/>
        <xdr:cNvSpPr txBox="1"/>
      </xdr:nvSpPr>
      <xdr:spPr>
        <a:xfrm>
          <a:off x="0" y="0"/>
          <a:ext cx="660400" cy="2032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6096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RunTaskExport" textlink="">
      <xdr:nvSpPr>
        <xdr:cNvPr id="2" name="직사각형 1"/>
        <xdr:cNvSpPr/>
      </xdr:nvSpPr>
      <xdr:spPr>
        <a:xfrm>
          <a:off x="5842000" y="0"/>
          <a:ext cx="4705350" cy="1841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선택 태스크</a:t>
          </a:r>
          <a:r>
            <a:rPr lang="ko-KR" altLang="en-US" sz="1000" b="1" baseline="0"/>
            <a:t> 전용 자료</a:t>
          </a:r>
          <a:r>
            <a:rPr lang="en-US" altLang="ko-KR" sz="1000" b="1" baseline="0"/>
            <a:t>(</a:t>
          </a:r>
          <a:r>
            <a:rPr lang="ko-KR" altLang="en-US" sz="1000" b="1" baseline="0"/>
            <a:t>파일</a:t>
          </a:r>
          <a:r>
            <a:rPr lang="en-US" altLang="ko-KR" sz="1000" b="1" baseline="0"/>
            <a:t>) </a:t>
          </a:r>
          <a:r>
            <a:rPr lang="ko-KR" altLang="en-US" sz="1000" b="1" baseline="0"/>
            <a:t>생성</a:t>
          </a:r>
          <a:endParaRPr lang="ko-KR" altLang="en-US" sz="1000" b="1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CreateTaskTemplates" textlink="">
      <xdr:nvSpPr>
        <xdr:cNvPr id="4" name="직사각형 3"/>
        <xdr:cNvSpPr/>
      </xdr:nvSpPr>
      <xdr:spPr>
        <a:xfrm>
          <a:off x="12376150" y="184150"/>
          <a:ext cx="2438400" cy="1841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태스크 파일</a:t>
          </a:r>
          <a:r>
            <a:rPr lang="en-US" altLang="ko-KR" sz="1000" b="1"/>
            <a:t>(xlsm) </a:t>
          </a:r>
          <a:r>
            <a:rPr lang="ko-KR" altLang="en-US" sz="1000" b="1"/>
            <a:t>최초 생성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Goto_wsList" textlink="">
      <xdr:nvSpPr>
        <xdr:cNvPr id="6" name="btnGotoNavi"/>
        <xdr:cNvSpPr txBox="1"/>
      </xdr:nvSpPr>
      <xdr:spPr>
        <a:xfrm>
          <a:off x="0" y="0"/>
          <a:ext cx="17145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</xdr:row>
      <xdr:rowOff>0</xdr:rowOff>
    </xdr:to>
    <xdr:sp macro="[0]!InitTaskConfig" textlink="">
      <xdr:nvSpPr>
        <xdr:cNvPr id="7" name="직사각형 6"/>
        <xdr:cNvSpPr/>
      </xdr:nvSpPr>
      <xdr:spPr>
        <a:xfrm>
          <a:off x="12706350" y="0"/>
          <a:ext cx="2438400" cy="1841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/>
            <a:t>TaskConfig</a:t>
          </a:r>
          <a:r>
            <a:rPr lang="en-US" altLang="ko-KR" sz="1000" b="1" baseline="0"/>
            <a:t> </a:t>
          </a:r>
          <a:r>
            <a:rPr lang="ko-KR" altLang="en-US" sz="1000" b="1" baseline="0"/>
            <a:t>시트 최초 생성 또는 업데이트</a:t>
          </a:r>
          <a:endParaRPr lang="ko-KR" altLang="en-US" sz="1000" b="1"/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RunIntegrityCheck" textlink="">
      <xdr:nvSpPr>
        <xdr:cNvPr id="9" name="직사각형 8"/>
        <xdr:cNvSpPr/>
      </xdr:nvSpPr>
      <xdr:spPr>
        <a:xfrm>
          <a:off x="3721100" y="0"/>
          <a:ext cx="2120900" cy="18415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무결성</a:t>
          </a:r>
          <a:r>
            <a:rPr lang="en-US" altLang="ko-KR" sz="1000" b="1"/>
            <a:t>(</a:t>
          </a:r>
          <a:r>
            <a:rPr lang="ko-KR" altLang="en-US" sz="1000" b="1"/>
            <a:t>시트간 불일치</a:t>
          </a:r>
          <a:r>
            <a:rPr lang="en-US" altLang="ko-KR" sz="1000" b="1"/>
            <a:t>) </a:t>
          </a:r>
          <a:r>
            <a:rPr lang="ko-KR" altLang="en-US" sz="1000" b="1"/>
            <a:t>셀프 진단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[0]!Goto_wsIntegrityAuditResult" textlink="">
      <xdr:nvSpPr>
        <xdr:cNvPr id="8" name="btnGotoNavi"/>
        <xdr:cNvSpPr txBox="1"/>
      </xdr:nvSpPr>
      <xdr:spPr>
        <a:xfrm>
          <a:off x="0" y="184150"/>
          <a:ext cx="17145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IntegrityAuditResult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6764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RegisterNewFunctionsFromTemplate" textlink="">
      <xdr:nvSpPr>
        <xdr:cNvPr id="3" name="직사각형 2"/>
        <xdr:cNvSpPr/>
      </xdr:nvSpPr>
      <xdr:spPr>
        <a:xfrm>
          <a:off x="3352800" y="0"/>
          <a:ext cx="2025650" cy="1841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함수 등록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[0]!Goto_ws인스턴스_통합" textlink="">
      <xdr:nvSpPr>
        <xdr:cNvPr id="4" name="btnGotoNavi"/>
        <xdr:cNvSpPr txBox="1"/>
      </xdr:nvSpPr>
      <xdr:spPr>
        <a:xfrm>
          <a:off x="0" y="184150"/>
          <a:ext cx="16764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</a:t>
          </a:r>
          <a:r>
            <a:rPr lang="ko-KR" altLang="en-US" sz="1000">
              <a:latin typeface="나눔고딕" panose="020D0604000000000000" pitchFamily="50" charset="-127"/>
            </a:rPr>
            <a:t>인스턴스</a:t>
          </a:r>
          <a:r>
            <a:rPr lang="en-US" altLang="ko-KR" sz="1000">
              <a:latin typeface="나눔고딕" panose="020D0604000000000000" pitchFamily="50" charset="-127"/>
            </a:rPr>
            <a:t>_</a:t>
          </a:r>
          <a:r>
            <a:rPr lang="ko-KR" altLang="en-US" sz="1000">
              <a:latin typeface="나눔고딕" panose="020D0604000000000000" pitchFamily="50" charset="-127"/>
            </a:rPr>
            <a:t>통합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6764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6764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6764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1676400" cy="1905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[0]!Goto_wsSSoT" textlink="">
      <xdr:nvSpPr>
        <xdr:cNvPr id="3" name="btnGotoNavi"/>
        <xdr:cNvSpPr txBox="1"/>
      </xdr:nvSpPr>
      <xdr:spPr>
        <a:xfrm>
          <a:off x="0" y="190500"/>
          <a:ext cx="16764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SSoT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7</xdr:col>
      <xdr:colOff>0</xdr:colOff>
      <xdr:row>2</xdr:row>
      <xdr:rowOff>0</xdr:rowOff>
    </xdr:to>
    <xdr:sp macro="[0]!Export_Data_To_SCM_Template" textlink="">
      <xdr:nvSpPr>
        <xdr:cNvPr id="4" name="직사각형 3"/>
        <xdr:cNvSpPr/>
      </xdr:nvSpPr>
      <xdr:spPr>
        <a:xfrm>
          <a:off x="4610100" y="0"/>
          <a:ext cx="3213100" cy="37465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나눔고딕" panose="020D0604000000000000" pitchFamily="50" charset="-127"/>
              <a:ea typeface="나눔고딕" panose="020D0604000000000000" pitchFamily="50" charset="-127"/>
            </a:rPr>
            <a:t>SCM </a:t>
          </a:r>
          <a:r>
            <a:rPr lang="ko-KR" altLang="en-US" sz="1100" b="1">
              <a:latin typeface="나눔고딕" panose="020D0604000000000000" pitchFamily="50" charset="-127"/>
              <a:ea typeface="나눔고딕" panose="020D0604000000000000" pitchFamily="50" charset="-127"/>
            </a:rPr>
            <a:t>파일로 형상관리 데이터</a:t>
          </a:r>
          <a:r>
            <a:rPr lang="en-US" altLang="ko-KR" sz="1100" b="1">
              <a:latin typeface="나눔고딕" panose="020D0604000000000000" pitchFamily="50" charset="-127"/>
              <a:ea typeface="나눔고딕" panose="020D0604000000000000" pitchFamily="50" charset="-127"/>
            </a:rPr>
            <a:t>(</a:t>
          </a:r>
          <a:r>
            <a:rPr lang="ko-KR" altLang="en-US" sz="1100" b="1">
              <a:latin typeface="나눔고딕" panose="020D0604000000000000" pitchFamily="50" charset="-127"/>
              <a:ea typeface="나눔고딕" panose="020D0604000000000000" pitchFamily="50" charset="-127"/>
            </a:rPr>
            <a:t>스냅샷</a:t>
          </a:r>
          <a:r>
            <a:rPr lang="en-US" altLang="ko-KR" sz="1100" b="1"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  <a:r>
            <a:rPr lang="ko-KR" altLang="en-US" sz="1100" b="1">
              <a:latin typeface="나눔고딕" panose="020D0604000000000000" pitchFamily="50" charset="-127"/>
              <a:ea typeface="나눔고딕" panose="020D0604000000000000" pitchFamily="50" charset="-127"/>
            </a:rPr>
            <a:t>를 이동하기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16764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7</xdr:col>
      <xdr:colOff>0</xdr:colOff>
      <xdr:row>2</xdr:row>
      <xdr:rowOff>0</xdr:rowOff>
    </xdr:to>
    <xdr:sp macro="[0]!Export_Data_To_SCM_Template" textlink="">
      <xdr:nvSpPr>
        <xdr:cNvPr id="4" name="직사각형 3"/>
        <xdr:cNvSpPr/>
      </xdr:nvSpPr>
      <xdr:spPr>
        <a:xfrm>
          <a:off x="4610100" y="0"/>
          <a:ext cx="3213100" cy="36830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나눔고딕" panose="020D0604000000000000" pitchFamily="50" charset="-127"/>
              <a:ea typeface="나눔고딕" panose="020D0604000000000000" pitchFamily="50" charset="-127"/>
            </a:rPr>
            <a:t>SCM </a:t>
          </a:r>
          <a:r>
            <a:rPr lang="ko-KR" altLang="en-US" sz="1100" b="1">
              <a:latin typeface="나눔고딕" panose="020D0604000000000000" pitchFamily="50" charset="-127"/>
              <a:ea typeface="나눔고딕" panose="020D0604000000000000" pitchFamily="50" charset="-127"/>
            </a:rPr>
            <a:t>파일로 형상관리 데이터</a:t>
          </a:r>
          <a:r>
            <a:rPr lang="en-US" altLang="ko-KR" sz="1100" b="1">
              <a:latin typeface="나눔고딕" panose="020D0604000000000000" pitchFamily="50" charset="-127"/>
              <a:ea typeface="나눔고딕" panose="020D0604000000000000" pitchFamily="50" charset="-127"/>
            </a:rPr>
            <a:t>(</a:t>
          </a:r>
          <a:r>
            <a:rPr lang="ko-KR" altLang="en-US" sz="1100" b="1">
              <a:latin typeface="나눔고딕" panose="020D0604000000000000" pitchFamily="50" charset="-127"/>
              <a:ea typeface="나눔고딕" panose="020D0604000000000000" pitchFamily="50" charset="-127"/>
            </a:rPr>
            <a:t>스냅샷</a:t>
          </a:r>
          <a:r>
            <a:rPr lang="en-US" altLang="ko-KR" sz="1100" b="1"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  <a:r>
            <a:rPr lang="ko-KR" altLang="en-US" sz="1100" b="1">
              <a:latin typeface="나눔고딕" panose="020D0604000000000000" pitchFamily="50" charset="-127"/>
              <a:ea typeface="나눔고딕" panose="020D0604000000000000" pitchFamily="50" charset="-127"/>
            </a:rPr>
            <a:t>를 이동하기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[0]!Goto_wsSSoT" textlink="">
      <xdr:nvSpPr>
        <xdr:cNvPr id="6" name="btnGotoNavi"/>
        <xdr:cNvSpPr txBox="1"/>
      </xdr:nvSpPr>
      <xdr:spPr>
        <a:xfrm>
          <a:off x="0" y="190500"/>
          <a:ext cx="16764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SSoT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6764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6764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1176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6764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1176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2573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2573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3970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2573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5367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6096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6096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GoToViolationCell" textlink="">
      <xdr:nvSpPr>
        <xdr:cNvPr id="2" name="직사각형 1"/>
        <xdr:cNvSpPr/>
      </xdr:nvSpPr>
      <xdr:spPr>
        <a:xfrm>
          <a:off x="1352550" y="0"/>
          <a:ext cx="1981200" cy="18415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진단결과 찾아가기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[0]!RemoveViolationNotes" textlink="">
      <xdr:nvSpPr>
        <xdr:cNvPr id="3" name="직사각형 2"/>
        <xdr:cNvSpPr/>
      </xdr:nvSpPr>
      <xdr:spPr>
        <a:xfrm>
          <a:off x="4679950" y="0"/>
          <a:ext cx="8845550" cy="1841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진단 내용 초기화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Goto_wsList" textlink="">
      <xdr:nvSpPr>
        <xdr:cNvPr id="4" name="btnGotoNavi"/>
        <xdr:cNvSpPr txBox="1"/>
      </xdr:nvSpPr>
      <xdr:spPr>
        <a:xfrm>
          <a:off x="0" y="0"/>
          <a:ext cx="135255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ShowDescription_RuleKeyword" textlink="">
      <xdr:nvSpPr>
        <xdr:cNvPr id="5" name="직사각형 4"/>
        <xdr:cNvSpPr/>
      </xdr:nvSpPr>
      <xdr:spPr>
        <a:xfrm>
          <a:off x="3333750" y="0"/>
          <a:ext cx="2438400" cy="18415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A:C</a:t>
          </a:r>
          <a:r>
            <a:rPr lang="en-US" altLang="ko-KR" sz="1100" baseline="0"/>
            <a:t> column</a:t>
          </a:r>
          <a:r>
            <a:rPr lang="ko-KR" altLang="en-US" sz="1100" baseline="0"/>
            <a:t>의 </a:t>
          </a:r>
          <a:r>
            <a:rPr lang="en-US" altLang="ko-KR" sz="1100"/>
            <a:t>Rule</a:t>
          </a:r>
          <a:r>
            <a:rPr lang="en-US" altLang="ko-KR" sz="1100" baseline="0"/>
            <a:t> keyword </a:t>
          </a:r>
          <a:r>
            <a:rPr lang="ko-KR" altLang="en-US" sz="1100" baseline="0"/>
            <a:t>확인하기</a:t>
          </a:r>
          <a:endParaRPr lang="ko-KR" altLang="en-US" sz="1100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RemoveSearchTextBox_Execute" textlink="">
      <xdr:nvSpPr>
        <xdr:cNvPr id="7" name="직사각형 6"/>
        <xdr:cNvSpPr/>
      </xdr:nvSpPr>
      <xdr:spPr>
        <a:xfrm>
          <a:off x="3333750" y="184150"/>
          <a:ext cx="2438400" cy="1841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Rule</a:t>
          </a:r>
          <a:r>
            <a:rPr lang="en-US" altLang="ko-KR" sz="1100" baseline="0"/>
            <a:t> keyword </a:t>
          </a:r>
          <a:r>
            <a:rPr lang="ko-KR" altLang="en-US" sz="1100" baseline="0"/>
            <a:t>확인 결과 지우기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[0]!Goto_wsTaskConfig" textlink="">
      <xdr:nvSpPr>
        <xdr:cNvPr id="9" name="btnGotoNavi"/>
        <xdr:cNvSpPr txBox="1"/>
      </xdr:nvSpPr>
      <xdr:spPr>
        <a:xfrm>
          <a:off x="0" y="184150"/>
          <a:ext cx="135255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TaskConfig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8161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0</xdr:colOff>
      <xdr:row>2</xdr:row>
      <xdr:rowOff>0</xdr:rowOff>
    </xdr:to>
    <xdr:sp macro="[0]!SetupReleaseDashboard" textlink="">
      <xdr:nvSpPr>
        <xdr:cNvPr id="3" name="직사각형 2"/>
        <xdr:cNvSpPr/>
      </xdr:nvSpPr>
      <xdr:spPr>
        <a:xfrm>
          <a:off x="1816100" y="0"/>
          <a:ext cx="2933700" cy="368300"/>
        </a:xfrm>
        <a:prstGeom prst="rect">
          <a:avLst/>
        </a:prstGeom>
        <a:solidFill>
          <a:schemeClr val="accent6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나눔고딕" panose="020D0604000000000000" pitchFamily="50" charset="-127"/>
              <a:ea typeface="나눔고딕" panose="020D0604000000000000" pitchFamily="50" charset="-127"/>
            </a:rPr>
            <a:t>SW </a:t>
          </a:r>
          <a:r>
            <a:rPr lang="ko-KR" altLang="en-US" sz="1100" b="1">
              <a:latin typeface="나눔고딕" panose="020D0604000000000000" pitchFamily="50" charset="-127"/>
              <a:ea typeface="나눔고딕" panose="020D0604000000000000" pitchFamily="50" charset="-127"/>
            </a:rPr>
            <a:t>배포 전</a:t>
          </a:r>
          <a:r>
            <a:rPr lang="en-US" altLang="ko-KR" sz="1100" b="1">
              <a:latin typeface="나눔고딕" panose="020D0604000000000000" pitchFamily="50" charset="-127"/>
              <a:ea typeface="나눔고딕" panose="020D0604000000000000" pitchFamily="50" charset="-127"/>
            </a:rPr>
            <a:t>, </a:t>
          </a:r>
          <a:r>
            <a:rPr lang="ko-KR" altLang="en-US" sz="1100" b="1">
              <a:latin typeface="나눔고딕" panose="020D0604000000000000" pitchFamily="50" charset="-127"/>
              <a:ea typeface="나눔고딕" panose="020D0604000000000000" pitchFamily="50" charset="-127"/>
            </a:rPr>
            <a:t>릴리즈 준비 상태</a:t>
          </a:r>
          <a:r>
            <a:rPr lang="ko-KR" altLang="en-US" sz="1100" b="1" baseline="0">
              <a:latin typeface="나눔고딕" panose="020D0604000000000000" pitchFamily="50" charset="-127"/>
              <a:ea typeface="나눔고딕" panose="020D0604000000000000" pitchFamily="50" charset="-127"/>
            </a:rPr>
            <a:t> 점검하기                                      </a:t>
          </a:r>
          <a:endParaRPr lang="ko-KR" altLang="en-US" sz="1100" b="1"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2</xdr:row>
      <xdr:rowOff>0</xdr:rowOff>
    </xdr:to>
    <xdr:sp macro="[0]!Run_Pipeline_And_Generate_ReleaseNote" textlink="">
      <xdr:nvSpPr>
        <xdr:cNvPr id="4" name="직사각형 3"/>
        <xdr:cNvSpPr/>
      </xdr:nvSpPr>
      <xdr:spPr>
        <a:xfrm>
          <a:off x="4749800" y="0"/>
          <a:ext cx="2622550" cy="368300"/>
        </a:xfrm>
        <a:prstGeom prst="rect">
          <a:avLst/>
        </a:prstGeom>
        <a:solidFill>
          <a:srgbClr val="00B050"/>
        </a:solidFill>
        <a:ln w="3175"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나눔고딕" panose="020D0604000000000000" pitchFamily="50" charset="-127"/>
              <a:ea typeface="나눔고딕" panose="020D0604000000000000" pitchFamily="50" charset="-127"/>
            </a:rPr>
            <a:t>릴리즈 노트 작성하기</a:t>
          </a:r>
          <a:r>
            <a:rPr lang="ko-KR" altLang="en-US" sz="1100" b="1" baseline="0">
              <a:latin typeface="나눔고딕" panose="020D0604000000000000" pitchFamily="50" charset="-127"/>
              <a:ea typeface="나눔고딕" panose="020D0604000000000000" pitchFamily="50" charset="-127"/>
            </a:rPr>
            <a:t>                             </a:t>
          </a:r>
          <a:endParaRPr lang="ko-KR" altLang="en-US" sz="1100" b="1"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Finalize_Release_And_Inject_Hash" textlink="">
      <xdr:nvSpPr>
        <xdr:cNvPr id="5" name="직사각형 4"/>
        <xdr:cNvSpPr/>
      </xdr:nvSpPr>
      <xdr:spPr>
        <a:xfrm>
          <a:off x="7372350" y="0"/>
          <a:ext cx="2413000" cy="368300"/>
        </a:xfrm>
        <a:prstGeom prst="rect">
          <a:avLst/>
        </a:prstGeom>
        <a:solidFill>
          <a:srgbClr val="00B050"/>
        </a:solidFill>
        <a:ln w="3175"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나눔고딕" panose="020D0604000000000000" pitchFamily="50" charset="-127"/>
              <a:ea typeface="나눔고딕" panose="020D0604000000000000" pitchFamily="50" charset="-127"/>
            </a:rPr>
            <a:t>릴리즈 자료 생성 </a:t>
          </a:r>
          <a:r>
            <a:rPr lang="en-US" altLang="ko-KR" sz="1100" b="1">
              <a:latin typeface="나눔고딕" panose="020D0604000000000000" pitchFamily="50" charset="-127"/>
              <a:ea typeface="나눔고딕" panose="020D0604000000000000" pitchFamily="50" charset="-127"/>
            </a:rPr>
            <a:t>(</a:t>
          </a:r>
          <a:r>
            <a:rPr lang="ko-KR" altLang="en-US" sz="1100" b="1">
              <a:latin typeface="나눔고딕" panose="020D0604000000000000" pitchFamily="50" charset="-127"/>
              <a:ea typeface="나눔고딕" panose="020D0604000000000000" pitchFamily="50" charset="-127"/>
            </a:rPr>
            <a:t>해시 계산 및 주입</a:t>
          </a:r>
          <a:r>
            <a:rPr lang="en-US" altLang="ko-KR" sz="1100" b="1"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  <a:endParaRPr lang="ko-KR" altLang="en-US" sz="1100" b="1"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CreateReleaseNoteEmail_Execute" textlink="">
      <xdr:nvSpPr>
        <xdr:cNvPr id="6" name="직사각형 5"/>
        <xdr:cNvSpPr/>
      </xdr:nvSpPr>
      <xdr:spPr>
        <a:xfrm>
          <a:off x="7372350" y="368300"/>
          <a:ext cx="2413000" cy="635000"/>
        </a:xfrm>
        <a:prstGeom prst="rect">
          <a:avLst/>
        </a:prstGeom>
        <a:solidFill>
          <a:srgbClr val="00B050"/>
        </a:solidFill>
        <a:ln w="3175"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00" b="1">
              <a:latin typeface="나눔고딕" panose="020D0604000000000000" pitchFamily="50" charset="-127"/>
              <a:ea typeface="나눔고딕" panose="020D0604000000000000" pitchFamily="50" charset="-127"/>
            </a:rPr>
            <a:t>(</a:t>
          </a:r>
          <a:r>
            <a:rPr lang="ko-KR" altLang="en-US" sz="800" b="1">
              <a:latin typeface="나눔고딕" panose="020D0604000000000000" pitchFamily="50" charset="-127"/>
              <a:ea typeface="나눔고딕" panose="020D0604000000000000" pitchFamily="50" charset="-127"/>
            </a:rPr>
            <a:t>상기 함수버튼 미동작시</a:t>
          </a:r>
          <a:r>
            <a:rPr lang="en-US" altLang="ko-KR" sz="800" b="1"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  <a:endParaRPr lang="en-US" altLang="ko-KR" sz="700" b="1"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ctr"/>
          <a:r>
            <a:rPr lang="ko-KR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릴리즈 노트 발송 </a:t>
          </a:r>
          <a:r>
            <a:rPr lang="ko-KR" altLang="ko-K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메일만 </a:t>
          </a:r>
          <a:r>
            <a:rPr lang="ko-KR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작성</a:t>
          </a:r>
          <a:r>
            <a:rPr lang="ko-KR" altLang="ko-K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ko-KR" altLang="en-US" sz="800" b="1"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8161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2</xdr:row>
      <xdr:rowOff>0</xdr:rowOff>
    </xdr:to>
    <xdr:sp macro="[0]!RefreshReuseIndex" textlink="">
      <xdr:nvSpPr>
        <xdr:cNvPr id="3" name="직사각형 2"/>
        <xdr:cNvSpPr/>
      </xdr:nvSpPr>
      <xdr:spPr>
        <a:xfrm>
          <a:off x="1816100" y="0"/>
          <a:ext cx="2794000" cy="3683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SW </a:t>
          </a:r>
          <a:r>
            <a:rPr lang="ko-KR" altLang="en-US" sz="1100" b="1"/>
            <a:t>재사용 현황 최신화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LogReuseAudit" textlink="">
      <xdr:nvSpPr>
        <xdr:cNvPr id="4" name="직사각형 3"/>
        <xdr:cNvSpPr/>
      </xdr:nvSpPr>
      <xdr:spPr>
        <a:xfrm>
          <a:off x="4610100" y="0"/>
          <a:ext cx="2794000" cy="36830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SW </a:t>
          </a:r>
          <a:r>
            <a:rPr lang="ko-KR" altLang="en-US" sz="1100" b="1"/>
            <a:t>재사용 자가 진단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[0]!Goto_wsREU2_재사용심사이력" textlink="">
      <xdr:nvSpPr>
        <xdr:cNvPr id="5" name="btnGotoNavi"/>
        <xdr:cNvSpPr txBox="1"/>
      </xdr:nvSpPr>
      <xdr:spPr>
        <a:xfrm>
          <a:off x="0" y="184150"/>
          <a:ext cx="18161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REU2_</a:t>
          </a:r>
          <a:r>
            <a:rPr lang="ko-KR" altLang="en-US" sz="1000">
              <a:latin typeface="나눔고딕" panose="020D0604000000000000" pitchFamily="50" charset="-127"/>
            </a:rPr>
            <a:t>재사용심사이력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3970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6764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8382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2573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8382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2573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[0]!Goto_wsSW재사용지표관리" textlink="">
      <xdr:nvSpPr>
        <xdr:cNvPr id="3" name="btnGotoNavi"/>
        <xdr:cNvSpPr txBox="1"/>
      </xdr:nvSpPr>
      <xdr:spPr>
        <a:xfrm>
          <a:off x="0" y="184150"/>
          <a:ext cx="12573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rIns="0" rtlCol="0" anchor="ctr"/>
        <a:lstStyle/>
        <a:p>
          <a:pPr algn="ctr"/>
          <a:r>
            <a:rPr lang="en-US" altLang="ko-KR" sz="800">
              <a:latin typeface="나눔고딕" panose="020D0604000000000000" pitchFamily="50" charset="-127"/>
            </a:rPr>
            <a:t>Goto SW</a:t>
          </a:r>
          <a:r>
            <a:rPr lang="ko-KR" altLang="en-US" sz="800">
              <a:latin typeface="나눔고딕" panose="020D0604000000000000" pitchFamily="50" charset="-127"/>
            </a:rPr>
            <a:t>재사용지표관리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1176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15367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6096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2" name="btnGotoNavi"/>
        <xdr:cNvSpPr txBox="1"/>
      </xdr:nvSpPr>
      <xdr:spPr>
        <a:xfrm>
          <a:off x="0" y="0"/>
          <a:ext cx="609600" cy="1841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>
    <a:spDef>
      <a:spPr>
        <a:solidFill>
          <a:schemeClr val="accent6">
            <a:lumMod val="75000"/>
          </a:schemeClr>
        </a:solidFill>
      </a:spPr>
      <a:bodyPr vertOverflow="clip" horzOverflow="clip" rtlCol="0" anchor="ctr"/>
      <a:lstStyle>
        <a:defPPr algn="ctr">
          <a:defRPr sz="1100" b="1">
            <a:latin typeface="나눔고딕" panose="020D0604000000000000" pitchFamily="50" charset="-127"/>
            <a:ea typeface="나눔고딕" panose="020D0604000000000000" pitchFamily="50" charset="-127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B1:F995"/>
  <sheetViews>
    <sheetView showGridLines="0" workbookViewId="0"/>
  </sheetViews>
  <sheetFormatPr defaultRowHeight="14.5" x14ac:dyDescent="0.35"/>
  <cols>
    <col min="1" max="1" width="8.7265625" style="117"/>
    <col min="2" max="2" width="28.08984375" style="117" customWidth="1"/>
    <col min="3" max="3" width="30.6328125" style="117" customWidth="1"/>
    <col min="4" max="4" width="40.6328125" style="117" customWidth="1"/>
    <col min="5" max="5" width="44.6328125" style="118" customWidth="1"/>
    <col min="6" max="6" width="46.36328125" style="118" bestFit="1" customWidth="1"/>
    <col min="7" max="16384" width="8.7265625" style="117"/>
  </cols>
  <sheetData>
    <row r="1" spans="2:6" x14ac:dyDescent="0.35">
      <c r="B1" s="164" t="s">
        <v>994</v>
      </c>
      <c r="C1" s="164"/>
      <c r="D1" s="164"/>
      <c r="E1" s="164"/>
      <c r="F1" s="120"/>
    </row>
    <row r="2" spans="2:6" x14ac:dyDescent="0.35">
      <c r="B2" s="121"/>
      <c r="C2" s="121"/>
      <c r="D2" s="121"/>
      <c r="E2" s="120"/>
      <c r="F2" s="120"/>
    </row>
    <row r="3" spans="2:6" x14ac:dyDescent="0.35">
      <c r="B3" s="165" t="s">
        <v>995</v>
      </c>
      <c r="C3" s="165"/>
      <c r="D3" s="165"/>
      <c r="E3" s="165"/>
      <c r="F3" s="120"/>
    </row>
    <row r="4" spans="2:6" x14ac:dyDescent="0.35">
      <c r="B4" s="131" t="s">
        <v>823</v>
      </c>
      <c r="C4" s="131" t="s">
        <v>824</v>
      </c>
      <c r="D4" s="132" t="s">
        <v>825</v>
      </c>
      <c r="E4" s="133" t="s">
        <v>826</v>
      </c>
      <c r="F4" s="122"/>
    </row>
    <row r="5" spans="2:6" ht="26" x14ac:dyDescent="0.35">
      <c r="B5" s="127" t="s">
        <v>827</v>
      </c>
      <c r="C5" s="128" t="s">
        <v>828</v>
      </c>
      <c r="D5" s="129" t="s">
        <v>829</v>
      </c>
      <c r="E5" s="127" t="s">
        <v>830</v>
      </c>
      <c r="F5" s="122"/>
    </row>
    <row r="6" spans="2:6" ht="26" x14ac:dyDescent="0.35">
      <c r="B6" s="127" t="s">
        <v>831</v>
      </c>
      <c r="C6" s="130" t="s">
        <v>832</v>
      </c>
      <c r="D6" s="130" t="s">
        <v>833</v>
      </c>
      <c r="E6" s="127" t="s">
        <v>834</v>
      </c>
      <c r="F6" s="122"/>
    </row>
    <row r="7" spans="2:6" ht="26" x14ac:dyDescent="0.35">
      <c r="B7" s="127" t="s">
        <v>835</v>
      </c>
      <c r="C7" s="128" t="s">
        <v>836</v>
      </c>
      <c r="D7" s="129" t="s">
        <v>837</v>
      </c>
      <c r="E7" s="127" t="s">
        <v>838</v>
      </c>
      <c r="F7" s="122"/>
    </row>
    <row r="8" spans="2:6" ht="26" x14ac:dyDescent="0.35">
      <c r="B8" s="127" t="s">
        <v>839</v>
      </c>
      <c r="C8" s="130" t="s">
        <v>840</v>
      </c>
      <c r="D8" s="130" t="s">
        <v>841</v>
      </c>
      <c r="E8" s="127" t="s">
        <v>842</v>
      </c>
      <c r="F8" s="122"/>
    </row>
    <row r="9" spans="2:6" ht="26" x14ac:dyDescent="0.35">
      <c r="B9" s="127" t="s">
        <v>843</v>
      </c>
      <c r="C9" s="128" t="s">
        <v>844</v>
      </c>
      <c r="D9" s="129" t="s">
        <v>845</v>
      </c>
      <c r="E9" s="127" t="s">
        <v>846</v>
      </c>
      <c r="F9" s="122"/>
    </row>
    <row r="10" spans="2:6" x14ac:dyDescent="0.35">
      <c r="B10" s="122"/>
      <c r="C10" s="122"/>
      <c r="D10" s="122"/>
      <c r="E10" s="122"/>
      <c r="F10" s="122"/>
    </row>
    <row r="11" spans="2:6" x14ac:dyDescent="0.35">
      <c r="B11" s="164" t="s">
        <v>996</v>
      </c>
      <c r="C11" s="164"/>
      <c r="D11" s="164"/>
      <c r="E11" s="164"/>
      <c r="F11" s="122"/>
    </row>
    <row r="12" spans="2:6" x14ac:dyDescent="0.35">
      <c r="B12" s="164" t="s">
        <v>997</v>
      </c>
      <c r="C12" s="164"/>
      <c r="D12" s="164"/>
      <c r="E12" s="164"/>
      <c r="F12" s="122"/>
    </row>
    <row r="13" spans="2:6" x14ac:dyDescent="0.35">
      <c r="B13" s="164" t="s">
        <v>998</v>
      </c>
      <c r="C13" s="164"/>
      <c r="D13" s="164"/>
      <c r="E13" s="164"/>
      <c r="F13" s="122"/>
    </row>
    <row r="14" spans="2:6" x14ac:dyDescent="0.35">
      <c r="B14" s="164" t="s">
        <v>999</v>
      </c>
      <c r="C14" s="164"/>
      <c r="D14" s="164"/>
      <c r="E14" s="164"/>
      <c r="F14" s="122"/>
    </row>
    <row r="15" spans="2:6" x14ac:dyDescent="0.35">
      <c r="B15" s="164" t="s">
        <v>1000</v>
      </c>
      <c r="C15" s="164"/>
      <c r="D15" s="164"/>
      <c r="E15" s="164"/>
      <c r="F15" s="122"/>
    </row>
    <row r="16" spans="2:6" x14ac:dyDescent="0.35">
      <c r="B16" s="164" t="s">
        <v>847</v>
      </c>
      <c r="C16" s="164"/>
      <c r="D16" s="164"/>
      <c r="E16" s="164"/>
      <c r="F16" s="122"/>
    </row>
    <row r="17" spans="2:6" x14ac:dyDescent="0.35">
      <c r="B17" s="122"/>
      <c r="C17" s="122"/>
      <c r="D17" s="122"/>
      <c r="E17" s="122"/>
      <c r="F17" s="122"/>
    </row>
    <row r="18" spans="2:6" x14ac:dyDescent="0.35">
      <c r="B18" s="162" t="s">
        <v>931</v>
      </c>
      <c r="C18" s="162"/>
      <c r="D18" s="162"/>
      <c r="E18" s="162"/>
      <c r="F18" s="122"/>
    </row>
    <row r="19" spans="2:6" x14ac:dyDescent="0.35">
      <c r="B19" s="161" t="s">
        <v>848</v>
      </c>
      <c r="C19" s="161"/>
      <c r="D19" s="161"/>
      <c r="E19" s="161"/>
      <c r="F19" s="161"/>
    </row>
    <row r="20" spans="2:6" x14ac:dyDescent="0.35">
      <c r="B20" s="134" t="s">
        <v>849</v>
      </c>
      <c r="C20" s="134" t="s">
        <v>850</v>
      </c>
      <c r="D20" s="134" t="s">
        <v>851</v>
      </c>
      <c r="E20" s="134" t="s">
        <v>852</v>
      </c>
      <c r="F20" s="126" t="s">
        <v>853</v>
      </c>
    </row>
    <row r="21" spans="2:6" ht="52" x14ac:dyDescent="0.35">
      <c r="B21" s="123" t="s">
        <v>854</v>
      </c>
      <c r="C21" s="123" t="s">
        <v>855</v>
      </c>
      <c r="D21" s="123" t="s">
        <v>856</v>
      </c>
      <c r="E21" s="123" t="s">
        <v>857</v>
      </c>
      <c r="F21" s="124" t="s">
        <v>807</v>
      </c>
    </row>
    <row r="22" spans="2:6" ht="65" x14ac:dyDescent="0.35">
      <c r="B22" s="123" t="s">
        <v>858</v>
      </c>
      <c r="C22" s="123" t="s">
        <v>859</v>
      </c>
      <c r="D22" s="123" t="s">
        <v>860</v>
      </c>
      <c r="E22" s="123" t="s">
        <v>1001</v>
      </c>
      <c r="F22" s="124" t="s">
        <v>806</v>
      </c>
    </row>
    <row r="23" spans="2:6" ht="78" x14ac:dyDescent="0.35">
      <c r="B23" s="123" t="s">
        <v>861</v>
      </c>
      <c r="C23" s="123" t="s">
        <v>862</v>
      </c>
      <c r="D23" s="123" t="s">
        <v>863</v>
      </c>
      <c r="E23" s="123" t="s">
        <v>864</v>
      </c>
      <c r="F23" s="124" t="s">
        <v>805</v>
      </c>
    </row>
    <row r="24" spans="2:6" ht="65" x14ac:dyDescent="0.35">
      <c r="B24" s="123" t="s">
        <v>865</v>
      </c>
      <c r="C24" s="123" t="s">
        <v>866</v>
      </c>
      <c r="D24" s="123" t="s">
        <v>867</v>
      </c>
      <c r="E24" s="123" t="s">
        <v>1002</v>
      </c>
      <c r="F24" s="124" t="s">
        <v>804</v>
      </c>
    </row>
    <row r="25" spans="2:6" ht="78" x14ac:dyDescent="0.35">
      <c r="B25" s="123" t="s">
        <v>868</v>
      </c>
      <c r="C25" s="123" t="s">
        <v>869</v>
      </c>
      <c r="D25" s="123" t="s">
        <v>870</v>
      </c>
      <c r="E25" s="123" t="s">
        <v>1003</v>
      </c>
      <c r="F25" s="124" t="s">
        <v>803</v>
      </c>
    </row>
    <row r="26" spans="2:6" x14ac:dyDescent="0.35">
      <c r="B26" s="122"/>
      <c r="C26" s="122"/>
      <c r="D26" s="122"/>
      <c r="E26" s="122"/>
      <c r="F26" s="122"/>
    </row>
    <row r="27" spans="2:6" x14ac:dyDescent="0.35">
      <c r="B27" s="163" t="s">
        <v>871</v>
      </c>
      <c r="C27" s="163"/>
      <c r="D27" s="163"/>
      <c r="E27" s="163"/>
      <c r="F27" s="122"/>
    </row>
    <row r="28" spans="2:6" x14ac:dyDescent="0.35">
      <c r="B28" s="163" t="s">
        <v>872</v>
      </c>
      <c r="C28" s="163"/>
      <c r="D28" s="163"/>
      <c r="E28" s="163"/>
      <c r="F28" s="122"/>
    </row>
    <row r="29" spans="2:6" x14ac:dyDescent="0.35">
      <c r="B29" s="163" t="s">
        <v>873</v>
      </c>
      <c r="C29" s="163"/>
      <c r="D29" s="163"/>
      <c r="E29" s="163"/>
      <c r="F29" s="122"/>
    </row>
    <row r="30" spans="2:6" x14ac:dyDescent="0.35">
      <c r="B30" s="104"/>
      <c r="C30" s="122"/>
      <c r="D30" s="122"/>
      <c r="E30" s="122"/>
      <c r="F30" s="122"/>
    </row>
    <row r="31" spans="2:6" x14ac:dyDescent="0.35">
      <c r="B31" s="162" t="s">
        <v>930</v>
      </c>
      <c r="C31" s="162"/>
      <c r="D31" s="162"/>
      <c r="E31" s="162"/>
      <c r="F31" s="122"/>
    </row>
    <row r="32" spans="2:6" x14ac:dyDescent="0.35">
      <c r="B32" s="160" t="s">
        <v>874</v>
      </c>
      <c r="C32" s="160"/>
      <c r="D32" s="160"/>
      <c r="E32" s="160"/>
      <c r="F32" s="160"/>
    </row>
    <row r="33" spans="2:6" x14ac:dyDescent="0.35">
      <c r="B33" s="125" t="s">
        <v>849</v>
      </c>
      <c r="C33" s="125" t="s">
        <v>850</v>
      </c>
      <c r="D33" s="125" t="s">
        <v>851</v>
      </c>
      <c r="E33" s="125" t="s">
        <v>852</v>
      </c>
      <c r="F33" s="125" t="s">
        <v>853</v>
      </c>
    </row>
    <row r="34" spans="2:6" ht="52" x14ac:dyDescent="0.35">
      <c r="B34" s="123" t="s">
        <v>875</v>
      </c>
      <c r="C34" s="123" t="s">
        <v>876</v>
      </c>
      <c r="D34" s="123" t="s">
        <v>877</v>
      </c>
      <c r="E34" s="123" t="s">
        <v>1004</v>
      </c>
      <c r="F34" s="123" t="s">
        <v>808</v>
      </c>
    </row>
    <row r="35" spans="2:6" ht="65" x14ac:dyDescent="0.35">
      <c r="B35" s="123" t="s">
        <v>878</v>
      </c>
      <c r="C35" s="123" t="s">
        <v>879</v>
      </c>
      <c r="D35" s="123" t="s">
        <v>880</v>
      </c>
      <c r="E35" s="123" t="s">
        <v>1005</v>
      </c>
      <c r="F35" s="123" t="s">
        <v>809</v>
      </c>
    </row>
    <row r="36" spans="2:6" ht="65" x14ac:dyDescent="0.35">
      <c r="B36" s="123" t="s">
        <v>881</v>
      </c>
      <c r="C36" s="123" t="s">
        <v>882</v>
      </c>
      <c r="D36" s="123" t="s">
        <v>883</v>
      </c>
      <c r="E36" s="123" t="s">
        <v>1006</v>
      </c>
      <c r="F36" s="123" t="s">
        <v>810</v>
      </c>
    </row>
    <row r="37" spans="2:6" ht="65" x14ac:dyDescent="0.35">
      <c r="B37" s="123" t="s">
        <v>884</v>
      </c>
      <c r="C37" s="123" t="s">
        <v>885</v>
      </c>
      <c r="D37" s="123" t="s">
        <v>886</v>
      </c>
      <c r="E37" s="123" t="s">
        <v>1007</v>
      </c>
      <c r="F37" s="123" t="s">
        <v>811</v>
      </c>
    </row>
    <row r="38" spans="2:6" ht="52" x14ac:dyDescent="0.35">
      <c r="B38" s="123" t="s">
        <v>887</v>
      </c>
      <c r="C38" s="123" t="s">
        <v>888</v>
      </c>
      <c r="D38" s="123" t="s">
        <v>889</v>
      </c>
      <c r="E38" s="123" t="s">
        <v>890</v>
      </c>
      <c r="F38" s="123" t="s">
        <v>812</v>
      </c>
    </row>
    <row r="39" spans="2:6" x14ac:dyDescent="0.35">
      <c r="B39" s="122"/>
      <c r="C39" s="122"/>
      <c r="D39" s="122"/>
      <c r="E39" s="122"/>
      <c r="F39" s="122"/>
    </row>
    <row r="40" spans="2:6" x14ac:dyDescent="0.35">
      <c r="B40" s="163" t="s">
        <v>871</v>
      </c>
      <c r="C40" s="163"/>
      <c r="D40" s="163"/>
      <c r="E40" s="163"/>
      <c r="F40" s="122"/>
    </row>
    <row r="41" spans="2:6" x14ac:dyDescent="0.35">
      <c r="B41" s="163" t="s">
        <v>872</v>
      </c>
      <c r="C41" s="163"/>
      <c r="D41" s="163"/>
      <c r="E41" s="163"/>
      <c r="F41" s="122"/>
    </row>
    <row r="42" spans="2:6" x14ac:dyDescent="0.35">
      <c r="B42" s="163" t="s">
        <v>873</v>
      </c>
      <c r="C42" s="163"/>
      <c r="D42" s="163"/>
      <c r="E42" s="163"/>
      <c r="F42" s="122"/>
    </row>
    <row r="43" spans="2:6" x14ac:dyDescent="0.35">
      <c r="B43" s="122"/>
      <c r="C43" s="122"/>
      <c r="D43" s="122"/>
      <c r="E43" s="122"/>
      <c r="F43" s="122"/>
    </row>
    <row r="44" spans="2:6" x14ac:dyDescent="0.35">
      <c r="B44" s="162" t="s">
        <v>932</v>
      </c>
      <c r="C44" s="162"/>
      <c r="D44" s="162"/>
      <c r="E44" s="162"/>
      <c r="F44" s="122"/>
    </row>
    <row r="45" spans="2:6" ht="30" customHeight="1" x14ac:dyDescent="0.35">
      <c r="B45" s="160" t="s">
        <v>891</v>
      </c>
      <c r="C45" s="160"/>
      <c r="D45" s="160"/>
      <c r="E45" s="160"/>
      <c r="F45" s="160"/>
    </row>
    <row r="46" spans="2:6" s="119" customFormat="1" x14ac:dyDescent="0.35">
      <c r="B46" s="126" t="s">
        <v>849</v>
      </c>
      <c r="C46" s="126" t="s">
        <v>850</v>
      </c>
      <c r="D46" s="126" t="s">
        <v>851</v>
      </c>
      <c r="E46" s="126" t="s">
        <v>852</v>
      </c>
      <c r="F46" s="126" t="s">
        <v>853</v>
      </c>
    </row>
    <row r="47" spans="2:6" ht="65" x14ac:dyDescent="0.35">
      <c r="B47" s="123" t="s">
        <v>892</v>
      </c>
      <c r="C47" s="123" t="s">
        <v>893</v>
      </c>
      <c r="D47" s="123" t="s">
        <v>894</v>
      </c>
      <c r="E47" s="123" t="s">
        <v>895</v>
      </c>
      <c r="F47" s="123" t="s">
        <v>813</v>
      </c>
    </row>
    <row r="48" spans="2:6" ht="65" x14ac:dyDescent="0.35">
      <c r="B48" s="123" t="s">
        <v>896</v>
      </c>
      <c r="C48" s="123" t="s">
        <v>897</v>
      </c>
      <c r="D48" s="123" t="s">
        <v>898</v>
      </c>
      <c r="E48" s="123" t="s">
        <v>899</v>
      </c>
      <c r="F48" s="123" t="s">
        <v>814</v>
      </c>
    </row>
    <row r="49" spans="2:6" ht="78" x14ac:dyDescent="0.35">
      <c r="B49" s="123" t="s">
        <v>900</v>
      </c>
      <c r="C49" s="123" t="s">
        <v>901</v>
      </c>
      <c r="D49" s="123" t="s">
        <v>902</v>
      </c>
      <c r="E49" s="123" t="s">
        <v>1008</v>
      </c>
      <c r="F49" s="123" t="s">
        <v>815</v>
      </c>
    </row>
    <row r="50" spans="2:6" ht="78" x14ac:dyDescent="0.35">
      <c r="B50" s="123" t="s">
        <v>903</v>
      </c>
      <c r="C50" s="123" t="s">
        <v>904</v>
      </c>
      <c r="D50" s="123" t="s">
        <v>905</v>
      </c>
      <c r="E50" s="123" t="s">
        <v>1009</v>
      </c>
      <c r="F50" s="123" t="s">
        <v>816</v>
      </c>
    </row>
    <row r="51" spans="2:6" ht="65" x14ac:dyDescent="0.35">
      <c r="B51" s="123" t="s">
        <v>906</v>
      </c>
      <c r="C51" s="123" t="s">
        <v>907</v>
      </c>
      <c r="D51" s="123" t="s">
        <v>908</v>
      </c>
      <c r="E51" s="123" t="s">
        <v>1010</v>
      </c>
      <c r="F51" s="123" t="s">
        <v>817</v>
      </c>
    </row>
    <row r="52" spans="2:6" x14ac:dyDescent="0.35">
      <c r="B52" s="122"/>
      <c r="C52" s="122"/>
      <c r="D52" s="122"/>
      <c r="E52" s="122"/>
      <c r="F52" s="122"/>
    </row>
    <row r="53" spans="2:6" x14ac:dyDescent="0.35">
      <c r="B53" s="159" t="s">
        <v>871</v>
      </c>
      <c r="C53" s="159"/>
      <c r="D53" s="159"/>
      <c r="E53" s="159"/>
      <c r="F53" s="159"/>
    </row>
    <row r="54" spans="2:6" x14ac:dyDescent="0.35">
      <c r="B54" s="159" t="s">
        <v>947</v>
      </c>
      <c r="C54" s="159"/>
      <c r="D54" s="159"/>
      <c r="E54" s="159"/>
      <c r="F54" s="159"/>
    </row>
    <row r="55" spans="2:6" x14ac:dyDescent="0.35">
      <c r="B55" s="159" t="s">
        <v>948</v>
      </c>
      <c r="C55" s="159"/>
      <c r="D55" s="159"/>
      <c r="E55" s="159"/>
      <c r="F55" s="159"/>
    </row>
    <row r="56" spans="2:6" x14ac:dyDescent="0.35">
      <c r="B56" s="135"/>
      <c r="C56" s="122"/>
      <c r="D56" s="122"/>
      <c r="E56" s="122"/>
      <c r="F56" s="122"/>
    </row>
    <row r="57" spans="2:6" x14ac:dyDescent="0.35">
      <c r="B57" s="162" t="s">
        <v>933</v>
      </c>
      <c r="C57" s="162"/>
      <c r="D57" s="162"/>
      <c r="E57" s="162"/>
      <c r="F57" s="122"/>
    </row>
    <row r="58" spans="2:6" ht="29.5" customHeight="1" x14ac:dyDescent="0.35">
      <c r="B58" s="160" t="s">
        <v>909</v>
      </c>
      <c r="C58" s="160"/>
      <c r="D58" s="160"/>
      <c r="E58" s="160"/>
      <c r="F58" s="160"/>
    </row>
    <row r="59" spans="2:6" x14ac:dyDescent="0.35">
      <c r="B59" s="125" t="s">
        <v>849</v>
      </c>
      <c r="C59" s="125" t="s">
        <v>850</v>
      </c>
      <c r="D59" s="125" t="s">
        <v>851</v>
      </c>
      <c r="E59" s="125" t="s">
        <v>852</v>
      </c>
      <c r="F59" s="125" t="s">
        <v>853</v>
      </c>
    </row>
    <row r="60" spans="2:6" ht="52" x14ac:dyDescent="0.35">
      <c r="B60" s="123" t="s">
        <v>910</v>
      </c>
      <c r="C60" s="123" t="s">
        <v>911</v>
      </c>
      <c r="D60" s="123" t="s">
        <v>912</v>
      </c>
      <c r="E60" s="123" t="s">
        <v>1011</v>
      </c>
      <c r="F60" s="123" t="s">
        <v>818</v>
      </c>
    </row>
    <row r="61" spans="2:6" ht="52" x14ac:dyDescent="0.35">
      <c r="B61" s="123" t="s">
        <v>913</v>
      </c>
      <c r="C61" s="123" t="s">
        <v>914</v>
      </c>
      <c r="D61" s="123" t="s">
        <v>915</v>
      </c>
      <c r="E61" s="123" t="s">
        <v>1012</v>
      </c>
      <c r="F61" s="123" t="s">
        <v>819</v>
      </c>
    </row>
    <row r="62" spans="2:6" ht="78" x14ac:dyDescent="0.35">
      <c r="B62" s="123" t="s">
        <v>916</v>
      </c>
      <c r="C62" s="123" t="s">
        <v>917</v>
      </c>
      <c r="D62" s="123" t="s">
        <v>918</v>
      </c>
      <c r="E62" s="123" t="s">
        <v>919</v>
      </c>
      <c r="F62" s="123" t="s">
        <v>820</v>
      </c>
    </row>
    <row r="63" spans="2:6" ht="52" x14ac:dyDescent="0.35">
      <c r="B63" s="123" t="s">
        <v>920</v>
      </c>
      <c r="C63" s="123" t="s">
        <v>921</v>
      </c>
      <c r="D63" s="123" t="s">
        <v>922</v>
      </c>
      <c r="E63" s="123" t="s">
        <v>1013</v>
      </c>
      <c r="F63" s="123" t="s">
        <v>821</v>
      </c>
    </row>
    <row r="64" spans="2:6" ht="52" x14ac:dyDescent="0.35">
      <c r="B64" s="123" t="s">
        <v>923</v>
      </c>
      <c r="C64" s="123" t="s">
        <v>924</v>
      </c>
      <c r="D64" s="123" t="s">
        <v>925</v>
      </c>
      <c r="E64" s="123" t="s">
        <v>926</v>
      </c>
      <c r="F64" s="123" t="s">
        <v>822</v>
      </c>
    </row>
    <row r="65" spans="2:6" x14ac:dyDescent="0.35">
      <c r="B65" s="122"/>
      <c r="C65" s="122"/>
      <c r="D65" s="122"/>
      <c r="E65" s="122"/>
      <c r="F65" s="122"/>
    </row>
    <row r="66" spans="2:6" x14ac:dyDescent="0.35">
      <c r="B66" s="159" t="s">
        <v>871</v>
      </c>
      <c r="C66" s="159"/>
      <c r="D66" s="159"/>
      <c r="E66" s="159"/>
      <c r="F66" s="122"/>
    </row>
    <row r="67" spans="2:6" x14ac:dyDescent="0.35">
      <c r="B67" s="159" t="s">
        <v>927</v>
      </c>
      <c r="C67" s="159"/>
      <c r="D67" s="159"/>
      <c r="E67" s="159"/>
      <c r="F67" s="122"/>
    </row>
    <row r="68" spans="2:6" x14ac:dyDescent="0.35">
      <c r="B68" s="159" t="s">
        <v>928</v>
      </c>
      <c r="C68" s="159"/>
      <c r="D68" s="159"/>
      <c r="E68" s="159"/>
      <c r="F68" s="122"/>
    </row>
    <row r="69" spans="2:6" x14ac:dyDescent="0.35">
      <c r="B69" s="122"/>
      <c r="C69" s="122"/>
      <c r="D69" s="122"/>
      <c r="E69" s="122"/>
      <c r="F69" s="122"/>
    </row>
    <row r="70" spans="2:6" x14ac:dyDescent="0.35">
      <c r="B70" s="104" t="s">
        <v>1014</v>
      </c>
      <c r="C70" s="122"/>
      <c r="D70" s="122"/>
      <c r="E70" s="122"/>
      <c r="F70" s="122"/>
    </row>
    <row r="71" spans="2:6" x14ac:dyDescent="0.35">
      <c r="B71" s="104" t="s">
        <v>929</v>
      </c>
      <c r="C71" s="122"/>
      <c r="D71" s="122"/>
      <c r="E71" s="122"/>
      <c r="F71" s="122"/>
    </row>
    <row r="72" spans="2:6" x14ac:dyDescent="0.35">
      <c r="B72" s="104" t="s">
        <v>1015</v>
      </c>
      <c r="C72" s="122"/>
      <c r="D72" s="122"/>
      <c r="E72" s="122"/>
      <c r="F72" s="122"/>
    </row>
    <row r="73" spans="2:6" x14ac:dyDescent="0.35">
      <c r="B73" s="104" t="s">
        <v>1016</v>
      </c>
      <c r="C73" s="122"/>
      <c r="D73" s="122"/>
      <c r="E73" s="122"/>
      <c r="F73" s="122"/>
    </row>
    <row r="74" spans="2:6" x14ac:dyDescent="0.35">
      <c r="B74" s="104" t="s">
        <v>1017</v>
      </c>
      <c r="C74" s="122"/>
      <c r="D74" s="122"/>
      <c r="E74" s="122"/>
      <c r="F74" s="122"/>
    </row>
    <row r="75" spans="2:6" x14ac:dyDescent="0.35">
      <c r="B75" s="104" t="s">
        <v>1018</v>
      </c>
      <c r="C75" s="122"/>
      <c r="D75" s="122"/>
      <c r="E75" s="122"/>
      <c r="F75" s="122"/>
    </row>
    <row r="76" spans="2:6" x14ac:dyDescent="0.35">
      <c r="B76" s="122"/>
      <c r="C76" s="122"/>
      <c r="D76" s="122"/>
      <c r="E76" s="122"/>
      <c r="F76" s="122"/>
    </row>
    <row r="77" spans="2:6" x14ac:dyDescent="0.35">
      <c r="B77" s="122"/>
      <c r="C77" s="122"/>
      <c r="D77" s="122"/>
      <c r="E77" s="122"/>
      <c r="F77" s="122"/>
    </row>
    <row r="78" spans="2:6" x14ac:dyDescent="0.35">
      <c r="B78" s="121"/>
      <c r="C78" s="122"/>
      <c r="D78" s="122"/>
      <c r="E78" s="122"/>
      <c r="F78" s="122"/>
    </row>
    <row r="79" spans="2:6" ht="15" thickBot="1" x14ac:dyDescent="0.4">
      <c r="B79" s="136" t="s">
        <v>1019</v>
      </c>
      <c r="C79" s="122"/>
      <c r="D79" s="122"/>
      <c r="E79" s="122"/>
      <c r="F79" s="122"/>
    </row>
    <row r="80" spans="2:6" ht="26.5" thickBot="1" x14ac:dyDescent="0.4">
      <c r="B80" s="139" t="s">
        <v>949</v>
      </c>
      <c r="C80" s="139" t="s">
        <v>934</v>
      </c>
      <c r="D80" s="139" t="s">
        <v>935</v>
      </c>
      <c r="E80" s="139" t="s">
        <v>950</v>
      </c>
      <c r="F80" s="122"/>
    </row>
    <row r="81" spans="2:6" ht="26.5" thickBot="1" x14ac:dyDescent="0.4">
      <c r="B81" s="137" t="s">
        <v>951</v>
      </c>
      <c r="C81" s="138" t="s">
        <v>952</v>
      </c>
      <c r="D81" s="138" t="s">
        <v>953</v>
      </c>
      <c r="E81" s="137" t="s">
        <v>1020</v>
      </c>
      <c r="F81" s="122"/>
    </row>
    <row r="82" spans="2:6" ht="26.5" thickBot="1" x14ac:dyDescent="0.4">
      <c r="B82" s="137" t="s">
        <v>954</v>
      </c>
      <c r="C82" s="138" t="s">
        <v>955</v>
      </c>
      <c r="D82" s="138" t="s">
        <v>956</v>
      </c>
      <c r="E82" s="137" t="s">
        <v>1021</v>
      </c>
      <c r="F82" s="122"/>
    </row>
    <row r="83" spans="2:6" ht="39.5" thickBot="1" x14ac:dyDescent="0.4">
      <c r="B83" s="137" t="s">
        <v>957</v>
      </c>
      <c r="C83" s="138" t="s">
        <v>958</v>
      </c>
      <c r="D83" s="138" t="s">
        <v>959</v>
      </c>
      <c r="E83" s="137" t="s">
        <v>1022</v>
      </c>
      <c r="F83" s="122"/>
    </row>
    <row r="84" spans="2:6" ht="26.5" thickBot="1" x14ac:dyDescent="0.4">
      <c r="B84" s="137" t="s">
        <v>960</v>
      </c>
      <c r="C84" s="138" t="s">
        <v>961</v>
      </c>
      <c r="D84" s="138" t="s">
        <v>962</v>
      </c>
      <c r="E84" s="137" t="s">
        <v>1023</v>
      </c>
      <c r="F84" s="122"/>
    </row>
    <row r="85" spans="2:6" ht="26.5" thickBot="1" x14ac:dyDescent="0.4">
      <c r="B85" s="137" t="s">
        <v>963</v>
      </c>
      <c r="C85" s="138" t="s">
        <v>964</v>
      </c>
      <c r="D85" s="138" t="s">
        <v>965</v>
      </c>
      <c r="E85" s="137" t="s">
        <v>1024</v>
      </c>
      <c r="F85" s="122"/>
    </row>
    <row r="86" spans="2:6" x14ac:dyDescent="0.35">
      <c r="B86" s="145"/>
      <c r="C86" s="146"/>
      <c r="D86" s="146"/>
      <c r="E86" s="145"/>
      <c r="F86" s="122"/>
    </row>
    <row r="87" spans="2:6" ht="15" thickBot="1" x14ac:dyDescent="0.4">
      <c r="B87" s="122" t="s">
        <v>1025</v>
      </c>
      <c r="C87" s="122"/>
      <c r="D87" s="122"/>
      <c r="E87" s="122"/>
      <c r="F87" s="122"/>
    </row>
    <row r="88" spans="2:6" x14ac:dyDescent="0.35">
      <c r="B88" s="140" t="s">
        <v>966</v>
      </c>
      <c r="C88" s="140" t="s">
        <v>967</v>
      </c>
      <c r="D88" s="140" t="s">
        <v>968</v>
      </c>
      <c r="E88" s="140" t="s">
        <v>969</v>
      </c>
      <c r="F88" s="122"/>
    </row>
    <row r="89" spans="2:6" ht="39" x14ac:dyDescent="0.35">
      <c r="B89" s="158" t="s">
        <v>970</v>
      </c>
      <c r="C89" s="144" t="s">
        <v>1026</v>
      </c>
      <c r="D89" s="144" t="s">
        <v>1027</v>
      </c>
      <c r="E89" s="141" t="s">
        <v>936</v>
      </c>
      <c r="F89" s="122"/>
    </row>
    <row r="90" spans="2:6" ht="65" x14ac:dyDescent="0.35">
      <c r="B90" s="158"/>
      <c r="C90" s="144" t="s">
        <v>1028</v>
      </c>
      <c r="D90" s="144" t="s">
        <v>1029</v>
      </c>
      <c r="E90" s="141" t="s">
        <v>937</v>
      </c>
      <c r="F90" s="122"/>
    </row>
    <row r="91" spans="2:6" ht="39" x14ac:dyDescent="0.35">
      <c r="B91" s="158"/>
      <c r="C91" s="127" t="s">
        <v>976</v>
      </c>
      <c r="D91" s="144" t="s">
        <v>1030</v>
      </c>
      <c r="E91" s="142" t="s">
        <v>1031</v>
      </c>
      <c r="F91" s="122"/>
    </row>
    <row r="92" spans="2:6" ht="39" x14ac:dyDescent="0.35">
      <c r="B92" s="158" t="s">
        <v>971</v>
      </c>
      <c r="C92" s="144" t="s">
        <v>1032</v>
      </c>
      <c r="D92" s="127" t="s">
        <v>1033</v>
      </c>
      <c r="E92" s="141" t="s">
        <v>938</v>
      </c>
      <c r="F92" s="147" t="s">
        <v>1034</v>
      </c>
    </row>
    <row r="93" spans="2:6" ht="143" x14ac:dyDescent="0.35">
      <c r="B93" s="158"/>
      <c r="C93" s="144" t="s">
        <v>1035</v>
      </c>
      <c r="D93" s="127" t="s">
        <v>1036</v>
      </c>
      <c r="E93" s="141" t="s">
        <v>939</v>
      </c>
      <c r="F93" s="143"/>
    </row>
    <row r="94" spans="2:6" ht="26" x14ac:dyDescent="0.35">
      <c r="B94" s="158"/>
      <c r="C94" s="127" t="s">
        <v>977</v>
      </c>
      <c r="D94" s="127" t="s">
        <v>978</v>
      </c>
      <c r="E94" s="141"/>
      <c r="F94" s="148" t="s">
        <v>1037</v>
      </c>
    </row>
    <row r="95" spans="2:6" ht="52" x14ac:dyDescent="0.35">
      <c r="B95" s="158" t="s">
        <v>972</v>
      </c>
      <c r="C95" s="127" t="s">
        <v>979</v>
      </c>
      <c r="D95" s="144" t="s">
        <v>1038</v>
      </c>
      <c r="E95" s="141" t="s">
        <v>940</v>
      </c>
      <c r="F95" s="121"/>
    </row>
    <row r="96" spans="2:6" ht="52" x14ac:dyDescent="0.35">
      <c r="B96" s="158"/>
      <c r="C96" s="144" t="s">
        <v>1039</v>
      </c>
      <c r="D96" s="144" t="s">
        <v>1040</v>
      </c>
      <c r="E96" s="141" t="s">
        <v>941</v>
      </c>
      <c r="F96" s="32"/>
    </row>
    <row r="97" spans="2:6" ht="39" x14ac:dyDescent="0.35">
      <c r="B97" s="158"/>
      <c r="C97" s="127" t="s">
        <v>980</v>
      </c>
      <c r="D97" s="144" t="s">
        <v>1041</v>
      </c>
      <c r="E97" s="141"/>
      <c r="F97" s="32"/>
    </row>
    <row r="98" spans="2:6" ht="65" x14ac:dyDescent="0.35">
      <c r="B98" s="158" t="s">
        <v>973</v>
      </c>
      <c r="C98" s="127" t="s">
        <v>981</v>
      </c>
      <c r="D98" s="144" t="s">
        <v>1042</v>
      </c>
      <c r="E98" s="141" t="s">
        <v>942</v>
      </c>
      <c r="F98" s="120"/>
    </row>
    <row r="99" spans="2:6" ht="39" x14ac:dyDescent="0.35">
      <c r="B99" s="158"/>
      <c r="C99" s="144" t="s">
        <v>1043</v>
      </c>
      <c r="D99" s="127" t="s">
        <v>1044</v>
      </c>
      <c r="E99" s="141" t="s">
        <v>943</v>
      </c>
      <c r="F99" s="120"/>
    </row>
    <row r="100" spans="2:6" ht="39" x14ac:dyDescent="0.35">
      <c r="B100" s="158"/>
      <c r="C100" s="127" t="s">
        <v>982</v>
      </c>
      <c r="D100" s="144" t="s">
        <v>1045</v>
      </c>
      <c r="E100" s="141"/>
      <c r="F100" s="120"/>
    </row>
    <row r="101" spans="2:6" ht="65" x14ac:dyDescent="0.35">
      <c r="B101" s="158" t="s">
        <v>974</v>
      </c>
      <c r="C101" s="144" t="s">
        <v>1046</v>
      </c>
      <c r="D101" s="144" t="s">
        <v>1047</v>
      </c>
      <c r="E101" s="141" t="s">
        <v>944</v>
      </c>
      <c r="F101" s="122"/>
    </row>
    <row r="102" spans="2:6" ht="39" x14ac:dyDescent="0.35">
      <c r="B102" s="158"/>
      <c r="C102" s="144" t="s">
        <v>1048</v>
      </c>
      <c r="D102" s="144" t="s">
        <v>1049</v>
      </c>
      <c r="E102" s="141" t="s">
        <v>945</v>
      </c>
      <c r="F102" s="122"/>
    </row>
    <row r="103" spans="2:6" ht="26" x14ac:dyDescent="0.35">
      <c r="B103" s="158"/>
      <c r="C103" s="127" t="s">
        <v>983</v>
      </c>
      <c r="D103" s="144" t="s">
        <v>975</v>
      </c>
      <c r="E103" s="141" t="s">
        <v>946</v>
      </c>
      <c r="F103" s="122"/>
    </row>
    <row r="104" spans="2:6" x14ac:dyDescent="0.35">
      <c r="B104" s="122"/>
      <c r="C104" s="122"/>
      <c r="D104" s="122"/>
      <c r="E104" s="122"/>
      <c r="F104" s="122"/>
    </row>
    <row r="105" spans="2:6" x14ac:dyDescent="0.35">
      <c r="B105" s="122"/>
      <c r="C105" s="122"/>
      <c r="D105" s="122"/>
      <c r="E105" s="122"/>
      <c r="F105" s="122"/>
    </row>
    <row r="106" spans="2:6" x14ac:dyDescent="0.35">
      <c r="B106" s="122"/>
      <c r="C106" s="122"/>
      <c r="D106" s="122"/>
      <c r="E106" s="122"/>
      <c r="F106" s="122"/>
    </row>
    <row r="107" spans="2:6" x14ac:dyDescent="0.35">
      <c r="B107" s="122"/>
      <c r="C107" s="122"/>
      <c r="D107" s="122"/>
      <c r="E107" s="122"/>
      <c r="F107" s="122"/>
    </row>
    <row r="108" spans="2:6" x14ac:dyDescent="0.35">
      <c r="B108" s="122"/>
      <c r="C108" s="122"/>
      <c r="D108" s="122"/>
      <c r="E108" s="122"/>
      <c r="F108" s="122"/>
    </row>
    <row r="109" spans="2:6" x14ac:dyDescent="0.35">
      <c r="B109" s="122"/>
      <c r="C109" s="122"/>
      <c r="D109" s="122"/>
      <c r="E109" s="122"/>
      <c r="F109" s="122"/>
    </row>
    <row r="110" spans="2:6" x14ac:dyDescent="0.35">
      <c r="B110" s="122"/>
      <c r="C110" s="122"/>
      <c r="D110" s="122"/>
      <c r="E110" s="122"/>
      <c r="F110" s="122"/>
    </row>
    <row r="111" spans="2:6" x14ac:dyDescent="0.35">
      <c r="B111" s="122"/>
      <c r="C111" s="122"/>
      <c r="D111" s="122"/>
      <c r="E111" s="122"/>
      <c r="F111" s="122"/>
    </row>
    <row r="112" spans="2:6" x14ac:dyDescent="0.35">
      <c r="B112" s="122"/>
      <c r="C112" s="122"/>
      <c r="D112" s="122"/>
      <c r="E112" s="122"/>
      <c r="F112" s="122"/>
    </row>
    <row r="113" spans="2:6" x14ac:dyDescent="0.35">
      <c r="B113" s="122"/>
      <c r="C113" s="122"/>
      <c r="D113" s="122"/>
      <c r="E113" s="122"/>
      <c r="F113" s="122"/>
    </row>
    <row r="114" spans="2:6" x14ac:dyDescent="0.35">
      <c r="B114" s="122"/>
      <c r="C114" s="122"/>
      <c r="D114" s="122"/>
      <c r="E114" s="122"/>
      <c r="F114" s="122"/>
    </row>
    <row r="115" spans="2:6" x14ac:dyDescent="0.35">
      <c r="B115" s="122"/>
      <c r="C115" s="122"/>
      <c r="D115" s="122"/>
      <c r="E115" s="122"/>
      <c r="F115" s="122"/>
    </row>
    <row r="116" spans="2:6" x14ac:dyDescent="0.35">
      <c r="B116" s="122"/>
      <c r="C116" s="122"/>
      <c r="D116" s="122"/>
      <c r="E116" s="122"/>
      <c r="F116" s="122"/>
    </row>
    <row r="117" spans="2:6" x14ac:dyDescent="0.35">
      <c r="B117" s="122"/>
      <c r="C117" s="122"/>
      <c r="D117" s="122"/>
      <c r="E117" s="122"/>
      <c r="F117" s="122"/>
    </row>
    <row r="118" spans="2:6" x14ac:dyDescent="0.35">
      <c r="B118" s="122"/>
      <c r="C118" s="122"/>
      <c r="D118" s="122"/>
      <c r="E118" s="122"/>
      <c r="F118" s="122"/>
    </row>
    <row r="119" spans="2:6" x14ac:dyDescent="0.35">
      <c r="B119" s="122"/>
      <c r="C119" s="122"/>
      <c r="D119" s="122"/>
      <c r="E119" s="122"/>
      <c r="F119" s="122"/>
    </row>
    <row r="120" spans="2:6" x14ac:dyDescent="0.35">
      <c r="B120" s="122"/>
      <c r="C120" s="122"/>
      <c r="D120" s="122"/>
      <c r="E120" s="122"/>
      <c r="F120" s="122"/>
    </row>
    <row r="121" spans="2:6" x14ac:dyDescent="0.35">
      <c r="B121" s="122"/>
      <c r="C121" s="122"/>
      <c r="D121" s="122"/>
      <c r="E121" s="122"/>
      <c r="F121" s="122"/>
    </row>
    <row r="122" spans="2:6" x14ac:dyDescent="0.35">
      <c r="B122" s="122"/>
      <c r="C122" s="122"/>
      <c r="D122" s="122"/>
      <c r="E122" s="122"/>
      <c r="F122" s="122"/>
    </row>
    <row r="123" spans="2:6" x14ac:dyDescent="0.35">
      <c r="B123" s="122"/>
      <c r="C123" s="122"/>
      <c r="D123" s="122"/>
      <c r="E123" s="122"/>
      <c r="F123" s="122"/>
    </row>
    <row r="124" spans="2:6" x14ac:dyDescent="0.35">
      <c r="B124" s="122"/>
      <c r="C124" s="122"/>
      <c r="D124" s="122"/>
      <c r="E124" s="122"/>
      <c r="F124" s="122"/>
    </row>
    <row r="125" spans="2:6" x14ac:dyDescent="0.35">
      <c r="B125" s="122"/>
      <c r="C125" s="122"/>
      <c r="D125" s="122"/>
      <c r="E125" s="122"/>
      <c r="F125" s="122"/>
    </row>
    <row r="126" spans="2:6" x14ac:dyDescent="0.35">
      <c r="B126" s="122"/>
      <c r="C126" s="122"/>
      <c r="D126" s="122"/>
      <c r="E126" s="122"/>
      <c r="F126" s="122"/>
    </row>
    <row r="127" spans="2:6" x14ac:dyDescent="0.35">
      <c r="B127" s="122"/>
      <c r="C127" s="122"/>
      <c r="D127" s="122"/>
      <c r="E127" s="122"/>
      <c r="F127" s="122"/>
    </row>
    <row r="128" spans="2:6" x14ac:dyDescent="0.35">
      <c r="B128" s="122"/>
      <c r="C128" s="122"/>
      <c r="D128" s="122"/>
      <c r="E128" s="122"/>
      <c r="F128" s="122"/>
    </row>
    <row r="129" spans="2:6" x14ac:dyDescent="0.35">
      <c r="B129" s="122"/>
      <c r="C129" s="122"/>
      <c r="D129" s="122"/>
      <c r="E129" s="122"/>
      <c r="F129" s="122"/>
    </row>
    <row r="130" spans="2:6" x14ac:dyDescent="0.35">
      <c r="B130" s="122"/>
      <c r="C130" s="122"/>
      <c r="D130" s="122"/>
      <c r="E130" s="122"/>
      <c r="F130" s="122"/>
    </row>
    <row r="131" spans="2:6" x14ac:dyDescent="0.35">
      <c r="B131" s="122"/>
      <c r="C131" s="122"/>
      <c r="D131" s="122"/>
      <c r="E131" s="122"/>
      <c r="F131" s="122"/>
    </row>
    <row r="132" spans="2:6" x14ac:dyDescent="0.35">
      <c r="B132" s="122"/>
      <c r="C132" s="122"/>
      <c r="D132" s="122"/>
      <c r="E132" s="122"/>
      <c r="F132" s="122"/>
    </row>
    <row r="133" spans="2:6" x14ac:dyDescent="0.35">
      <c r="B133" s="122"/>
      <c r="C133" s="122"/>
      <c r="D133" s="122"/>
      <c r="E133" s="122"/>
      <c r="F133" s="122"/>
    </row>
    <row r="134" spans="2:6" x14ac:dyDescent="0.35">
      <c r="B134" s="122"/>
      <c r="C134" s="122"/>
      <c r="D134" s="122"/>
      <c r="E134" s="122"/>
      <c r="F134" s="122"/>
    </row>
    <row r="135" spans="2:6" x14ac:dyDescent="0.35">
      <c r="B135" s="122"/>
      <c r="C135" s="122"/>
      <c r="D135" s="122"/>
      <c r="E135" s="122"/>
      <c r="F135" s="122"/>
    </row>
    <row r="136" spans="2:6" x14ac:dyDescent="0.35">
      <c r="B136" s="122"/>
      <c r="C136" s="122"/>
      <c r="D136" s="122"/>
      <c r="E136" s="122"/>
      <c r="F136" s="122"/>
    </row>
    <row r="137" spans="2:6" x14ac:dyDescent="0.35">
      <c r="B137" s="122"/>
      <c r="C137" s="122"/>
      <c r="D137" s="122"/>
      <c r="E137" s="122"/>
      <c r="F137" s="122"/>
    </row>
    <row r="138" spans="2:6" x14ac:dyDescent="0.35">
      <c r="B138" s="122"/>
      <c r="C138" s="122"/>
      <c r="D138" s="122"/>
      <c r="E138" s="122"/>
      <c r="F138" s="122"/>
    </row>
    <row r="139" spans="2:6" x14ac:dyDescent="0.35">
      <c r="B139" s="122"/>
      <c r="C139" s="122"/>
      <c r="D139" s="122"/>
      <c r="E139" s="122"/>
      <c r="F139" s="122"/>
    </row>
    <row r="140" spans="2:6" x14ac:dyDescent="0.35">
      <c r="B140" s="122"/>
      <c r="C140" s="122"/>
      <c r="D140" s="122"/>
      <c r="E140" s="122"/>
      <c r="F140" s="122"/>
    </row>
    <row r="141" spans="2:6" x14ac:dyDescent="0.35">
      <c r="B141" s="122"/>
      <c r="C141" s="122"/>
      <c r="D141" s="122"/>
      <c r="E141" s="122"/>
      <c r="F141" s="122"/>
    </row>
    <row r="142" spans="2:6" x14ac:dyDescent="0.35">
      <c r="B142" s="122"/>
      <c r="C142" s="122"/>
      <c r="D142" s="122"/>
      <c r="E142" s="122"/>
      <c r="F142" s="122"/>
    </row>
    <row r="143" spans="2:6" x14ac:dyDescent="0.35">
      <c r="B143" s="122"/>
      <c r="C143" s="122"/>
      <c r="D143" s="122"/>
      <c r="E143" s="122"/>
      <c r="F143" s="122"/>
    </row>
    <row r="144" spans="2:6" x14ac:dyDescent="0.35">
      <c r="B144" s="122"/>
      <c r="C144" s="122"/>
      <c r="D144" s="122"/>
      <c r="E144" s="122"/>
      <c r="F144" s="122"/>
    </row>
    <row r="145" spans="2:6" x14ac:dyDescent="0.35">
      <c r="B145" s="122"/>
      <c r="C145" s="122"/>
      <c r="D145" s="122"/>
      <c r="E145" s="122"/>
      <c r="F145" s="122"/>
    </row>
    <row r="146" spans="2:6" x14ac:dyDescent="0.35">
      <c r="B146" s="122"/>
      <c r="C146" s="122"/>
      <c r="D146" s="122"/>
      <c r="E146" s="122"/>
      <c r="F146" s="122"/>
    </row>
    <row r="147" spans="2:6" x14ac:dyDescent="0.35">
      <c r="B147" s="122"/>
      <c r="C147" s="122"/>
      <c r="D147" s="122"/>
      <c r="E147" s="122"/>
      <c r="F147" s="122"/>
    </row>
    <row r="148" spans="2:6" x14ac:dyDescent="0.35">
      <c r="B148" s="122"/>
      <c r="C148" s="122"/>
      <c r="D148" s="122"/>
      <c r="E148" s="122"/>
      <c r="F148" s="122"/>
    </row>
    <row r="149" spans="2:6" x14ac:dyDescent="0.35">
      <c r="B149" s="122"/>
      <c r="C149" s="122"/>
      <c r="D149" s="122"/>
      <c r="E149" s="122"/>
      <c r="F149" s="122"/>
    </row>
    <row r="150" spans="2:6" x14ac:dyDescent="0.35">
      <c r="B150" s="122"/>
      <c r="C150" s="122"/>
      <c r="D150" s="122"/>
      <c r="E150" s="122"/>
      <c r="F150" s="122"/>
    </row>
    <row r="151" spans="2:6" x14ac:dyDescent="0.35">
      <c r="B151" s="122"/>
      <c r="C151" s="122"/>
      <c r="D151" s="122"/>
      <c r="E151" s="122"/>
      <c r="F151" s="122"/>
    </row>
    <row r="152" spans="2:6" x14ac:dyDescent="0.35">
      <c r="B152" s="122"/>
      <c r="C152" s="122"/>
      <c r="D152" s="122"/>
      <c r="E152" s="122"/>
      <c r="F152" s="122"/>
    </row>
    <row r="153" spans="2:6" x14ac:dyDescent="0.35">
      <c r="B153" s="122"/>
      <c r="C153" s="122"/>
      <c r="D153" s="122"/>
      <c r="E153" s="122"/>
      <c r="F153" s="122"/>
    </row>
    <row r="154" spans="2:6" x14ac:dyDescent="0.35">
      <c r="B154" s="122"/>
      <c r="C154" s="122"/>
      <c r="D154" s="122"/>
      <c r="E154" s="122"/>
      <c r="F154" s="122"/>
    </row>
    <row r="155" spans="2:6" x14ac:dyDescent="0.35">
      <c r="B155" s="122"/>
      <c r="C155" s="122"/>
      <c r="D155" s="122"/>
      <c r="E155" s="122"/>
      <c r="F155" s="122"/>
    </row>
    <row r="156" spans="2:6" x14ac:dyDescent="0.35">
      <c r="B156" s="122"/>
      <c r="C156" s="122"/>
      <c r="D156" s="122"/>
      <c r="E156" s="122"/>
      <c r="F156" s="122"/>
    </row>
    <row r="157" spans="2:6" x14ac:dyDescent="0.35">
      <c r="B157" s="122"/>
      <c r="C157" s="122"/>
      <c r="D157" s="122"/>
      <c r="E157" s="122"/>
      <c r="F157" s="122"/>
    </row>
    <row r="158" spans="2:6" x14ac:dyDescent="0.35">
      <c r="B158" s="122"/>
      <c r="C158" s="122"/>
      <c r="D158" s="122"/>
      <c r="E158" s="122"/>
      <c r="F158" s="122"/>
    </row>
    <row r="159" spans="2:6" x14ac:dyDescent="0.35">
      <c r="B159" s="122"/>
      <c r="C159" s="122"/>
      <c r="D159" s="122"/>
      <c r="E159" s="122"/>
      <c r="F159" s="122"/>
    </row>
    <row r="160" spans="2:6" x14ac:dyDescent="0.35">
      <c r="B160" s="122"/>
      <c r="C160" s="122"/>
      <c r="D160" s="122"/>
      <c r="E160" s="122"/>
      <c r="F160" s="122"/>
    </row>
    <row r="161" spans="2:6" x14ac:dyDescent="0.35">
      <c r="B161" s="122"/>
      <c r="C161" s="122"/>
      <c r="D161" s="122"/>
      <c r="E161" s="122"/>
      <c r="F161" s="122"/>
    </row>
    <row r="162" spans="2:6" x14ac:dyDescent="0.35">
      <c r="B162" s="122"/>
      <c r="C162" s="122"/>
      <c r="D162" s="122"/>
      <c r="E162" s="122"/>
      <c r="F162" s="122"/>
    </row>
    <row r="163" spans="2:6" x14ac:dyDescent="0.35">
      <c r="B163" s="122"/>
      <c r="C163" s="122"/>
      <c r="D163" s="122"/>
      <c r="E163" s="122"/>
      <c r="F163" s="122"/>
    </row>
    <row r="164" spans="2:6" x14ac:dyDescent="0.35">
      <c r="B164" s="122"/>
      <c r="C164" s="122"/>
      <c r="D164" s="122"/>
      <c r="E164" s="122"/>
      <c r="F164" s="122"/>
    </row>
    <row r="165" spans="2:6" x14ac:dyDescent="0.35">
      <c r="B165" s="122"/>
      <c r="C165" s="122"/>
      <c r="D165" s="122"/>
      <c r="E165" s="122"/>
      <c r="F165" s="122"/>
    </row>
    <row r="166" spans="2:6" x14ac:dyDescent="0.35">
      <c r="B166" s="122"/>
      <c r="C166" s="122"/>
      <c r="D166" s="122"/>
      <c r="E166" s="122"/>
      <c r="F166" s="122"/>
    </row>
    <row r="167" spans="2:6" x14ac:dyDescent="0.35">
      <c r="B167" s="122"/>
      <c r="C167" s="122"/>
      <c r="D167" s="122"/>
      <c r="E167" s="122"/>
      <c r="F167" s="122"/>
    </row>
    <row r="168" spans="2:6" x14ac:dyDescent="0.35">
      <c r="B168" s="122"/>
      <c r="C168" s="122"/>
      <c r="D168" s="122"/>
      <c r="E168" s="122"/>
      <c r="F168" s="122"/>
    </row>
    <row r="169" spans="2:6" x14ac:dyDescent="0.35">
      <c r="B169" s="122"/>
      <c r="C169" s="122"/>
      <c r="D169" s="122"/>
      <c r="E169" s="122"/>
      <c r="F169" s="122"/>
    </row>
    <row r="170" spans="2:6" x14ac:dyDescent="0.35">
      <c r="B170" s="122"/>
      <c r="C170" s="122"/>
      <c r="D170" s="122"/>
      <c r="E170" s="122"/>
      <c r="F170" s="122"/>
    </row>
    <row r="171" spans="2:6" x14ac:dyDescent="0.35">
      <c r="B171" s="122"/>
      <c r="C171" s="122"/>
      <c r="D171" s="122"/>
      <c r="E171" s="122"/>
      <c r="F171" s="122"/>
    </row>
    <row r="172" spans="2:6" x14ac:dyDescent="0.35">
      <c r="B172" s="122"/>
      <c r="C172" s="122"/>
      <c r="D172" s="122"/>
      <c r="E172" s="122"/>
      <c r="F172" s="122"/>
    </row>
    <row r="173" spans="2:6" x14ac:dyDescent="0.35">
      <c r="B173" s="122"/>
      <c r="C173" s="122"/>
      <c r="D173" s="122"/>
      <c r="E173" s="122"/>
      <c r="F173" s="122"/>
    </row>
    <row r="174" spans="2:6" x14ac:dyDescent="0.35">
      <c r="B174" s="122"/>
      <c r="C174" s="122"/>
      <c r="D174" s="122"/>
      <c r="E174" s="122"/>
      <c r="F174" s="122"/>
    </row>
    <row r="175" spans="2:6" x14ac:dyDescent="0.35">
      <c r="B175" s="122"/>
      <c r="C175" s="122"/>
      <c r="D175" s="122"/>
      <c r="E175" s="122"/>
      <c r="F175" s="122"/>
    </row>
    <row r="176" spans="2:6" x14ac:dyDescent="0.35">
      <c r="B176" s="122"/>
      <c r="C176" s="122"/>
      <c r="D176" s="122"/>
      <c r="E176" s="122"/>
      <c r="F176" s="122"/>
    </row>
    <row r="177" spans="2:6" x14ac:dyDescent="0.35">
      <c r="B177" s="122"/>
      <c r="C177" s="122"/>
      <c r="D177" s="122"/>
      <c r="E177" s="122"/>
      <c r="F177" s="122"/>
    </row>
    <row r="178" spans="2:6" x14ac:dyDescent="0.35">
      <c r="B178" s="122"/>
      <c r="C178" s="122"/>
      <c r="D178" s="122"/>
      <c r="E178" s="122"/>
      <c r="F178" s="122"/>
    </row>
    <row r="179" spans="2:6" x14ac:dyDescent="0.35">
      <c r="B179" s="122"/>
      <c r="C179" s="122"/>
      <c r="D179" s="122"/>
      <c r="E179" s="122"/>
      <c r="F179" s="122"/>
    </row>
    <row r="180" spans="2:6" x14ac:dyDescent="0.35">
      <c r="B180" s="122"/>
      <c r="C180" s="122"/>
      <c r="D180" s="122"/>
      <c r="E180" s="122"/>
      <c r="F180" s="122"/>
    </row>
    <row r="181" spans="2:6" x14ac:dyDescent="0.35">
      <c r="B181" s="122"/>
      <c r="C181" s="122"/>
      <c r="D181" s="122"/>
      <c r="E181" s="122"/>
      <c r="F181" s="122"/>
    </row>
    <row r="182" spans="2:6" x14ac:dyDescent="0.35">
      <c r="B182" s="122"/>
      <c r="C182" s="122"/>
      <c r="D182" s="122"/>
      <c r="E182" s="122"/>
      <c r="F182" s="122"/>
    </row>
    <row r="183" spans="2:6" x14ac:dyDescent="0.35">
      <c r="B183" s="122"/>
      <c r="C183" s="122"/>
      <c r="D183" s="122"/>
      <c r="E183" s="122"/>
      <c r="F183" s="122"/>
    </row>
    <row r="184" spans="2:6" x14ac:dyDescent="0.35">
      <c r="B184" s="122"/>
      <c r="C184" s="122"/>
      <c r="D184" s="122"/>
      <c r="E184" s="122"/>
      <c r="F184" s="122"/>
    </row>
    <row r="185" spans="2:6" x14ac:dyDescent="0.35">
      <c r="B185" s="122"/>
      <c r="C185" s="122"/>
      <c r="D185" s="122"/>
      <c r="E185" s="122"/>
      <c r="F185" s="122"/>
    </row>
    <row r="186" spans="2:6" x14ac:dyDescent="0.35">
      <c r="B186" s="122"/>
      <c r="C186" s="122"/>
      <c r="D186" s="122"/>
      <c r="E186" s="122"/>
      <c r="F186" s="122"/>
    </row>
    <row r="187" spans="2:6" x14ac:dyDescent="0.35">
      <c r="B187" s="122"/>
      <c r="C187" s="122"/>
      <c r="D187" s="122"/>
      <c r="E187" s="122"/>
      <c r="F187" s="122"/>
    </row>
    <row r="188" spans="2:6" x14ac:dyDescent="0.35">
      <c r="B188" s="122"/>
      <c r="C188" s="122"/>
      <c r="D188" s="122"/>
      <c r="E188" s="122"/>
      <c r="F188" s="122"/>
    </row>
    <row r="189" spans="2:6" x14ac:dyDescent="0.35">
      <c r="B189" s="122"/>
      <c r="C189" s="122"/>
      <c r="D189" s="122"/>
      <c r="E189" s="122"/>
      <c r="F189" s="122"/>
    </row>
    <row r="190" spans="2:6" x14ac:dyDescent="0.35">
      <c r="B190" s="122"/>
      <c r="C190" s="122"/>
      <c r="D190" s="122"/>
      <c r="E190" s="122"/>
      <c r="F190" s="122"/>
    </row>
    <row r="191" spans="2:6" x14ac:dyDescent="0.35">
      <c r="B191" s="122"/>
      <c r="C191" s="122"/>
      <c r="D191" s="122"/>
      <c r="E191" s="122"/>
      <c r="F191" s="122"/>
    </row>
    <row r="192" spans="2:6" x14ac:dyDescent="0.35">
      <c r="B192" s="122"/>
      <c r="C192" s="122"/>
      <c r="D192" s="122"/>
      <c r="E192" s="122"/>
      <c r="F192" s="122"/>
    </row>
    <row r="193" spans="2:6" x14ac:dyDescent="0.35">
      <c r="B193" s="122"/>
      <c r="C193" s="122"/>
      <c r="D193" s="122"/>
      <c r="E193" s="122"/>
      <c r="F193" s="122"/>
    </row>
    <row r="194" spans="2:6" x14ac:dyDescent="0.35">
      <c r="B194" s="122"/>
      <c r="C194" s="122"/>
      <c r="D194" s="122"/>
      <c r="E194" s="122"/>
      <c r="F194" s="122"/>
    </row>
    <row r="195" spans="2:6" x14ac:dyDescent="0.35">
      <c r="B195" s="122"/>
      <c r="C195" s="122"/>
      <c r="D195" s="122"/>
      <c r="E195" s="122"/>
      <c r="F195" s="122"/>
    </row>
    <row r="196" spans="2:6" x14ac:dyDescent="0.35">
      <c r="B196" s="122"/>
      <c r="C196" s="122"/>
      <c r="D196" s="122"/>
      <c r="E196" s="122"/>
      <c r="F196" s="122"/>
    </row>
    <row r="197" spans="2:6" x14ac:dyDescent="0.35">
      <c r="B197" s="122"/>
      <c r="C197" s="122"/>
      <c r="D197" s="122"/>
      <c r="E197" s="122"/>
      <c r="F197" s="122"/>
    </row>
    <row r="198" spans="2:6" x14ac:dyDescent="0.35">
      <c r="B198" s="122"/>
      <c r="C198" s="122"/>
      <c r="D198" s="122"/>
      <c r="E198" s="122"/>
      <c r="F198" s="122"/>
    </row>
    <row r="199" spans="2:6" x14ac:dyDescent="0.35">
      <c r="B199" s="122"/>
      <c r="C199" s="122"/>
      <c r="D199" s="122"/>
      <c r="E199" s="122"/>
      <c r="F199" s="122"/>
    </row>
    <row r="200" spans="2:6" x14ac:dyDescent="0.35">
      <c r="B200" s="122"/>
      <c r="C200" s="122"/>
      <c r="D200" s="122"/>
      <c r="E200" s="122"/>
      <c r="F200" s="122"/>
    </row>
    <row r="201" spans="2:6" x14ac:dyDescent="0.35">
      <c r="B201" s="122"/>
      <c r="C201" s="122"/>
      <c r="D201" s="122"/>
      <c r="E201" s="122"/>
      <c r="F201" s="122"/>
    </row>
    <row r="202" spans="2:6" x14ac:dyDescent="0.35">
      <c r="B202" s="122"/>
      <c r="C202" s="122"/>
      <c r="D202" s="122"/>
      <c r="E202" s="122"/>
      <c r="F202" s="122"/>
    </row>
    <row r="203" spans="2:6" x14ac:dyDescent="0.35">
      <c r="B203" s="122"/>
      <c r="C203" s="122"/>
      <c r="D203" s="122"/>
      <c r="E203" s="122"/>
      <c r="F203" s="122"/>
    </row>
    <row r="204" spans="2:6" x14ac:dyDescent="0.35">
      <c r="B204" s="122"/>
      <c r="C204" s="122"/>
      <c r="D204" s="122"/>
      <c r="E204" s="122"/>
      <c r="F204" s="122"/>
    </row>
    <row r="205" spans="2:6" x14ac:dyDescent="0.35">
      <c r="B205" s="122"/>
      <c r="C205" s="122"/>
      <c r="D205" s="122"/>
      <c r="E205" s="122"/>
      <c r="F205" s="122"/>
    </row>
    <row r="206" spans="2:6" x14ac:dyDescent="0.35">
      <c r="B206" s="122"/>
      <c r="C206" s="122"/>
      <c r="D206" s="122"/>
      <c r="E206" s="122"/>
      <c r="F206" s="122"/>
    </row>
    <row r="207" spans="2:6" x14ac:dyDescent="0.35">
      <c r="B207" s="122"/>
      <c r="C207" s="122"/>
      <c r="D207" s="122"/>
      <c r="E207" s="122"/>
      <c r="F207" s="122"/>
    </row>
    <row r="208" spans="2:6" x14ac:dyDescent="0.35">
      <c r="B208" s="122"/>
      <c r="C208" s="122"/>
      <c r="D208" s="122"/>
      <c r="E208" s="122"/>
      <c r="F208" s="122"/>
    </row>
    <row r="209" spans="2:6" x14ac:dyDescent="0.35">
      <c r="B209" s="122"/>
      <c r="C209" s="122"/>
      <c r="D209" s="122"/>
      <c r="E209" s="122"/>
      <c r="F209" s="122"/>
    </row>
    <row r="210" spans="2:6" x14ac:dyDescent="0.35">
      <c r="B210" s="122"/>
      <c r="C210" s="122"/>
      <c r="D210" s="122"/>
      <c r="E210" s="122"/>
      <c r="F210" s="122"/>
    </row>
    <row r="211" spans="2:6" x14ac:dyDescent="0.35">
      <c r="B211" s="122"/>
      <c r="C211" s="122"/>
      <c r="D211" s="122"/>
      <c r="E211" s="122"/>
      <c r="F211" s="122"/>
    </row>
    <row r="212" spans="2:6" x14ac:dyDescent="0.35">
      <c r="B212" s="122"/>
      <c r="C212" s="122"/>
      <c r="D212" s="122"/>
      <c r="E212" s="122"/>
      <c r="F212" s="122"/>
    </row>
    <row r="213" spans="2:6" x14ac:dyDescent="0.35">
      <c r="B213" s="122"/>
      <c r="C213" s="122"/>
      <c r="D213" s="122"/>
      <c r="E213" s="122"/>
      <c r="F213" s="122"/>
    </row>
    <row r="214" spans="2:6" x14ac:dyDescent="0.35">
      <c r="B214" s="122"/>
      <c r="C214" s="122"/>
      <c r="D214" s="122"/>
      <c r="E214" s="122"/>
      <c r="F214" s="122"/>
    </row>
    <row r="215" spans="2:6" x14ac:dyDescent="0.35">
      <c r="B215" s="122"/>
      <c r="C215" s="122"/>
      <c r="D215" s="122"/>
      <c r="E215" s="122"/>
      <c r="F215" s="122"/>
    </row>
    <row r="216" spans="2:6" x14ac:dyDescent="0.35">
      <c r="B216" s="122"/>
      <c r="C216" s="122"/>
      <c r="D216" s="122"/>
      <c r="E216" s="122"/>
      <c r="F216" s="122"/>
    </row>
    <row r="217" spans="2:6" x14ac:dyDescent="0.35">
      <c r="B217" s="122"/>
      <c r="C217" s="122"/>
      <c r="D217" s="122"/>
      <c r="E217" s="122"/>
      <c r="F217" s="122"/>
    </row>
    <row r="218" spans="2:6" x14ac:dyDescent="0.35">
      <c r="B218" s="122"/>
      <c r="C218" s="122"/>
      <c r="D218" s="122"/>
      <c r="E218" s="122"/>
      <c r="F218" s="122"/>
    </row>
    <row r="219" spans="2:6" x14ac:dyDescent="0.35">
      <c r="B219" s="122"/>
      <c r="C219" s="122"/>
      <c r="D219" s="122"/>
      <c r="E219" s="122"/>
      <c r="F219" s="122"/>
    </row>
    <row r="220" spans="2:6" x14ac:dyDescent="0.35">
      <c r="B220" s="122"/>
      <c r="C220" s="122"/>
      <c r="D220" s="122"/>
      <c r="E220" s="122"/>
      <c r="F220" s="122"/>
    </row>
    <row r="221" spans="2:6" x14ac:dyDescent="0.35">
      <c r="B221" s="122"/>
      <c r="C221" s="122"/>
      <c r="D221" s="122"/>
      <c r="E221" s="122"/>
      <c r="F221" s="122"/>
    </row>
    <row r="222" spans="2:6" x14ac:dyDescent="0.35">
      <c r="B222" s="122"/>
      <c r="C222" s="122"/>
      <c r="D222" s="122"/>
      <c r="E222" s="122"/>
      <c r="F222" s="122"/>
    </row>
    <row r="223" spans="2:6" x14ac:dyDescent="0.35">
      <c r="B223" s="122"/>
      <c r="C223" s="122"/>
      <c r="D223" s="122"/>
      <c r="E223" s="122"/>
      <c r="F223" s="122"/>
    </row>
    <row r="224" spans="2:6" x14ac:dyDescent="0.35">
      <c r="B224" s="122"/>
      <c r="C224" s="122"/>
      <c r="D224" s="122"/>
      <c r="E224" s="122"/>
      <c r="F224" s="122"/>
    </row>
    <row r="225" spans="2:6" x14ac:dyDescent="0.35">
      <c r="B225" s="122"/>
      <c r="C225" s="122"/>
      <c r="D225" s="122"/>
      <c r="E225" s="122"/>
      <c r="F225" s="122"/>
    </row>
    <row r="226" spans="2:6" x14ac:dyDescent="0.35">
      <c r="B226" s="122"/>
      <c r="C226" s="122"/>
      <c r="D226" s="122"/>
      <c r="E226" s="122"/>
      <c r="F226" s="122"/>
    </row>
    <row r="227" spans="2:6" x14ac:dyDescent="0.35">
      <c r="B227" s="122"/>
      <c r="C227" s="122"/>
      <c r="D227" s="122"/>
      <c r="E227" s="122"/>
      <c r="F227" s="122"/>
    </row>
    <row r="228" spans="2:6" x14ac:dyDescent="0.35">
      <c r="B228" s="122"/>
      <c r="C228" s="122"/>
      <c r="D228" s="122"/>
      <c r="E228" s="122"/>
      <c r="F228" s="122"/>
    </row>
    <row r="229" spans="2:6" x14ac:dyDescent="0.35">
      <c r="B229" s="122"/>
      <c r="C229" s="122"/>
      <c r="D229" s="122"/>
      <c r="E229" s="122"/>
      <c r="F229" s="122"/>
    </row>
    <row r="230" spans="2:6" x14ac:dyDescent="0.35">
      <c r="B230" s="122"/>
      <c r="C230" s="122"/>
      <c r="D230" s="122"/>
      <c r="E230" s="122"/>
      <c r="F230" s="122"/>
    </row>
    <row r="231" spans="2:6" x14ac:dyDescent="0.35">
      <c r="B231" s="122"/>
      <c r="C231" s="122"/>
      <c r="D231" s="122"/>
      <c r="E231" s="122"/>
      <c r="F231" s="122"/>
    </row>
    <row r="232" spans="2:6" x14ac:dyDescent="0.35">
      <c r="B232" s="122"/>
      <c r="C232" s="122"/>
      <c r="D232" s="122"/>
      <c r="E232" s="122"/>
      <c r="F232" s="122"/>
    </row>
    <row r="233" spans="2:6" x14ac:dyDescent="0.35">
      <c r="B233" s="122"/>
      <c r="C233" s="122"/>
      <c r="D233" s="122"/>
      <c r="E233" s="122"/>
      <c r="F233" s="122"/>
    </row>
    <row r="234" spans="2:6" x14ac:dyDescent="0.35">
      <c r="B234" s="122"/>
      <c r="C234" s="122"/>
      <c r="D234" s="122"/>
      <c r="E234" s="122"/>
      <c r="F234" s="122"/>
    </row>
    <row r="235" spans="2:6" x14ac:dyDescent="0.35">
      <c r="B235" s="122"/>
      <c r="C235" s="122"/>
      <c r="D235" s="122"/>
      <c r="E235" s="122"/>
      <c r="F235" s="122"/>
    </row>
    <row r="236" spans="2:6" x14ac:dyDescent="0.35">
      <c r="B236" s="122"/>
      <c r="C236" s="122"/>
      <c r="D236" s="122"/>
      <c r="E236" s="122"/>
      <c r="F236" s="122"/>
    </row>
    <row r="237" spans="2:6" x14ac:dyDescent="0.35">
      <c r="B237" s="122"/>
      <c r="C237" s="122"/>
      <c r="D237" s="122"/>
      <c r="E237" s="122"/>
      <c r="F237" s="122"/>
    </row>
    <row r="238" spans="2:6" x14ac:dyDescent="0.35">
      <c r="B238" s="122"/>
      <c r="C238" s="122"/>
      <c r="D238" s="122"/>
      <c r="E238" s="122"/>
      <c r="F238" s="122"/>
    </row>
    <row r="239" spans="2:6" x14ac:dyDescent="0.35">
      <c r="B239" s="122"/>
      <c r="C239" s="122"/>
      <c r="D239" s="122"/>
      <c r="E239" s="122"/>
      <c r="F239" s="122"/>
    </row>
    <row r="240" spans="2:6" x14ac:dyDescent="0.35">
      <c r="B240" s="122"/>
      <c r="C240" s="122"/>
      <c r="D240" s="122"/>
      <c r="E240" s="122"/>
      <c r="F240" s="122"/>
    </row>
    <row r="241" spans="2:6" x14ac:dyDescent="0.35">
      <c r="B241" s="122"/>
      <c r="C241" s="122"/>
      <c r="D241" s="122"/>
      <c r="E241" s="122"/>
      <c r="F241" s="122"/>
    </row>
    <row r="242" spans="2:6" x14ac:dyDescent="0.35">
      <c r="B242" s="122"/>
      <c r="C242" s="122"/>
      <c r="D242" s="122"/>
      <c r="E242" s="122"/>
      <c r="F242" s="122"/>
    </row>
    <row r="243" spans="2:6" x14ac:dyDescent="0.35">
      <c r="B243" s="122"/>
      <c r="C243" s="122"/>
      <c r="D243" s="122"/>
      <c r="E243" s="122"/>
      <c r="F243" s="122"/>
    </row>
    <row r="244" spans="2:6" x14ac:dyDescent="0.35">
      <c r="B244" s="122"/>
      <c r="C244" s="122"/>
      <c r="D244" s="122"/>
      <c r="E244" s="122"/>
      <c r="F244" s="122"/>
    </row>
    <row r="245" spans="2:6" x14ac:dyDescent="0.35">
      <c r="B245" s="122"/>
      <c r="C245" s="122"/>
      <c r="D245" s="122"/>
      <c r="E245" s="122"/>
      <c r="F245" s="122"/>
    </row>
    <row r="246" spans="2:6" x14ac:dyDescent="0.35">
      <c r="B246" s="122"/>
      <c r="C246" s="122"/>
      <c r="D246" s="122"/>
      <c r="E246" s="122"/>
      <c r="F246" s="122"/>
    </row>
    <row r="247" spans="2:6" x14ac:dyDescent="0.35">
      <c r="B247" s="122"/>
      <c r="C247" s="122"/>
      <c r="D247" s="122"/>
      <c r="E247" s="122"/>
      <c r="F247" s="122"/>
    </row>
    <row r="248" spans="2:6" x14ac:dyDescent="0.35">
      <c r="B248" s="122"/>
      <c r="C248" s="122"/>
      <c r="D248" s="122"/>
      <c r="E248" s="122"/>
      <c r="F248" s="122"/>
    </row>
    <row r="249" spans="2:6" x14ac:dyDescent="0.35">
      <c r="B249" s="122"/>
      <c r="C249" s="122"/>
      <c r="D249" s="122"/>
      <c r="E249" s="122"/>
      <c r="F249" s="122"/>
    </row>
    <row r="250" spans="2:6" x14ac:dyDescent="0.35">
      <c r="B250" s="122"/>
      <c r="C250" s="122"/>
      <c r="D250" s="122"/>
      <c r="E250" s="122"/>
      <c r="F250" s="122"/>
    </row>
    <row r="251" spans="2:6" x14ac:dyDescent="0.35">
      <c r="B251" s="122"/>
      <c r="C251" s="122"/>
      <c r="D251" s="122"/>
      <c r="E251" s="122"/>
      <c r="F251" s="122"/>
    </row>
    <row r="252" spans="2:6" x14ac:dyDescent="0.35">
      <c r="B252" s="122"/>
      <c r="C252" s="122"/>
      <c r="D252" s="122"/>
      <c r="E252" s="122"/>
      <c r="F252" s="122"/>
    </row>
    <row r="253" spans="2:6" x14ac:dyDescent="0.35">
      <c r="B253" s="122"/>
      <c r="C253" s="122"/>
      <c r="D253" s="122"/>
      <c r="E253" s="122"/>
      <c r="F253" s="122"/>
    </row>
    <row r="254" spans="2:6" x14ac:dyDescent="0.35">
      <c r="B254" s="122"/>
      <c r="C254" s="122"/>
      <c r="D254" s="122"/>
      <c r="E254" s="122"/>
      <c r="F254" s="122"/>
    </row>
    <row r="255" spans="2:6" x14ac:dyDescent="0.35">
      <c r="B255" s="122"/>
      <c r="C255" s="122"/>
      <c r="D255" s="122"/>
      <c r="E255" s="122"/>
      <c r="F255" s="122"/>
    </row>
    <row r="256" spans="2:6" x14ac:dyDescent="0.35">
      <c r="B256" s="122"/>
      <c r="C256" s="122"/>
      <c r="D256" s="122"/>
      <c r="E256" s="122"/>
      <c r="F256" s="122"/>
    </row>
    <row r="257" spans="2:6" x14ac:dyDescent="0.35">
      <c r="B257" s="122"/>
      <c r="C257" s="122"/>
      <c r="D257" s="122"/>
      <c r="E257" s="122"/>
      <c r="F257" s="122"/>
    </row>
    <row r="258" spans="2:6" x14ac:dyDescent="0.35">
      <c r="B258" s="122"/>
      <c r="C258" s="122"/>
      <c r="D258" s="122"/>
      <c r="E258" s="122"/>
      <c r="F258" s="122"/>
    </row>
    <row r="259" spans="2:6" x14ac:dyDescent="0.35">
      <c r="B259" s="122"/>
      <c r="C259" s="122"/>
      <c r="D259" s="122"/>
      <c r="E259" s="122"/>
      <c r="F259" s="122"/>
    </row>
    <row r="260" spans="2:6" x14ac:dyDescent="0.35">
      <c r="B260" s="122"/>
      <c r="C260" s="122"/>
      <c r="D260" s="122"/>
      <c r="E260" s="122"/>
      <c r="F260" s="122"/>
    </row>
    <row r="261" spans="2:6" x14ac:dyDescent="0.35">
      <c r="B261" s="122"/>
      <c r="C261" s="122"/>
      <c r="D261" s="122"/>
      <c r="E261" s="122"/>
      <c r="F261" s="122"/>
    </row>
    <row r="262" spans="2:6" x14ac:dyDescent="0.35">
      <c r="B262" s="122"/>
      <c r="C262" s="122"/>
      <c r="D262" s="122"/>
      <c r="E262" s="122"/>
      <c r="F262" s="122"/>
    </row>
    <row r="263" spans="2:6" x14ac:dyDescent="0.35">
      <c r="B263" s="122"/>
      <c r="C263" s="122"/>
      <c r="D263" s="122"/>
      <c r="E263" s="122"/>
      <c r="F263" s="122"/>
    </row>
    <row r="264" spans="2:6" x14ac:dyDescent="0.35">
      <c r="B264" s="122"/>
      <c r="C264" s="122"/>
      <c r="D264" s="122"/>
      <c r="E264" s="122"/>
      <c r="F264" s="122"/>
    </row>
    <row r="265" spans="2:6" x14ac:dyDescent="0.35">
      <c r="B265" s="122"/>
      <c r="C265" s="122"/>
      <c r="D265" s="122"/>
      <c r="E265" s="122"/>
      <c r="F265" s="122"/>
    </row>
    <row r="266" spans="2:6" x14ac:dyDescent="0.35">
      <c r="B266" s="122"/>
      <c r="C266" s="122"/>
      <c r="D266" s="122"/>
      <c r="E266" s="122"/>
      <c r="F266" s="122"/>
    </row>
    <row r="267" spans="2:6" x14ac:dyDescent="0.35">
      <c r="B267" s="122"/>
      <c r="C267" s="122"/>
      <c r="D267" s="122"/>
      <c r="E267" s="122"/>
      <c r="F267" s="122"/>
    </row>
    <row r="268" spans="2:6" x14ac:dyDescent="0.35">
      <c r="B268" s="122"/>
      <c r="C268" s="122"/>
      <c r="D268" s="122"/>
      <c r="E268" s="122"/>
      <c r="F268" s="122"/>
    </row>
    <row r="269" spans="2:6" x14ac:dyDescent="0.35">
      <c r="B269" s="122"/>
      <c r="C269" s="122"/>
      <c r="D269" s="122"/>
      <c r="E269" s="122"/>
      <c r="F269" s="122"/>
    </row>
    <row r="270" spans="2:6" x14ac:dyDescent="0.35">
      <c r="B270" s="122"/>
      <c r="C270" s="122"/>
      <c r="D270" s="122"/>
      <c r="E270" s="122"/>
      <c r="F270" s="122"/>
    </row>
    <row r="271" spans="2:6" x14ac:dyDescent="0.35">
      <c r="B271" s="122"/>
      <c r="C271" s="122"/>
      <c r="D271" s="122"/>
      <c r="E271" s="122"/>
      <c r="F271" s="122"/>
    </row>
    <row r="272" spans="2:6" x14ac:dyDescent="0.35">
      <c r="B272" s="122"/>
      <c r="C272" s="122"/>
      <c r="D272" s="122"/>
      <c r="E272" s="122"/>
      <c r="F272" s="122"/>
    </row>
    <row r="273" spans="2:6" x14ac:dyDescent="0.35">
      <c r="B273" s="122"/>
      <c r="C273" s="122"/>
      <c r="D273" s="122"/>
      <c r="E273" s="122"/>
      <c r="F273" s="122"/>
    </row>
    <row r="274" spans="2:6" x14ac:dyDescent="0.35">
      <c r="B274" s="122"/>
      <c r="C274" s="122"/>
      <c r="D274" s="122"/>
      <c r="E274" s="122"/>
      <c r="F274" s="122"/>
    </row>
    <row r="275" spans="2:6" x14ac:dyDescent="0.35">
      <c r="B275" s="122"/>
      <c r="C275" s="122"/>
      <c r="D275" s="122"/>
      <c r="E275" s="122"/>
      <c r="F275" s="122"/>
    </row>
    <row r="276" spans="2:6" x14ac:dyDescent="0.35">
      <c r="B276" s="122"/>
      <c r="C276" s="122"/>
      <c r="D276" s="122"/>
      <c r="E276" s="122"/>
      <c r="F276" s="122"/>
    </row>
    <row r="277" spans="2:6" x14ac:dyDescent="0.35">
      <c r="B277" s="122"/>
      <c r="C277" s="122"/>
      <c r="D277" s="122"/>
      <c r="E277" s="122"/>
      <c r="F277" s="122"/>
    </row>
    <row r="278" spans="2:6" x14ac:dyDescent="0.35">
      <c r="B278" s="122"/>
      <c r="C278" s="122"/>
      <c r="D278" s="122"/>
      <c r="E278" s="122"/>
      <c r="F278" s="122"/>
    </row>
    <row r="279" spans="2:6" x14ac:dyDescent="0.35">
      <c r="B279" s="122"/>
      <c r="C279" s="122"/>
      <c r="D279" s="122"/>
      <c r="E279" s="122"/>
      <c r="F279" s="122"/>
    </row>
    <row r="280" spans="2:6" x14ac:dyDescent="0.35">
      <c r="B280" s="122"/>
      <c r="C280" s="122"/>
      <c r="D280" s="122"/>
      <c r="E280" s="122"/>
      <c r="F280" s="122"/>
    </row>
    <row r="281" spans="2:6" x14ac:dyDescent="0.35">
      <c r="B281" s="122"/>
      <c r="C281" s="122"/>
      <c r="D281" s="122"/>
      <c r="E281" s="122"/>
      <c r="F281" s="122"/>
    </row>
    <row r="282" spans="2:6" x14ac:dyDescent="0.35">
      <c r="B282" s="122"/>
      <c r="C282" s="122"/>
      <c r="D282" s="122"/>
      <c r="E282" s="122"/>
      <c r="F282" s="122"/>
    </row>
    <row r="283" spans="2:6" x14ac:dyDescent="0.35">
      <c r="B283" s="122"/>
      <c r="C283" s="122"/>
      <c r="D283" s="122"/>
      <c r="E283" s="122"/>
      <c r="F283" s="122"/>
    </row>
    <row r="284" spans="2:6" x14ac:dyDescent="0.35">
      <c r="B284" s="122"/>
      <c r="C284" s="122"/>
      <c r="D284" s="122"/>
      <c r="E284" s="122"/>
      <c r="F284" s="122"/>
    </row>
    <row r="285" spans="2:6" x14ac:dyDescent="0.35">
      <c r="B285" s="122"/>
      <c r="C285" s="122"/>
      <c r="D285" s="122"/>
      <c r="E285" s="122"/>
      <c r="F285" s="122"/>
    </row>
    <row r="286" spans="2:6" x14ac:dyDescent="0.35">
      <c r="B286" s="122"/>
      <c r="C286" s="122"/>
      <c r="D286" s="122"/>
      <c r="E286" s="122"/>
      <c r="F286" s="122"/>
    </row>
    <row r="287" spans="2:6" x14ac:dyDescent="0.35">
      <c r="B287" s="122"/>
      <c r="C287" s="122"/>
      <c r="D287" s="122"/>
      <c r="E287" s="122"/>
      <c r="F287" s="122"/>
    </row>
    <row r="288" spans="2:6" x14ac:dyDescent="0.35">
      <c r="B288" s="122"/>
      <c r="C288" s="122"/>
      <c r="D288" s="122"/>
      <c r="E288" s="122"/>
      <c r="F288" s="122"/>
    </row>
    <row r="289" spans="2:6" x14ac:dyDescent="0.35">
      <c r="B289" s="122"/>
      <c r="C289" s="122"/>
      <c r="D289" s="122"/>
      <c r="E289" s="122"/>
      <c r="F289" s="122"/>
    </row>
    <row r="290" spans="2:6" x14ac:dyDescent="0.35">
      <c r="B290" s="122"/>
      <c r="C290" s="122"/>
      <c r="D290" s="122"/>
      <c r="E290" s="122"/>
      <c r="F290" s="122"/>
    </row>
    <row r="291" spans="2:6" x14ac:dyDescent="0.35">
      <c r="B291" s="122"/>
      <c r="C291" s="122"/>
      <c r="D291" s="122"/>
      <c r="E291" s="122"/>
      <c r="F291" s="122"/>
    </row>
    <row r="292" spans="2:6" x14ac:dyDescent="0.35">
      <c r="B292" s="122"/>
      <c r="C292" s="122"/>
      <c r="D292" s="122"/>
      <c r="E292" s="122"/>
      <c r="F292" s="122"/>
    </row>
    <row r="293" spans="2:6" x14ac:dyDescent="0.35">
      <c r="B293" s="122"/>
      <c r="C293" s="122"/>
      <c r="D293" s="122"/>
      <c r="E293" s="122"/>
      <c r="F293" s="122"/>
    </row>
    <row r="294" spans="2:6" x14ac:dyDescent="0.35">
      <c r="B294" s="122"/>
      <c r="C294" s="122"/>
      <c r="D294" s="122"/>
      <c r="E294" s="122"/>
      <c r="F294" s="122"/>
    </row>
    <row r="295" spans="2:6" x14ac:dyDescent="0.35">
      <c r="B295" s="122"/>
      <c r="C295" s="122"/>
      <c r="D295" s="122"/>
      <c r="E295" s="122"/>
      <c r="F295" s="122"/>
    </row>
    <row r="296" spans="2:6" x14ac:dyDescent="0.35">
      <c r="B296" s="122"/>
      <c r="C296" s="122"/>
      <c r="D296" s="122"/>
      <c r="E296" s="122"/>
      <c r="F296" s="122"/>
    </row>
    <row r="297" spans="2:6" x14ac:dyDescent="0.35">
      <c r="B297" s="122"/>
      <c r="C297" s="122"/>
      <c r="D297" s="122"/>
      <c r="E297" s="122"/>
      <c r="F297" s="122"/>
    </row>
    <row r="298" spans="2:6" x14ac:dyDescent="0.35">
      <c r="B298" s="122"/>
      <c r="C298" s="122"/>
      <c r="D298" s="122"/>
      <c r="E298" s="122"/>
      <c r="F298" s="122"/>
    </row>
    <row r="299" spans="2:6" x14ac:dyDescent="0.35">
      <c r="B299" s="122"/>
      <c r="C299" s="122"/>
      <c r="D299" s="122"/>
      <c r="E299" s="122"/>
      <c r="F299" s="122"/>
    </row>
    <row r="300" spans="2:6" x14ac:dyDescent="0.35">
      <c r="B300" s="122"/>
      <c r="C300" s="122"/>
      <c r="D300" s="122"/>
      <c r="E300" s="122"/>
      <c r="F300" s="122"/>
    </row>
    <row r="301" spans="2:6" x14ac:dyDescent="0.35">
      <c r="B301" s="122"/>
      <c r="C301" s="122"/>
      <c r="D301" s="122"/>
      <c r="E301" s="122"/>
      <c r="F301" s="122"/>
    </row>
    <row r="302" spans="2:6" x14ac:dyDescent="0.35">
      <c r="B302" s="122"/>
      <c r="C302" s="122"/>
      <c r="D302" s="122"/>
      <c r="E302" s="122"/>
      <c r="F302" s="122"/>
    </row>
    <row r="303" spans="2:6" x14ac:dyDescent="0.35">
      <c r="B303" s="122"/>
      <c r="C303" s="122"/>
      <c r="D303" s="122"/>
      <c r="E303" s="122"/>
      <c r="F303" s="122"/>
    </row>
    <row r="304" spans="2:6" x14ac:dyDescent="0.35">
      <c r="B304" s="122"/>
      <c r="C304" s="122"/>
      <c r="D304" s="122"/>
      <c r="E304" s="122"/>
      <c r="F304" s="122"/>
    </row>
    <row r="305" spans="2:6" x14ac:dyDescent="0.35">
      <c r="B305" s="122"/>
      <c r="C305" s="122"/>
      <c r="D305" s="122"/>
      <c r="E305" s="122"/>
      <c r="F305" s="122"/>
    </row>
    <row r="306" spans="2:6" x14ac:dyDescent="0.35">
      <c r="B306" s="122"/>
      <c r="C306" s="122"/>
      <c r="D306" s="122"/>
      <c r="E306" s="122"/>
      <c r="F306" s="122"/>
    </row>
    <row r="307" spans="2:6" x14ac:dyDescent="0.35">
      <c r="B307" s="122"/>
      <c r="C307" s="122"/>
      <c r="D307" s="122"/>
      <c r="E307" s="122"/>
      <c r="F307" s="122"/>
    </row>
    <row r="308" spans="2:6" x14ac:dyDescent="0.35">
      <c r="B308" s="122"/>
      <c r="C308" s="122"/>
      <c r="D308" s="122"/>
      <c r="E308" s="122"/>
      <c r="F308" s="122"/>
    </row>
    <row r="309" spans="2:6" x14ac:dyDescent="0.35">
      <c r="B309" s="122"/>
      <c r="C309" s="122"/>
      <c r="D309" s="122"/>
      <c r="E309" s="122"/>
      <c r="F309" s="122"/>
    </row>
    <row r="310" spans="2:6" x14ac:dyDescent="0.35">
      <c r="B310" s="122"/>
      <c r="C310" s="122"/>
      <c r="D310" s="122"/>
      <c r="E310" s="122"/>
      <c r="F310" s="122"/>
    </row>
    <row r="311" spans="2:6" x14ac:dyDescent="0.35">
      <c r="B311" s="122"/>
      <c r="C311" s="122"/>
      <c r="D311" s="122"/>
      <c r="E311" s="122"/>
      <c r="F311" s="122"/>
    </row>
    <row r="312" spans="2:6" x14ac:dyDescent="0.35">
      <c r="B312" s="122"/>
      <c r="C312" s="122"/>
      <c r="D312" s="122"/>
      <c r="E312" s="122"/>
      <c r="F312" s="122"/>
    </row>
    <row r="313" spans="2:6" x14ac:dyDescent="0.35">
      <c r="B313" s="122"/>
      <c r="C313" s="122"/>
      <c r="D313" s="122"/>
      <c r="E313" s="122"/>
      <c r="F313" s="122"/>
    </row>
    <row r="314" spans="2:6" x14ac:dyDescent="0.35">
      <c r="B314" s="122"/>
      <c r="C314" s="122"/>
      <c r="D314" s="122"/>
      <c r="E314" s="122"/>
      <c r="F314" s="122"/>
    </row>
    <row r="315" spans="2:6" x14ac:dyDescent="0.35">
      <c r="B315" s="122"/>
      <c r="C315" s="122"/>
      <c r="D315" s="122"/>
      <c r="E315" s="122"/>
      <c r="F315" s="122"/>
    </row>
    <row r="316" spans="2:6" x14ac:dyDescent="0.35">
      <c r="B316" s="122"/>
      <c r="C316" s="122"/>
      <c r="D316" s="122"/>
      <c r="E316" s="122"/>
      <c r="F316" s="122"/>
    </row>
    <row r="317" spans="2:6" x14ac:dyDescent="0.35">
      <c r="B317" s="122"/>
      <c r="C317" s="122"/>
      <c r="D317" s="122"/>
      <c r="E317" s="122"/>
      <c r="F317" s="122"/>
    </row>
    <row r="318" spans="2:6" x14ac:dyDescent="0.35">
      <c r="B318" s="122"/>
      <c r="C318" s="122"/>
      <c r="D318" s="122"/>
      <c r="E318" s="122"/>
      <c r="F318" s="122"/>
    </row>
    <row r="319" spans="2:6" x14ac:dyDescent="0.35">
      <c r="B319" s="122"/>
      <c r="C319" s="122"/>
      <c r="D319" s="122"/>
      <c r="E319" s="122"/>
      <c r="F319" s="122"/>
    </row>
    <row r="320" spans="2:6" x14ac:dyDescent="0.35">
      <c r="B320" s="122"/>
      <c r="C320" s="122"/>
      <c r="D320" s="122"/>
      <c r="E320" s="122"/>
      <c r="F320" s="122"/>
    </row>
    <row r="321" spans="2:6" x14ac:dyDescent="0.35">
      <c r="B321" s="122"/>
      <c r="C321" s="122"/>
      <c r="D321" s="122"/>
      <c r="E321" s="122"/>
      <c r="F321" s="122"/>
    </row>
    <row r="322" spans="2:6" x14ac:dyDescent="0.35">
      <c r="B322" s="122"/>
      <c r="C322" s="122"/>
      <c r="D322" s="122"/>
      <c r="E322" s="122"/>
      <c r="F322" s="122"/>
    </row>
    <row r="323" spans="2:6" x14ac:dyDescent="0.35">
      <c r="B323" s="122"/>
      <c r="C323" s="122"/>
      <c r="D323" s="122"/>
      <c r="E323" s="122"/>
      <c r="F323" s="122"/>
    </row>
    <row r="324" spans="2:6" x14ac:dyDescent="0.35">
      <c r="B324" s="122"/>
      <c r="C324" s="122"/>
      <c r="D324" s="122"/>
      <c r="E324" s="122"/>
      <c r="F324" s="122"/>
    </row>
    <row r="325" spans="2:6" x14ac:dyDescent="0.35">
      <c r="B325" s="122"/>
      <c r="C325" s="122"/>
      <c r="D325" s="122"/>
      <c r="E325" s="122"/>
      <c r="F325" s="122"/>
    </row>
    <row r="326" spans="2:6" x14ac:dyDescent="0.35">
      <c r="B326" s="122"/>
      <c r="C326" s="122"/>
      <c r="D326" s="122"/>
      <c r="E326" s="122"/>
      <c r="F326" s="122"/>
    </row>
    <row r="327" spans="2:6" x14ac:dyDescent="0.35">
      <c r="B327" s="122"/>
      <c r="C327" s="122"/>
      <c r="D327" s="122"/>
      <c r="E327" s="122"/>
      <c r="F327" s="122"/>
    </row>
    <row r="328" spans="2:6" x14ac:dyDescent="0.35">
      <c r="B328" s="122"/>
      <c r="C328" s="122"/>
      <c r="D328" s="122"/>
      <c r="E328" s="122"/>
      <c r="F328" s="122"/>
    </row>
    <row r="329" spans="2:6" x14ac:dyDescent="0.35">
      <c r="B329" s="122"/>
      <c r="C329" s="122"/>
      <c r="D329" s="122"/>
      <c r="E329" s="122"/>
      <c r="F329" s="122"/>
    </row>
    <row r="330" spans="2:6" x14ac:dyDescent="0.35">
      <c r="B330" s="122"/>
      <c r="C330" s="122"/>
      <c r="D330" s="122"/>
      <c r="E330" s="122"/>
      <c r="F330" s="122"/>
    </row>
    <row r="331" spans="2:6" x14ac:dyDescent="0.35">
      <c r="B331" s="122"/>
      <c r="C331" s="122"/>
      <c r="D331" s="122"/>
      <c r="E331" s="122"/>
      <c r="F331" s="122"/>
    </row>
    <row r="332" spans="2:6" x14ac:dyDescent="0.35">
      <c r="B332" s="122"/>
      <c r="C332" s="122"/>
      <c r="D332" s="122"/>
      <c r="E332" s="122"/>
      <c r="F332" s="122"/>
    </row>
    <row r="333" spans="2:6" x14ac:dyDescent="0.35">
      <c r="B333" s="122"/>
      <c r="C333" s="122"/>
      <c r="D333" s="122"/>
      <c r="E333" s="122"/>
      <c r="F333" s="122"/>
    </row>
    <row r="334" spans="2:6" x14ac:dyDescent="0.35">
      <c r="B334" s="122"/>
      <c r="C334" s="122"/>
      <c r="D334" s="122"/>
      <c r="E334" s="122"/>
      <c r="F334" s="122"/>
    </row>
    <row r="335" spans="2:6" x14ac:dyDescent="0.35">
      <c r="B335" s="122"/>
      <c r="C335" s="122"/>
      <c r="D335" s="122"/>
      <c r="E335" s="122"/>
      <c r="F335" s="122"/>
    </row>
    <row r="336" spans="2:6" x14ac:dyDescent="0.35">
      <c r="B336" s="122"/>
      <c r="C336" s="122"/>
      <c r="D336" s="122"/>
      <c r="E336" s="122"/>
      <c r="F336" s="122"/>
    </row>
    <row r="337" spans="2:6" x14ac:dyDescent="0.35">
      <c r="B337" s="122"/>
      <c r="C337" s="122"/>
      <c r="D337" s="122"/>
      <c r="E337" s="122"/>
      <c r="F337" s="122"/>
    </row>
    <row r="338" spans="2:6" x14ac:dyDescent="0.35">
      <c r="B338" s="122"/>
      <c r="C338" s="122"/>
      <c r="D338" s="122"/>
      <c r="E338" s="122"/>
      <c r="F338" s="122"/>
    </row>
    <row r="339" spans="2:6" x14ac:dyDescent="0.35">
      <c r="B339" s="122"/>
      <c r="C339" s="122"/>
      <c r="D339" s="122"/>
      <c r="E339" s="122"/>
      <c r="F339" s="122"/>
    </row>
    <row r="340" spans="2:6" x14ac:dyDescent="0.35">
      <c r="B340" s="122"/>
      <c r="C340" s="122"/>
      <c r="D340" s="122"/>
      <c r="E340" s="122"/>
      <c r="F340" s="122"/>
    </row>
    <row r="341" spans="2:6" x14ac:dyDescent="0.35">
      <c r="B341" s="122"/>
      <c r="C341" s="122"/>
      <c r="D341" s="122"/>
      <c r="E341" s="122"/>
      <c r="F341" s="122"/>
    </row>
    <row r="342" spans="2:6" x14ac:dyDescent="0.35">
      <c r="B342" s="122"/>
      <c r="C342" s="122"/>
      <c r="D342" s="122"/>
      <c r="E342" s="122"/>
      <c r="F342" s="122"/>
    </row>
    <row r="343" spans="2:6" x14ac:dyDescent="0.35">
      <c r="B343" s="122"/>
      <c r="C343" s="122"/>
      <c r="D343" s="122"/>
      <c r="E343" s="122"/>
      <c r="F343" s="122"/>
    </row>
    <row r="344" spans="2:6" x14ac:dyDescent="0.35">
      <c r="B344" s="122"/>
      <c r="C344" s="122"/>
      <c r="D344" s="122"/>
      <c r="E344" s="122"/>
      <c r="F344" s="122"/>
    </row>
    <row r="345" spans="2:6" x14ac:dyDescent="0.35">
      <c r="B345" s="122"/>
      <c r="C345" s="122"/>
      <c r="D345" s="122"/>
      <c r="E345" s="122"/>
      <c r="F345" s="122"/>
    </row>
    <row r="346" spans="2:6" x14ac:dyDescent="0.35">
      <c r="B346" s="122"/>
      <c r="C346" s="122"/>
      <c r="D346" s="122"/>
      <c r="E346" s="122"/>
      <c r="F346" s="122"/>
    </row>
    <row r="347" spans="2:6" x14ac:dyDescent="0.35">
      <c r="B347" s="122"/>
      <c r="C347" s="122"/>
      <c r="D347" s="122"/>
      <c r="E347" s="122"/>
      <c r="F347" s="122"/>
    </row>
    <row r="348" spans="2:6" x14ac:dyDescent="0.35">
      <c r="B348" s="122"/>
      <c r="C348" s="122"/>
      <c r="D348" s="122"/>
      <c r="E348" s="122"/>
      <c r="F348" s="122"/>
    </row>
    <row r="349" spans="2:6" x14ac:dyDescent="0.35">
      <c r="B349" s="122"/>
      <c r="C349" s="122"/>
      <c r="D349" s="122"/>
      <c r="E349" s="122"/>
      <c r="F349" s="122"/>
    </row>
    <row r="350" spans="2:6" x14ac:dyDescent="0.35">
      <c r="B350" s="122"/>
      <c r="C350" s="122"/>
      <c r="D350" s="122"/>
      <c r="E350" s="122"/>
      <c r="F350" s="122"/>
    </row>
    <row r="351" spans="2:6" x14ac:dyDescent="0.35">
      <c r="B351" s="122"/>
      <c r="C351" s="122"/>
      <c r="D351" s="122"/>
      <c r="E351" s="122"/>
      <c r="F351" s="122"/>
    </row>
    <row r="352" spans="2:6" x14ac:dyDescent="0.35">
      <c r="B352" s="122"/>
      <c r="C352" s="122"/>
      <c r="D352" s="122"/>
      <c r="E352" s="122"/>
      <c r="F352" s="122"/>
    </row>
    <row r="353" spans="2:6" x14ac:dyDescent="0.35">
      <c r="B353" s="122"/>
      <c r="C353" s="122"/>
      <c r="D353" s="122"/>
      <c r="E353" s="122"/>
      <c r="F353" s="122"/>
    </row>
    <row r="354" spans="2:6" x14ac:dyDescent="0.35">
      <c r="B354" s="122"/>
      <c r="C354" s="122"/>
      <c r="D354" s="122"/>
      <c r="E354" s="122"/>
      <c r="F354" s="122"/>
    </row>
    <row r="355" spans="2:6" x14ac:dyDescent="0.35">
      <c r="B355" s="122"/>
      <c r="C355" s="122"/>
      <c r="D355" s="122"/>
      <c r="E355" s="122"/>
      <c r="F355" s="122"/>
    </row>
    <row r="356" spans="2:6" x14ac:dyDescent="0.35">
      <c r="B356" s="122"/>
      <c r="C356" s="122"/>
      <c r="D356" s="122"/>
      <c r="E356" s="122"/>
      <c r="F356" s="122"/>
    </row>
    <row r="357" spans="2:6" x14ac:dyDescent="0.35">
      <c r="B357" s="122"/>
      <c r="C357" s="122"/>
      <c r="D357" s="122"/>
      <c r="E357" s="122"/>
      <c r="F357" s="122"/>
    </row>
    <row r="358" spans="2:6" x14ac:dyDescent="0.35">
      <c r="B358" s="122"/>
      <c r="C358" s="122"/>
      <c r="D358" s="122"/>
      <c r="E358" s="122"/>
      <c r="F358" s="122"/>
    </row>
    <row r="359" spans="2:6" x14ac:dyDescent="0.35">
      <c r="B359" s="122"/>
      <c r="C359" s="122"/>
      <c r="D359" s="122"/>
      <c r="E359" s="122"/>
      <c r="F359" s="122"/>
    </row>
    <row r="360" spans="2:6" x14ac:dyDescent="0.35">
      <c r="B360" s="122"/>
      <c r="C360" s="122"/>
      <c r="D360" s="122"/>
      <c r="E360" s="122"/>
      <c r="F360" s="122"/>
    </row>
    <row r="361" spans="2:6" x14ac:dyDescent="0.35">
      <c r="B361" s="122"/>
      <c r="C361" s="122"/>
      <c r="D361" s="122"/>
      <c r="E361" s="122"/>
      <c r="F361" s="122"/>
    </row>
    <row r="362" spans="2:6" x14ac:dyDescent="0.35">
      <c r="B362" s="122"/>
      <c r="C362" s="122"/>
      <c r="D362" s="122"/>
      <c r="E362" s="122"/>
      <c r="F362" s="122"/>
    </row>
    <row r="363" spans="2:6" x14ac:dyDescent="0.35">
      <c r="B363" s="122"/>
      <c r="C363" s="122"/>
      <c r="D363" s="122"/>
      <c r="E363" s="122"/>
      <c r="F363" s="122"/>
    </row>
    <row r="364" spans="2:6" x14ac:dyDescent="0.35">
      <c r="B364" s="122"/>
      <c r="C364" s="122"/>
      <c r="D364" s="122"/>
      <c r="E364" s="122"/>
      <c r="F364" s="122"/>
    </row>
    <row r="365" spans="2:6" x14ac:dyDescent="0.35">
      <c r="B365" s="122"/>
      <c r="C365" s="122"/>
      <c r="D365" s="122"/>
      <c r="E365" s="122"/>
      <c r="F365" s="122"/>
    </row>
    <row r="366" spans="2:6" x14ac:dyDescent="0.35">
      <c r="B366" s="122"/>
      <c r="C366" s="122"/>
      <c r="D366" s="122"/>
      <c r="E366" s="122"/>
      <c r="F366" s="122"/>
    </row>
    <row r="367" spans="2:6" x14ac:dyDescent="0.35">
      <c r="B367" s="122"/>
      <c r="C367" s="122"/>
      <c r="D367" s="122"/>
      <c r="E367" s="122"/>
      <c r="F367" s="122"/>
    </row>
    <row r="368" spans="2:6" x14ac:dyDescent="0.35">
      <c r="B368" s="122"/>
      <c r="C368" s="122"/>
      <c r="D368" s="122"/>
      <c r="E368" s="122"/>
      <c r="F368" s="122"/>
    </row>
    <row r="369" spans="2:6" x14ac:dyDescent="0.35">
      <c r="B369" s="122"/>
      <c r="C369" s="122"/>
      <c r="D369" s="122"/>
      <c r="E369" s="122"/>
      <c r="F369" s="122"/>
    </row>
    <row r="370" spans="2:6" x14ac:dyDescent="0.35">
      <c r="B370" s="122"/>
      <c r="C370" s="122"/>
      <c r="D370" s="122"/>
      <c r="E370" s="122"/>
      <c r="F370" s="122"/>
    </row>
    <row r="371" spans="2:6" x14ac:dyDescent="0.35">
      <c r="B371" s="122"/>
      <c r="C371" s="122"/>
      <c r="D371" s="122"/>
      <c r="E371" s="122"/>
      <c r="F371" s="122"/>
    </row>
    <row r="372" spans="2:6" x14ac:dyDescent="0.35">
      <c r="B372" s="122"/>
      <c r="C372" s="122"/>
      <c r="D372" s="122"/>
      <c r="E372" s="122"/>
      <c r="F372" s="122"/>
    </row>
    <row r="373" spans="2:6" x14ac:dyDescent="0.35">
      <c r="B373" s="122"/>
      <c r="C373" s="122"/>
      <c r="D373" s="122"/>
      <c r="E373" s="122"/>
      <c r="F373" s="122"/>
    </row>
    <row r="374" spans="2:6" x14ac:dyDescent="0.35">
      <c r="B374" s="122"/>
      <c r="C374" s="122"/>
      <c r="D374" s="122"/>
      <c r="E374" s="122"/>
      <c r="F374" s="122"/>
    </row>
    <row r="375" spans="2:6" x14ac:dyDescent="0.35">
      <c r="B375" s="122"/>
      <c r="C375" s="122"/>
      <c r="D375" s="122"/>
      <c r="E375" s="122"/>
      <c r="F375" s="122"/>
    </row>
    <row r="376" spans="2:6" x14ac:dyDescent="0.35">
      <c r="B376" s="122"/>
      <c r="C376" s="122"/>
      <c r="D376" s="122"/>
      <c r="E376" s="122"/>
      <c r="F376" s="122"/>
    </row>
    <row r="377" spans="2:6" x14ac:dyDescent="0.35">
      <c r="B377" s="122"/>
      <c r="C377" s="122"/>
      <c r="D377" s="122"/>
      <c r="E377" s="122"/>
      <c r="F377" s="122"/>
    </row>
    <row r="378" spans="2:6" x14ac:dyDescent="0.35">
      <c r="B378" s="122"/>
      <c r="C378" s="122"/>
      <c r="D378" s="122"/>
      <c r="E378" s="122"/>
      <c r="F378" s="122"/>
    </row>
    <row r="379" spans="2:6" x14ac:dyDescent="0.35">
      <c r="B379" s="122"/>
      <c r="C379" s="122"/>
      <c r="D379" s="122"/>
      <c r="E379" s="122"/>
      <c r="F379" s="122"/>
    </row>
    <row r="380" spans="2:6" x14ac:dyDescent="0.35">
      <c r="B380" s="122"/>
      <c r="C380" s="122"/>
      <c r="D380" s="122"/>
      <c r="E380" s="122"/>
      <c r="F380" s="122"/>
    </row>
    <row r="381" spans="2:6" x14ac:dyDescent="0.35">
      <c r="B381" s="122"/>
      <c r="C381" s="122"/>
      <c r="D381" s="122"/>
      <c r="E381" s="122"/>
      <c r="F381" s="122"/>
    </row>
    <row r="382" spans="2:6" x14ac:dyDescent="0.35">
      <c r="B382" s="122"/>
      <c r="C382" s="122"/>
      <c r="D382" s="122"/>
      <c r="E382" s="122"/>
      <c r="F382" s="122"/>
    </row>
    <row r="383" spans="2:6" x14ac:dyDescent="0.35">
      <c r="B383" s="122"/>
      <c r="C383" s="122"/>
      <c r="D383" s="122"/>
      <c r="E383" s="122"/>
      <c r="F383" s="122"/>
    </row>
    <row r="384" spans="2:6" x14ac:dyDescent="0.35">
      <c r="B384" s="122"/>
      <c r="C384" s="122"/>
      <c r="D384" s="122"/>
      <c r="E384" s="122"/>
      <c r="F384" s="122"/>
    </row>
    <row r="385" spans="2:6" x14ac:dyDescent="0.35">
      <c r="B385" s="122"/>
      <c r="C385" s="122"/>
      <c r="D385" s="122"/>
      <c r="E385" s="122"/>
      <c r="F385" s="122"/>
    </row>
    <row r="386" spans="2:6" x14ac:dyDescent="0.35">
      <c r="B386" s="122"/>
      <c r="C386" s="122"/>
      <c r="D386" s="122"/>
      <c r="E386" s="122"/>
      <c r="F386" s="122"/>
    </row>
    <row r="387" spans="2:6" x14ac:dyDescent="0.35">
      <c r="B387" s="122"/>
      <c r="C387" s="122"/>
      <c r="D387" s="122"/>
      <c r="E387" s="122"/>
      <c r="F387" s="122"/>
    </row>
    <row r="388" spans="2:6" x14ac:dyDescent="0.35">
      <c r="B388" s="122"/>
      <c r="C388" s="122"/>
      <c r="D388" s="122"/>
      <c r="E388" s="122"/>
      <c r="F388" s="122"/>
    </row>
    <row r="389" spans="2:6" x14ac:dyDescent="0.35">
      <c r="B389" s="122"/>
      <c r="C389" s="122"/>
      <c r="D389" s="122"/>
      <c r="E389" s="122"/>
      <c r="F389" s="122"/>
    </row>
    <row r="390" spans="2:6" x14ac:dyDescent="0.35">
      <c r="B390" s="122"/>
      <c r="C390" s="122"/>
      <c r="D390" s="122"/>
      <c r="E390" s="122"/>
      <c r="F390" s="122"/>
    </row>
    <row r="391" spans="2:6" x14ac:dyDescent="0.35">
      <c r="B391" s="122"/>
      <c r="C391" s="122"/>
      <c r="D391" s="122"/>
      <c r="E391" s="122"/>
      <c r="F391" s="122"/>
    </row>
    <row r="392" spans="2:6" x14ac:dyDescent="0.35">
      <c r="B392" s="122"/>
      <c r="C392" s="122"/>
      <c r="D392" s="122"/>
      <c r="E392" s="122"/>
      <c r="F392" s="122"/>
    </row>
    <row r="393" spans="2:6" x14ac:dyDescent="0.35">
      <c r="B393" s="122"/>
      <c r="C393" s="122"/>
      <c r="D393" s="122"/>
      <c r="E393" s="122"/>
      <c r="F393" s="122"/>
    </row>
    <row r="394" spans="2:6" x14ac:dyDescent="0.35">
      <c r="B394" s="122"/>
      <c r="C394" s="122"/>
      <c r="D394" s="122"/>
      <c r="E394" s="122"/>
      <c r="F394" s="122"/>
    </row>
    <row r="395" spans="2:6" x14ac:dyDescent="0.35">
      <c r="B395" s="122"/>
      <c r="C395" s="122"/>
      <c r="D395" s="122"/>
      <c r="E395" s="122"/>
      <c r="F395" s="122"/>
    </row>
    <row r="396" spans="2:6" x14ac:dyDescent="0.35">
      <c r="B396" s="122"/>
      <c r="C396" s="122"/>
      <c r="D396" s="122"/>
      <c r="E396" s="122"/>
      <c r="F396" s="122"/>
    </row>
    <row r="397" spans="2:6" x14ac:dyDescent="0.35">
      <c r="B397" s="122"/>
      <c r="C397" s="122"/>
      <c r="D397" s="122"/>
      <c r="E397" s="122"/>
      <c r="F397" s="122"/>
    </row>
    <row r="398" spans="2:6" x14ac:dyDescent="0.35">
      <c r="B398" s="122"/>
      <c r="C398" s="122"/>
      <c r="D398" s="122"/>
      <c r="E398" s="122"/>
      <c r="F398" s="122"/>
    </row>
    <row r="399" spans="2:6" x14ac:dyDescent="0.35">
      <c r="B399" s="122"/>
      <c r="C399" s="122"/>
      <c r="D399" s="122"/>
      <c r="E399" s="122"/>
      <c r="F399" s="122"/>
    </row>
    <row r="400" spans="2:6" x14ac:dyDescent="0.35">
      <c r="B400" s="122"/>
      <c r="C400" s="122"/>
      <c r="D400" s="122"/>
      <c r="E400" s="122"/>
      <c r="F400" s="122"/>
    </row>
    <row r="401" spans="2:6" x14ac:dyDescent="0.35">
      <c r="B401" s="122"/>
      <c r="C401" s="122"/>
      <c r="D401" s="122"/>
      <c r="E401" s="122"/>
      <c r="F401" s="122"/>
    </row>
    <row r="402" spans="2:6" x14ac:dyDescent="0.35">
      <c r="B402" s="122"/>
      <c r="C402" s="122"/>
      <c r="D402" s="122"/>
      <c r="E402" s="122"/>
      <c r="F402" s="122"/>
    </row>
    <row r="403" spans="2:6" x14ac:dyDescent="0.35">
      <c r="B403" s="122"/>
      <c r="C403" s="122"/>
      <c r="D403" s="122"/>
      <c r="E403" s="122"/>
      <c r="F403" s="122"/>
    </row>
    <row r="404" spans="2:6" x14ac:dyDescent="0.35">
      <c r="B404" s="122"/>
      <c r="C404" s="122"/>
      <c r="D404" s="122"/>
      <c r="E404" s="122"/>
      <c r="F404" s="122"/>
    </row>
    <row r="405" spans="2:6" x14ac:dyDescent="0.35">
      <c r="B405" s="122"/>
      <c r="C405" s="122"/>
      <c r="D405" s="122"/>
      <c r="E405" s="122"/>
      <c r="F405" s="122"/>
    </row>
    <row r="406" spans="2:6" x14ac:dyDescent="0.35">
      <c r="B406" s="122"/>
      <c r="C406" s="122"/>
      <c r="D406" s="122"/>
      <c r="E406" s="122"/>
      <c r="F406" s="122"/>
    </row>
    <row r="407" spans="2:6" x14ac:dyDescent="0.35">
      <c r="B407" s="122"/>
      <c r="C407" s="122"/>
      <c r="D407" s="122"/>
      <c r="E407" s="122"/>
      <c r="F407" s="122"/>
    </row>
    <row r="408" spans="2:6" x14ac:dyDescent="0.35">
      <c r="B408" s="122"/>
      <c r="C408" s="122"/>
      <c r="D408" s="122"/>
      <c r="E408" s="122"/>
      <c r="F408" s="122"/>
    </row>
    <row r="409" spans="2:6" x14ac:dyDescent="0.35">
      <c r="B409" s="122"/>
      <c r="C409" s="122"/>
      <c r="D409" s="122"/>
      <c r="E409" s="122"/>
      <c r="F409" s="122"/>
    </row>
    <row r="410" spans="2:6" x14ac:dyDescent="0.35">
      <c r="B410" s="122"/>
      <c r="C410" s="122"/>
      <c r="D410" s="122"/>
      <c r="E410" s="122"/>
      <c r="F410" s="122"/>
    </row>
    <row r="411" spans="2:6" x14ac:dyDescent="0.35">
      <c r="B411" s="122"/>
      <c r="C411" s="122"/>
      <c r="D411" s="122"/>
      <c r="E411" s="122"/>
      <c r="F411" s="122"/>
    </row>
    <row r="412" spans="2:6" x14ac:dyDescent="0.35">
      <c r="B412" s="122"/>
      <c r="C412" s="122"/>
      <c r="D412" s="122"/>
      <c r="E412" s="122"/>
      <c r="F412" s="122"/>
    </row>
    <row r="413" spans="2:6" x14ac:dyDescent="0.35">
      <c r="B413" s="122"/>
      <c r="C413" s="122"/>
      <c r="D413" s="122"/>
      <c r="E413" s="122"/>
      <c r="F413" s="122"/>
    </row>
    <row r="414" spans="2:6" x14ac:dyDescent="0.35">
      <c r="B414" s="122"/>
      <c r="C414" s="122"/>
      <c r="D414" s="122"/>
      <c r="E414" s="122"/>
      <c r="F414" s="122"/>
    </row>
    <row r="415" spans="2:6" x14ac:dyDescent="0.35">
      <c r="B415" s="122"/>
      <c r="C415" s="122"/>
      <c r="D415" s="122"/>
      <c r="E415" s="122"/>
      <c r="F415" s="122"/>
    </row>
    <row r="416" spans="2:6" x14ac:dyDescent="0.35">
      <c r="B416" s="122"/>
      <c r="C416" s="122"/>
      <c r="D416" s="122"/>
      <c r="E416" s="122"/>
      <c r="F416" s="122"/>
    </row>
    <row r="417" spans="2:6" x14ac:dyDescent="0.35">
      <c r="B417" s="122"/>
      <c r="C417" s="122"/>
      <c r="D417" s="122"/>
      <c r="E417" s="122"/>
      <c r="F417" s="122"/>
    </row>
    <row r="418" spans="2:6" x14ac:dyDescent="0.35">
      <c r="B418" s="122"/>
      <c r="C418" s="122"/>
      <c r="D418" s="122"/>
      <c r="E418" s="122"/>
      <c r="F418" s="122"/>
    </row>
    <row r="419" spans="2:6" x14ac:dyDescent="0.35">
      <c r="B419" s="122"/>
      <c r="C419" s="122"/>
      <c r="D419" s="122"/>
      <c r="E419" s="122"/>
      <c r="F419" s="122"/>
    </row>
    <row r="420" spans="2:6" x14ac:dyDescent="0.35">
      <c r="B420" s="122"/>
      <c r="C420" s="122"/>
      <c r="D420" s="122"/>
      <c r="E420" s="122"/>
      <c r="F420" s="122"/>
    </row>
    <row r="421" spans="2:6" x14ac:dyDescent="0.35">
      <c r="B421" s="122"/>
      <c r="C421" s="122"/>
      <c r="D421" s="122"/>
      <c r="E421" s="122"/>
      <c r="F421" s="122"/>
    </row>
    <row r="422" spans="2:6" x14ac:dyDescent="0.35">
      <c r="B422" s="122"/>
      <c r="C422" s="122"/>
      <c r="D422" s="122"/>
      <c r="E422" s="122"/>
      <c r="F422" s="122"/>
    </row>
    <row r="423" spans="2:6" x14ac:dyDescent="0.35">
      <c r="B423" s="122"/>
      <c r="C423" s="122"/>
      <c r="D423" s="122"/>
      <c r="E423" s="122"/>
      <c r="F423" s="122"/>
    </row>
    <row r="424" spans="2:6" x14ac:dyDescent="0.35">
      <c r="B424" s="122"/>
      <c r="C424" s="122"/>
      <c r="D424" s="122"/>
      <c r="E424" s="122"/>
      <c r="F424" s="122"/>
    </row>
    <row r="425" spans="2:6" x14ac:dyDescent="0.35">
      <c r="B425" s="122"/>
      <c r="C425" s="122"/>
      <c r="D425" s="122"/>
      <c r="E425" s="122"/>
      <c r="F425" s="122"/>
    </row>
    <row r="426" spans="2:6" x14ac:dyDescent="0.35">
      <c r="B426" s="122"/>
      <c r="C426" s="122"/>
      <c r="D426" s="122"/>
      <c r="E426" s="122"/>
      <c r="F426" s="122"/>
    </row>
    <row r="427" spans="2:6" x14ac:dyDescent="0.35">
      <c r="B427" s="122"/>
      <c r="C427" s="122"/>
      <c r="D427" s="122"/>
      <c r="E427" s="122"/>
      <c r="F427" s="122"/>
    </row>
    <row r="428" spans="2:6" x14ac:dyDescent="0.35">
      <c r="B428" s="122"/>
      <c r="C428" s="122"/>
      <c r="D428" s="122"/>
      <c r="E428" s="122"/>
      <c r="F428" s="122"/>
    </row>
    <row r="429" spans="2:6" x14ac:dyDescent="0.35">
      <c r="B429" s="122"/>
      <c r="C429" s="122"/>
      <c r="D429" s="122"/>
      <c r="E429" s="122"/>
      <c r="F429" s="122"/>
    </row>
    <row r="430" spans="2:6" x14ac:dyDescent="0.35">
      <c r="B430" s="122"/>
      <c r="C430" s="122"/>
      <c r="D430" s="122"/>
      <c r="E430" s="122"/>
      <c r="F430" s="122"/>
    </row>
    <row r="431" spans="2:6" x14ac:dyDescent="0.35">
      <c r="B431" s="122"/>
      <c r="C431" s="122"/>
      <c r="D431" s="122"/>
      <c r="E431" s="122"/>
      <c r="F431" s="122"/>
    </row>
    <row r="432" spans="2:6" x14ac:dyDescent="0.35">
      <c r="B432" s="122"/>
      <c r="C432" s="122"/>
      <c r="D432" s="122"/>
      <c r="E432" s="122"/>
      <c r="F432" s="122"/>
    </row>
    <row r="433" spans="2:6" x14ac:dyDescent="0.35">
      <c r="B433" s="122"/>
      <c r="C433" s="122"/>
      <c r="D433" s="122"/>
      <c r="E433" s="122"/>
      <c r="F433" s="122"/>
    </row>
    <row r="434" spans="2:6" x14ac:dyDescent="0.35">
      <c r="B434" s="122"/>
      <c r="C434" s="122"/>
      <c r="D434" s="122"/>
      <c r="E434" s="122"/>
      <c r="F434" s="122"/>
    </row>
    <row r="435" spans="2:6" x14ac:dyDescent="0.35">
      <c r="B435" s="122"/>
      <c r="C435" s="122"/>
      <c r="D435" s="122"/>
      <c r="E435" s="122"/>
      <c r="F435" s="122"/>
    </row>
    <row r="436" spans="2:6" x14ac:dyDescent="0.35">
      <c r="B436" s="122"/>
      <c r="C436" s="122"/>
      <c r="D436" s="122"/>
      <c r="E436" s="122"/>
      <c r="F436" s="122"/>
    </row>
    <row r="437" spans="2:6" x14ac:dyDescent="0.35">
      <c r="B437" s="122"/>
      <c r="C437" s="122"/>
      <c r="D437" s="122"/>
      <c r="E437" s="122"/>
      <c r="F437" s="122"/>
    </row>
    <row r="438" spans="2:6" x14ac:dyDescent="0.35">
      <c r="B438" s="122"/>
      <c r="C438" s="122"/>
      <c r="D438" s="122"/>
      <c r="E438" s="122"/>
      <c r="F438" s="122"/>
    </row>
    <row r="439" spans="2:6" x14ac:dyDescent="0.35">
      <c r="B439" s="122"/>
      <c r="C439" s="122"/>
      <c r="D439" s="122"/>
      <c r="E439" s="122"/>
      <c r="F439" s="122"/>
    </row>
    <row r="440" spans="2:6" x14ac:dyDescent="0.35">
      <c r="B440" s="122"/>
      <c r="C440" s="122"/>
      <c r="D440" s="122"/>
      <c r="E440" s="122"/>
      <c r="F440" s="122"/>
    </row>
    <row r="441" spans="2:6" x14ac:dyDescent="0.35">
      <c r="B441" s="122"/>
      <c r="C441" s="122"/>
      <c r="D441" s="122"/>
      <c r="E441" s="122"/>
      <c r="F441" s="122"/>
    </row>
    <row r="442" spans="2:6" x14ac:dyDescent="0.35">
      <c r="B442" s="122"/>
      <c r="C442" s="122"/>
      <c r="D442" s="122"/>
      <c r="E442" s="122"/>
      <c r="F442" s="122"/>
    </row>
    <row r="443" spans="2:6" x14ac:dyDescent="0.35">
      <c r="B443" s="122"/>
      <c r="C443" s="122"/>
      <c r="D443" s="122"/>
      <c r="E443" s="122"/>
      <c r="F443" s="122"/>
    </row>
    <row r="444" spans="2:6" x14ac:dyDescent="0.35">
      <c r="B444" s="122"/>
      <c r="C444" s="122"/>
      <c r="D444" s="122"/>
      <c r="E444" s="122"/>
      <c r="F444" s="122"/>
    </row>
    <row r="445" spans="2:6" x14ac:dyDescent="0.35">
      <c r="B445" s="122"/>
      <c r="C445" s="122"/>
      <c r="D445" s="122"/>
      <c r="E445" s="122"/>
      <c r="F445" s="122"/>
    </row>
    <row r="446" spans="2:6" x14ac:dyDescent="0.35">
      <c r="B446" s="122"/>
      <c r="C446" s="122"/>
      <c r="D446" s="122"/>
      <c r="E446" s="122"/>
      <c r="F446" s="122"/>
    </row>
    <row r="447" spans="2:6" x14ac:dyDescent="0.35">
      <c r="B447" s="122"/>
      <c r="C447" s="122"/>
      <c r="D447" s="122"/>
      <c r="E447" s="122"/>
      <c r="F447" s="122"/>
    </row>
    <row r="448" spans="2:6" x14ac:dyDescent="0.35">
      <c r="B448" s="122"/>
      <c r="C448" s="122"/>
      <c r="D448" s="122"/>
      <c r="E448" s="122"/>
      <c r="F448" s="122"/>
    </row>
    <row r="449" spans="2:6" x14ac:dyDescent="0.35">
      <c r="B449" s="122"/>
      <c r="C449" s="122"/>
      <c r="D449" s="122"/>
      <c r="E449" s="122"/>
      <c r="F449" s="122"/>
    </row>
    <row r="450" spans="2:6" x14ac:dyDescent="0.35">
      <c r="B450" s="122"/>
      <c r="C450" s="122"/>
      <c r="D450" s="122"/>
      <c r="E450" s="122"/>
      <c r="F450" s="122"/>
    </row>
    <row r="451" spans="2:6" x14ac:dyDescent="0.35">
      <c r="B451" s="122"/>
      <c r="C451" s="122"/>
      <c r="D451" s="122"/>
      <c r="E451" s="122"/>
      <c r="F451" s="122"/>
    </row>
    <row r="452" spans="2:6" x14ac:dyDescent="0.35">
      <c r="B452" s="122"/>
      <c r="C452" s="122"/>
      <c r="D452" s="122"/>
      <c r="E452" s="122"/>
      <c r="F452" s="122"/>
    </row>
    <row r="453" spans="2:6" x14ac:dyDescent="0.35">
      <c r="B453" s="122"/>
      <c r="C453" s="122"/>
      <c r="D453" s="122"/>
      <c r="E453" s="122"/>
      <c r="F453" s="122"/>
    </row>
    <row r="454" spans="2:6" x14ac:dyDescent="0.35">
      <c r="B454" s="122"/>
      <c r="C454" s="122"/>
      <c r="D454" s="122"/>
      <c r="E454" s="122"/>
      <c r="F454" s="122"/>
    </row>
    <row r="455" spans="2:6" x14ac:dyDescent="0.35">
      <c r="B455" s="122"/>
      <c r="C455" s="122"/>
      <c r="D455" s="122"/>
      <c r="E455" s="122"/>
      <c r="F455" s="122"/>
    </row>
    <row r="456" spans="2:6" x14ac:dyDescent="0.35">
      <c r="B456" s="122"/>
      <c r="C456" s="122"/>
      <c r="D456" s="122"/>
      <c r="E456" s="122"/>
      <c r="F456" s="122"/>
    </row>
    <row r="457" spans="2:6" x14ac:dyDescent="0.35">
      <c r="B457" s="122"/>
      <c r="C457" s="122"/>
      <c r="D457" s="122"/>
      <c r="E457" s="122"/>
      <c r="F457" s="122"/>
    </row>
    <row r="458" spans="2:6" x14ac:dyDescent="0.35">
      <c r="B458" s="122"/>
      <c r="C458" s="122"/>
      <c r="D458" s="122"/>
      <c r="E458" s="122"/>
      <c r="F458" s="122"/>
    </row>
    <row r="459" spans="2:6" x14ac:dyDescent="0.35">
      <c r="B459" s="122"/>
      <c r="C459" s="122"/>
      <c r="D459" s="122"/>
      <c r="E459" s="122"/>
      <c r="F459" s="122"/>
    </row>
    <row r="460" spans="2:6" x14ac:dyDescent="0.35">
      <c r="B460" s="122"/>
      <c r="C460" s="122"/>
      <c r="D460" s="122"/>
      <c r="E460" s="122"/>
      <c r="F460" s="122"/>
    </row>
    <row r="461" spans="2:6" x14ac:dyDescent="0.35">
      <c r="B461" s="122"/>
      <c r="C461" s="122"/>
      <c r="D461" s="122"/>
      <c r="E461" s="122"/>
      <c r="F461" s="122"/>
    </row>
    <row r="462" spans="2:6" x14ac:dyDescent="0.35">
      <c r="B462" s="122"/>
      <c r="C462" s="122"/>
      <c r="D462" s="122"/>
      <c r="E462" s="122"/>
      <c r="F462" s="122"/>
    </row>
    <row r="463" spans="2:6" x14ac:dyDescent="0.35">
      <c r="B463" s="122"/>
      <c r="C463" s="122"/>
      <c r="D463" s="122"/>
      <c r="E463" s="122"/>
      <c r="F463" s="122"/>
    </row>
    <row r="464" spans="2:6" x14ac:dyDescent="0.35">
      <c r="B464" s="122"/>
      <c r="C464" s="122"/>
      <c r="D464" s="122"/>
      <c r="E464" s="122"/>
      <c r="F464" s="122"/>
    </row>
    <row r="465" spans="2:6" x14ac:dyDescent="0.35">
      <c r="B465" s="122"/>
      <c r="C465" s="122"/>
      <c r="D465" s="122"/>
      <c r="E465" s="122"/>
      <c r="F465" s="122"/>
    </row>
    <row r="466" spans="2:6" x14ac:dyDescent="0.35">
      <c r="B466" s="122"/>
      <c r="C466" s="122"/>
      <c r="D466" s="122"/>
      <c r="E466" s="122"/>
      <c r="F466" s="122"/>
    </row>
    <row r="467" spans="2:6" x14ac:dyDescent="0.35">
      <c r="B467" s="122"/>
      <c r="C467" s="122"/>
      <c r="D467" s="122"/>
      <c r="E467" s="122"/>
      <c r="F467" s="122"/>
    </row>
    <row r="468" spans="2:6" x14ac:dyDescent="0.35">
      <c r="B468" s="122"/>
      <c r="C468" s="122"/>
      <c r="D468" s="122"/>
      <c r="E468" s="122"/>
      <c r="F468" s="122"/>
    </row>
    <row r="469" spans="2:6" x14ac:dyDescent="0.35">
      <c r="B469" s="122"/>
      <c r="C469" s="122"/>
      <c r="D469" s="122"/>
      <c r="E469" s="122"/>
      <c r="F469" s="122"/>
    </row>
    <row r="470" spans="2:6" x14ac:dyDescent="0.35">
      <c r="B470" s="122"/>
      <c r="C470" s="122"/>
      <c r="D470" s="122"/>
      <c r="E470" s="122"/>
      <c r="F470" s="122"/>
    </row>
    <row r="471" spans="2:6" x14ac:dyDescent="0.35">
      <c r="B471" s="122"/>
      <c r="C471" s="122"/>
      <c r="D471" s="122"/>
      <c r="E471" s="122"/>
      <c r="F471" s="122"/>
    </row>
    <row r="472" spans="2:6" x14ac:dyDescent="0.35">
      <c r="B472" s="122"/>
      <c r="C472" s="122"/>
      <c r="D472" s="122"/>
      <c r="E472" s="122"/>
      <c r="F472" s="122"/>
    </row>
    <row r="473" spans="2:6" x14ac:dyDescent="0.35">
      <c r="B473" s="122"/>
      <c r="C473" s="122"/>
      <c r="D473" s="122"/>
      <c r="E473" s="122"/>
      <c r="F473" s="122"/>
    </row>
    <row r="474" spans="2:6" x14ac:dyDescent="0.35">
      <c r="B474" s="122"/>
      <c r="C474" s="122"/>
      <c r="D474" s="122"/>
      <c r="E474" s="122"/>
      <c r="F474" s="122"/>
    </row>
    <row r="475" spans="2:6" x14ac:dyDescent="0.35">
      <c r="B475" s="122"/>
      <c r="C475" s="122"/>
      <c r="D475" s="122"/>
      <c r="E475" s="122"/>
      <c r="F475" s="122"/>
    </row>
    <row r="476" spans="2:6" x14ac:dyDescent="0.35">
      <c r="B476" s="122"/>
      <c r="C476" s="122"/>
      <c r="D476" s="122"/>
      <c r="E476" s="122"/>
      <c r="F476" s="122"/>
    </row>
    <row r="477" spans="2:6" x14ac:dyDescent="0.35">
      <c r="B477" s="122"/>
      <c r="C477" s="122"/>
      <c r="D477" s="122"/>
      <c r="E477" s="122"/>
      <c r="F477" s="122"/>
    </row>
    <row r="478" spans="2:6" x14ac:dyDescent="0.35">
      <c r="B478" s="122"/>
      <c r="C478" s="122"/>
      <c r="D478" s="122"/>
      <c r="E478" s="122"/>
      <c r="F478" s="122"/>
    </row>
    <row r="479" spans="2:6" x14ac:dyDescent="0.35">
      <c r="B479" s="122"/>
      <c r="C479" s="122"/>
      <c r="D479" s="122"/>
      <c r="E479" s="122"/>
      <c r="F479" s="122"/>
    </row>
    <row r="480" spans="2:6" x14ac:dyDescent="0.35">
      <c r="B480" s="122"/>
      <c r="C480" s="122"/>
      <c r="D480" s="122"/>
      <c r="E480" s="122"/>
      <c r="F480" s="122"/>
    </row>
    <row r="481" spans="2:6" x14ac:dyDescent="0.35">
      <c r="B481" s="122"/>
      <c r="C481" s="122"/>
      <c r="D481" s="122"/>
      <c r="E481" s="122"/>
      <c r="F481" s="122"/>
    </row>
    <row r="482" spans="2:6" x14ac:dyDescent="0.35">
      <c r="B482" s="122"/>
      <c r="C482" s="122"/>
      <c r="D482" s="122"/>
      <c r="E482" s="122"/>
      <c r="F482" s="122"/>
    </row>
    <row r="483" spans="2:6" x14ac:dyDescent="0.35">
      <c r="B483" s="122"/>
      <c r="C483" s="122"/>
      <c r="D483" s="122"/>
      <c r="E483" s="122"/>
      <c r="F483" s="122"/>
    </row>
    <row r="484" spans="2:6" x14ac:dyDescent="0.35">
      <c r="B484" s="122"/>
      <c r="C484" s="122"/>
      <c r="D484" s="122"/>
      <c r="E484" s="122"/>
      <c r="F484" s="122"/>
    </row>
    <row r="485" spans="2:6" x14ac:dyDescent="0.35">
      <c r="B485" s="122"/>
      <c r="C485" s="122"/>
      <c r="D485" s="122"/>
      <c r="E485" s="122"/>
      <c r="F485" s="122"/>
    </row>
    <row r="486" spans="2:6" x14ac:dyDescent="0.35">
      <c r="B486" s="122"/>
      <c r="C486" s="122"/>
      <c r="D486" s="122"/>
      <c r="E486" s="122"/>
      <c r="F486" s="122"/>
    </row>
    <row r="487" spans="2:6" x14ac:dyDescent="0.35">
      <c r="B487" s="122"/>
      <c r="C487" s="122"/>
      <c r="D487" s="122"/>
      <c r="E487" s="122"/>
      <c r="F487" s="122"/>
    </row>
    <row r="488" spans="2:6" x14ac:dyDescent="0.35">
      <c r="B488" s="122"/>
      <c r="C488" s="122"/>
      <c r="D488" s="122"/>
      <c r="E488" s="122"/>
      <c r="F488" s="122"/>
    </row>
    <row r="489" spans="2:6" x14ac:dyDescent="0.35">
      <c r="B489" s="122"/>
      <c r="C489" s="122"/>
      <c r="D489" s="122"/>
      <c r="E489" s="122"/>
      <c r="F489" s="122"/>
    </row>
    <row r="490" spans="2:6" x14ac:dyDescent="0.35">
      <c r="B490" s="122"/>
      <c r="C490" s="122"/>
      <c r="D490" s="122"/>
      <c r="E490" s="122"/>
      <c r="F490" s="122"/>
    </row>
    <row r="491" spans="2:6" x14ac:dyDescent="0.35">
      <c r="B491" s="122"/>
      <c r="C491" s="122"/>
      <c r="D491" s="122"/>
      <c r="E491" s="122"/>
      <c r="F491" s="122"/>
    </row>
    <row r="492" spans="2:6" x14ac:dyDescent="0.35">
      <c r="B492" s="122"/>
      <c r="C492" s="122"/>
      <c r="D492" s="122"/>
      <c r="E492" s="122"/>
      <c r="F492" s="122"/>
    </row>
    <row r="493" spans="2:6" x14ac:dyDescent="0.35">
      <c r="B493" s="122"/>
      <c r="C493" s="122"/>
      <c r="D493" s="122"/>
      <c r="E493" s="122"/>
      <c r="F493" s="122"/>
    </row>
    <row r="494" spans="2:6" x14ac:dyDescent="0.35">
      <c r="B494" s="122"/>
      <c r="C494" s="122"/>
      <c r="D494" s="122"/>
      <c r="E494" s="122"/>
      <c r="F494" s="122"/>
    </row>
    <row r="495" spans="2:6" x14ac:dyDescent="0.35">
      <c r="B495" s="122"/>
      <c r="C495" s="122"/>
      <c r="D495" s="122"/>
      <c r="E495" s="122"/>
      <c r="F495" s="122"/>
    </row>
    <row r="496" spans="2:6" x14ac:dyDescent="0.35">
      <c r="B496" s="122"/>
      <c r="C496" s="122"/>
      <c r="D496" s="122"/>
      <c r="E496" s="122"/>
      <c r="F496" s="122"/>
    </row>
    <row r="497" spans="2:6" x14ac:dyDescent="0.35">
      <c r="B497" s="122"/>
      <c r="C497" s="122"/>
      <c r="D497" s="122"/>
      <c r="E497" s="122"/>
      <c r="F497" s="122"/>
    </row>
    <row r="498" spans="2:6" x14ac:dyDescent="0.35">
      <c r="B498" s="122"/>
      <c r="C498" s="122"/>
      <c r="D498" s="122"/>
      <c r="E498" s="122"/>
      <c r="F498" s="122"/>
    </row>
    <row r="499" spans="2:6" x14ac:dyDescent="0.35">
      <c r="B499" s="122"/>
      <c r="C499" s="122"/>
      <c r="D499" s="122"/>
      <c r="E499" s="122"/>
      <c r="F499" s="122"/>
    </row>
    <row r="500" spans="2:6" x14ac:dyDescent="0.35">
      <c r="B500" s="122"/>
      <c r="C500" s="122"/>
      <c r="D500" s="122"/>
      <c r="E500" s="122"/>
      <c r="F500" s="122"/>
    </row>
    <row r="501" spans="2:6" x14ac:dyDescent="0.35">
      <c r="B501" s="122"/>
      <c r="C501" s="122"/>
      <c r="D501" s="122"/>
      <c r="E501" s="122"/>
      <c r="F501" s="122"/>
    </row>
    <row r="502" spans="2:6" x14ac:dyDescent="0.35">
      <c r="B502" s="122"/>
      <c r="C502" s="122"/>
      <c r="D502" s="122"/>
      <c r="E502" s="122"/>
      <c r="F502" s="122"/>
    </row>
    <row r="503" spans="2:6" x14ac:dyDescent="0.35">
      <c r="B503" s="122"/>
      <c r="C503" s="122"/>
      <c r="D503" s="122"/>
      <c r="E503" s="122"/>
      <c r="F503" s="122"/>
    </row>
    <row r="504" spans="2:6" x14ac:dyDescent="0.35">
      <c r="B504" s="122"/>
      <c r="C504" s="122"/>
      <c r="D504" s="122"/>
      <c r="E504" s="122"/>
      <c r="F504" s="122"/>
    </row>
    <row r="505" spans="2:6" x14ac:dyDescent="0.35">
      <c r="B505" s="122"/>
      <c r="C505" s="122"/>
      <c r="D505" s="122"/>
      <c r="E505" s="122"/>
      <c r="F505" s="122"/>
    </row>
    <row r="506" spans="2:6" x14ac:dyDescent="0.35">
      <c r="B506" s="122"/>
      <c r="C506" s="122"/>
      <c r="D506" s="122"/>
      <c r="E506" s="122"/>
      <c r="F506" s="122"/>
    </row>
    <row r="507" spans="2:6" x14ac:dyDescent="0.35">
      <c r="B507" s="122"/>
      <c r="C507" s="122"/>
      <c r="D507" s="122"/>
      <c r="E507" s="122"/>
      <c r="F507" s="122"/>
    </row>
    <row r="508" spans="2:6" x14ac:dyDescent="0.35">
      <c r="B508" s="122"/>
      <c r="C508" s="122"/>
      <c r="D508" s="122"/>
      <c r="E508" s="122"/>
      <c r="F508" s="122"/>
    </row>
    <row r="509" spans="2:6" x14ac:dyDescent="0.35">
      <c r="B509" s="122"/>
      <c r="C509" s="122"/>
      <c r="D509" s="122"/>
      <c r="E509" s="122"/>
      <c r="F509" s="122"/>
    </row>
    <row r="510" spans="2:6" x14ac:dyDescent="0.35">
      <c r="B510" s="122"/>
      <c r="C510" s="122"/>
      <c r="D510" s="122"/>
      <c r="E510" s="122"/>
      <c r="F510" s="122"/>
    </row>
    <row r="511" spans="2:6" x14ac:dyDescent="0.35">
      <c r="B511" s="122"/>
      <c r="C511" s="122"/>
      <c r="D511" s="122"/>
      <c r="E511" s="122"/>
      <c r="F511" s="122"/>
    </row>
    <row r="512" spans="2:6" x14ac:dyDescent="0.35">
      <c r="B512" s="122"/>
      <c r="C512" s="122"/>
      <c r="D512" s="122"/>
      <c r="E512" s="122"/>
      <c r="F512" s="122"/>
    </row>
    <row r="513" spans="2:6" x14ac:dyDescent="0.35">
      <c r="B513" s="122"/>
      <c r="C513" s="122"/>
      <c r="D513" s="122"/>
      <c r="E513" s="122"/>
      <c r="F513" s="122"/>
    </row>
    <row r="514" spans="2:6" x14ac:dyDescent="0.35">
      <c r="B514" s="122"/>
      <c r="C514" s="122"/>
      <c r="D514" s="122"/>
      <c r="E514" s="122"/>
      <c r="F514" s="122"/>
    </row>
    <row r="515" spans="2:6" x14ac:dyDescent="0.35">
      <c r="B515" s="122"/>
      <c r="C515" s="122"/>
      <c r="D515" s="122"/>
      <c r="E515" s="122"/>
      <c r="F515" s="122"/>
    </row>
    <row r="516" spans="2:6" x14ac:dyDescent="0.35">
      <c r="B516" s="122"/>
      <c r="C516" s="122"/>
      <c r="D516" s="122"/>
      <c r="E516" s="122"/>
      <c r="F516" s="122"/>
    </row>
    <row r="517" spans="2:6" x14ac:dyDescent="0.35">
      <c r="B517" s="122"/>
      <c r="C517" s="122"/>
      <c r="D517" s="122"/>
      <c r="E517" s="122"/>
      <c r="F517" s="122"/>
    </row>
    <row r="518" spans="2:6" x14ac:dyDescent="0.35">
      <c r="B518" s="122"/>
      <c r="C518" s="122"/>
      <c r="D518" s="122"/>
      <c r="E518" s="122"/>
      <c r="F518" s="122"/>
    </row>
    <row r="519" spans="2:6" x14ac:dyDescent="0.35">
      <c r="B519" s="122"/>
      <c r="C519" s="122"/>
      <c r="D519" s="122"/>
      <c r="E519" s="122"/>
      <c r="F519" s="122"/>
    </row>
    <row r="520" spans="2:6" x14ac:dyDescent="0.35">
      <c r="B520" s="122"/>
      <c r="C520" s="122"/>
      <c r="D520" s="122"/>
      <c r="E520" s="122"/>
      <c r="F520" s="122"/>
    </row>
    <row r="521" spans="2:6" x14ac:dyDescent="0.35">
      <c r="B521" s="122"/>
      <c r="C521" s="122"/>
      <c r="D521" s="122"/>
      <c r="E521" s="122"/>
      <c r="F521" s="122"/>
    </row>
    <row r="522" spans="2:6" x14ac:dyDescent="0.35">
      <c r="B522" s="122"/>
      <c r="C522" s="122"/>
      <c r="D522" s="122"/>
      <c r="E522" s="122"/>
      <c r="F522" s="122"/>
    </row>
    <row r="523" spans="2:6" x14ac:dyDescent="0.35">
      <c r="B523" s="122"/>
      <c r="C523" s="122"/>
      <c r="D523" s="122"/>
      <c r="E523" s="122"/>
      <c r="F523" s="122"/>
    </row>
    <row r="524" spans="2:6" x14ac:dyDescent="0.35">
      <c r="B524" s="122"/>
      <c r="C524" s="122"/>
      <c r="D524" s="122"/>
      <c r="E524" s="122"/>
      <c r="F524" s="122"/>
    </row>
    <row r="525" spans="2:6" x14ac:dyDescent="0.35">
      <c r="B525" s="122"/>
      <c r="C525" s="122"/>
      <c r="D525" s="122"/>
      <c r="E525" s="122"/>
      <c r="F525" s="122"/>
    </row>
    <row r="526" spans="2:6" x14ac:dyDescent="0.35">
      <c r="B526" s="122"/>
      <c r="C526" s="122"/>
      <c r="D526" s="122"/>
      <c r="E526" s="122"/>
      <c r="F526" s="122"/>
    </row>
    <row r="527" spans="2:6" x14ac:dyDescent="0.35">
      <c r="B527" s="122"/>
      <c r="C527" s="122"/>
      <c r="D527" s="122"/>
      <c r="E527" s="122"/>
      <c r="F527" s="122"/>
    </row>
    <row r="528" spans="2:6" x14ac:dyDescent="0.35">
      <c r="B528" s="122"/>
      <c r="C528" s="122"/>
      <c r="D528" s="122"/>
      <c r="E528" s="122"/>
      <c r="F528" s="122"/>
    </row>
    <row r="529" spans="2:6" x14ac:dyDescent="0.35">
      <c r="B529" s="122"/>
      <c r="C529" s="122"/>
      <c r="D529" s="122"/>
      <c r="E529" s="122"/>
      <c r="F529" s="122"/>
    </row>
    <row r="530" spans="2:6" x14ac:dyDescent="0.35">
      <c r="B530" s="122"/>
      <c r="C530" s="122"/>
      <c r="D530" s="122"/>
      <c r="E530" s="122"/>
      <c r="F530" s="122"/>
    </row>
    <row r="531" spans="2:6" x14ac:dyDescent="0.35">
      <c r="B531" s="122"/>
      <c r="C531" s="122"/>
      <c r="D531" s="122"/>
      <c r="E531" s="122"/>
      <c r="F531" s="122"/>
    </row>
    <row r="532" spans="2:6" x14ac:dyDescent="0.35">
      <c r="B532" s="122"/>
      <c r="C532" s="122"/>
      <c r="D532" s="122"/>
      <c r="E532" s="122"/>
      <c r="F532" s="122"/>
    </row>
    <row r="533" spans="2:6" x14ac:dyDescent="0.35">
      <c r="B533" s="122"/>
      <c r="C533" s="122"/>
      <c r="D533" s="122"/>
      <c r="E533" s="122"/>
      <c r="F533" s="122"/>
    </row>
    <row r="534" spans="2:6" x14ac:dyDescent="0.35">
      <c r="B534" s="122"/>
      <c r="C534" s="122"/>
      <c r="D534" s="122"/>
      <c r="E534" s="122"/>
      <c r="F534" s="122"/>
    </row>
    <row r="535" spans="2:6" x14ac:dyDescent="0.35">
      <c r="B535" s="122"/>
      <c r="C535" s="122"/>
      <c r="D535" s="122"/>
      <c r="E535" s="122"/>
      <c r="F535" s="122"/>
    </row>
    <row r="536" spans="2:6" x14ac:dyDescent="0.35">
      <c r="B536" s="122"/>
      <c r="C536" s="122"/>
      <c r="D536" s="122"/>
      <c r="E536" s="122"/>
      <c r="F536" s="122"/>
    </row>
    <row r="537" spans="2:6" x14ac:dyDescent="0.35">
      <c r="B537" s="122"/>
      <c r="C537" s="122"/>
      <c r="D537" s="122"/>
      <c r="E537" s="122"/>
      <c r="F537" s="122"/>
    </row>
    <row r="538" spans="2:6" x14ac:dyDescent="0.35">
      <c r="B538" s="122"/>
      <c r="C538" s="122"/>
      <c r="D538" s="122"/>
      <c r="E538" s="122"/>
      <c r="F538" s="122"/>
    </row>
    <row r="539" spans="2:6" x14ac:dyDescent="0.35">
      <c r="B539" s="122"/>
      <c r="C539" s="122"/>
      <c r="D539" s="122"/>
      <c r="E539" s="122"/>
      <c r="F539" s="122"/>
    </row>
    <row r="540" spans="2:6" x14ac:dyDescent="0.35">
      <c r="B540" s="122"/>
      <c r="C540" s="122"/>
      <c r="D540" s="122"/>
      <c r="E540" s="122"/>
      <c r="F540" s="122"/>
    </row>
    <row r="541" spans="2:6" x14ac:dyDescent="0.35">
      <c r="B541" s="122"/>
      <c r="C541" s="122"/>
      <c r="D541" s="122"/>
      <c r="E541" s="122"/>
      <c r="F541" s="122"/>
    </row>
    <row r="542" spans="2:6" x14ac:dyDescent="0.35">
      <c r="B542" s="122"/>
      <c r="C542" s="122"/>
      <c r="D542" s="122"/>
      <c r="E542" s="122"/>
      <c r="F542" s="122"/>
    </row>
    <row r="543" spans="2:6" x14ac:dyDescent="0.35">
      <c r="B543" s="122"/>
      <c r="C543" s="122"/>
      <c r="D543" s="122"/>
      <c r="E543" s="122"/>
      <c r="F543" s="122"/>
    </row>
    <row r="544" spans="2:6" x14ac:dyDescent="0.35">
      <c r="B544" s="122"/>
      <c r="C544" s="122"/>
      <c r="D544" s="122"/>
      <c r="E544" s="122"/>
      <c r="F544" s="122"/>
    </row>
    <row r="545" spans="2:6" x14ac:dyDescent="0.35">
      <c r="B545" s="122"/>
      <c r="C545" s="122"/>
      <c r="D545" s="122"/>
      <c r="E545" s="122"/>
      <c r="F545" s="122"/>
    </row>
    <row r="546" spans="2:6" x14ac:dyDescent="0.35">
      <c r="B546" s="122"/>
      <c r="C546" s="122"/>
      <c r="D546" s="122"/>
      <c r="E546" s="122"/>
      <c r="F546" s="122"/>
    </row>
    <row r="547" spans="2:6" x14ac:dyDescent="0.35">
      <c r="B547" s="122"/>
      <c r="C547" s="122"/>
      <c r="D547" s="122"/>
      <c r="E547" s="122"/>
      <c r="F547" s="122"/>
    </row>
    <row r="548" spans="2:6" x14ac:dyDescent="0.35">
      <c r="B548" s="122"/>
      <c r="C548" s="122"/>
      <c r="D548" s="122"/>
      <c r="E548" s="122"/>
      <c r="F548" s="122"/>
    </row>
    <row r="549" spans="2:6" x14ac:dyDescent="0.35">
      <c r="B549" s="122"/>
      <c r="C549" s="122"/>
      <c r="D549" s="122"/>
      <c r="E549" s="122"/>
      <c r="F549" s="122"/>
    </row>
    <row r="550" spans="2:6" x14ac:dyDescent="0.35">
      <c r="B550" s="122"/>
      <c r="C550" s="122"/>
      <c r="D550" s="122"/>
      <c r="E550" s="122"/>
      <c r="F550" s="122"/>
    </row>
    <row r="551" spans="2:6" x14ac:dyDescent="0.35">
      <c r="B551" s="122"/>
      <c r="C551" s="122"/>
      <c r="D551" s="122"/>
      <c r="E551" s="122"/>
      <c r="F551" s="122"/>
    </row>
    <row r="552" spans="2:6" x14ac:dyDescent="0.35">
      <c r="B552" s="122"/>
      <c r="C552" s="122"/>
      <c r="D552" s="122"/>
      <c r="E552" s="122"/>
      <c r="F552" s="122"/>
    </row>
    <row r="553" spans="2:6" x14ac:dyDescent="0.35">
      <c r="B553" s="122"/>
      <c r="C553" s="122"/>
      <c r="D553" s="122"/>
      <c r="E553" s="122"/>
      <c r="F553" s="122"/>
    </row>
    <row r="554" spans="2:6" x14ac:dyDescent="0.35">
      <c r="B554" s="122"/>
      <c r="C554" s="122"/>
      <c r="D554" s="122"/>
      <c r="E554" s="122"/>
      <c r="F554" s="122"/>
    </row>
    <row r="555" spans="2:6" x14ac:dyDescent="0.35">
      <c r="B555" s="122"/>
      <c r="C555" s="122"/>
      <c r="D555" s="122"/>
      <c r="E555" s="122"/>
      <c r="F555" s="122"/>
    </row>
    <row r="556" spans="2:6" x14ac:dyDescent="0.35">
      <c r="B556" s="122"/>
      <c r="C556" s="122"/>
      <c r="D556" s="122"/>
      <c r="E556" s="122"/>
      <c r="F556" s="122"/>
    </row>
    <row r="557" spans="2:6" x14ac:dyDescent="0.35">
      <c r="B557" s="122"/>
      <c r="C557" s="122"/>
      <c r="D557" s="122"/>
      <c r="E557" s="122"/>
      <c r="F557" s="122"/>
    </row>
    <row r="558" spans="2:6" x14ac:dyDescent="0.35">
      <c r="B558" s="122"/>
      <c r="C558" s="122"/>
      <c r="D558" s="122"/>
      <c r="E558" s="122"/>
      <c r="F558" s="122"/>
    </row>
    <row r="559" spans="2:6" x14ac:dyDescent="0.35">
      <c r="B559" s="122"/>
      <c r="C559" s="122"/>
      <c r="D559" s="122"/>
      <c r="E559" s="122"/>
      <c r="F559" s="122"/>
    </row>
    <row r="560" spans="2:6" x14ac:dyDescent="0.35">
      <c r="B560" s="122"/>
      <c r="C560" s="122"/>
      <c r="D560" s="122"/>
      <c r="E560" s="122"/>
      <c r="F560" s="122"/>
    </row>
    <row r="561" spans="2:6" x14ac:dyDescent="0.35">
      <c r="B561" s="122"/>
      <c r="C561" s="122"/>
      <c r="D561" s="122"/>
      <c r="E561" s="122"/>
      <c r="F561" s="122"/>
    </row>
    <row r="562" spans="2:6" x14ac:dyDescent="0.35">
      <c r="B562" s="122"/>
      <c r="C562" s="122"/>
      <c r="D562" s="122"/>
      <c r="E562" s="122"/>
      <c r="F562" s="122"/>
    </row>
    <row r="563" spans="2:6" x14ac:dyDescent="0.35">
      <c r="B563" s="122"/>
      <c r="C563" s="122"/>
      <c r="D563" s="122"/>
      <c r="E563" s="122"/>
      <c r="F563" s="122"/>
    </row>
    <row r="564" spans="2:6" x14ac:dyDescent="0.35">
      <c r="B564" s="122"/>
      <c r="C564" s="122"/>
      <c r="D564" s="122"/>
      <c r="E564" s="122"/>
      <c r="F564" s="122"/>
    </row>
    <row r="565" spans="2:6" x14ac:dyDescent="0.35">
      <c r="B565" s="122"/>
      <c r="C565" s="122"/>
      <c r="D565" s="122"/>
      <c r="E565" s="122"/>
      <c r="F565" s="122"/>
    </row>
    <row r="566" spans="2:6" x14ac:dyDescent="0.35">
      <c r="B566" s="122"/>
      <c r="C566" s="122"/>
      <c r="D566" s="122"/>
      <c r="E566" s="122"/>
      <c r="F566" s="122"/>
    </row>
    <row r="567" spans="2:6" x14ac:dyDescent="0.35">
      <c r="B567" s="122"/>
      <c r="C567" s="122"/>
      <c r="D567" s="122"/>
      <c r="E567" s="122"/>
      <c r="F567" s="122"/>
    </row>
    <row r="568" spans="2:6" x14ac:dyDescent="0.35">
      <c r="B568" s="122"/>
      <c r="C568" s="122"/>
      <c r="D568" s="122"/>
      <c r="E568" s="122"/>
      <c r="F568" s="122"/>
    </row>
    <row r="569" spans="2:6" x14ac:dyDescent="0.35">
      <c r="B569" s="122"/>
      <c r="C569" s="122"/>
      <c r="D569" s="122"/>
      <c r="E569" s="122"/>
      <c r="F569" s="122"/>
    </row>
    <row r="570" spans="2:6" x14ac:dyDescent="0.35">
      <c r="B570" s="122"/>
      <c r="C570" s="122"/>
      <c r="D570" s="122"/>
      <c r="E570" s="122"/>
      <c r="F570" s="122"/>
    </row>
    <row r="571" spans="2:6" x14ac:dyDescent="0.35">
      <c r="B571" s="122"/>
      <c r="C571" s="122"/>
      <c r="D571" s="122"/>
      <c r="E571" s="122"/>
      <c r="F571" s="122"/>
    </row>
    <row r="572" spans="2:6" x14ac:dyDescent="0.35">
      <c r="B572" s="122"/>
      <c r="C572" s="122"/>
      <c r="D572" s="122"/>
      <c r="E572" s="122"/>
      <c r="F572" s="122"/>
    </row>
    <row r="573" spans="2:6" x14ac:dyDescent="0.35">
      <c r="B573" s="122"/>
      <c r="C573" s="122"/>
      <c r="D573" s="122"/>
      <c r="E573" s="122"/>
      <c r="F573" s="122"/>
    </row>
    <row r="574" spans="2:6" x14ac:dyDescent="0.35">
      <c r="B574" s="122"/>
      <c r="C574" s="122"/>
      <c r="D574" s="122"/>
      <c r="E574" s="122"/>
      <c r="F574" s="122"/>
    </row>
    <row r="575" spans="2:6" x14ac:dyDescent="0.35">
      <c r="B575" s="122"/>
      <c r="C575" s="122"/>
      <c r="D575" s="122"/>
      <c r="E575" s="122"/>
      <c r="F575" s="122"/>
    </row>
    <row r="576" spans="2:6" x14ac:dyDescent="0.35">
      <c r="B576" s="122"/>
      <c r="C576" s="122"/>
      <c r="D576" s="122"/>
      <c r="E576" s="122"/>
      <c r="F576" s="122"/>
    </row>
    <row r="577" spans="2:6" x14ac:dyDescent="0.35">
      <c r="B577" s="122"/>
      <c r="C577" s="122"/>
      <c r="D577" s="122"/>
      <c r="E577" s="122"/>
      <c r="F577" s="122"/>
    </row>
    <row r="578" spans="2:6" x14ac:dyDescent="0.35">
      <c r="B578" s="122"/>
      <c r="C578" s="122"/>
      <c r="D578" s="122"/>
      <c r="E578" s="122"/>
      <c r="F578" s="122"/>
    </row>
    <row r="579" spans="2:6" x14ac:dyDescent="0.35">
      <c r="B579" s="122"/>
      <c r="C579" s="122"/>
      <c r="D579" s="122"/>
      <c r="E579" s="122"/>
      <c r="F579" s="122"/>
    </row>
    <row r="580" spans="2:6" x14ac:dyDescent="0.35">
      <c r="B580" s="122"/>
      <c r="C580" s="122"/>
      <c r="D580" s="122"/>
      <c r="E580" s="122"/>
      <c r="F580" s="122"/>
    </row>
    <row r="581" spans="2:6" x14ac:dyDescent="0.35">
      <c r="B581" s="122"/>
      <c r="C581" s="122"/>
      <c r="D581" s="122"/>
      <c r="E581" s="122"/>
      <c r="F581" s="122"/>
    </row>
    <row r="582" spans="2:6" x14ac:dyDescent="0.35">
      <c r="B582" s="122"/>
      <c r="C582" s="122"/>
      <c r="D582" s="122"/>
      <c r="E582" s="122"/>
      <c r="F582" s="122"/>
    </row>
    <row r="583" spans="2:6" x14ac:dyDescent="0.35">
      <c r="B583" s="122"/>
      <c r="C583" s="122"/>
      <c r="D583" s="122"/>
      <c r="E583" s="122"/>
      <c r="F583" s="122"/>
    </row>
    <row r="584" spans="2:6" x14ac:dyDescent="0.35">
      <c r="B584" s="122"/>
      <c r="C584" s="122"/>
      <c r="D584" s="122"/>
      <c r="E584" s="122"/>
      <c r="F584" s="122"/>
    </row>
    <row r="585" spans="2:6" x14ac:dyDescent="0.35">
      <c r="B585" s="122"/>
      <c r="C585" s="122"/>
      <c r="D585" s="122"/>
      <c r="E585" s="122"/>
      <c r="F585" s="122"/>
    </row>
    <row r="586" spans="2:6" x14ac:dyDescent="0.35">
      <c r="B586" s="122"/>
      <c r="C586" s="122"/>
      <c r="D586" s="122"/>
      <c r="E586" s="122"/>
      <c r="F586" s="122"/>
    </row>
    <row r="587" spans="2:6" x14ac:dyDescent="0.35">
      <c r="B587" s="122"/>
      <c r="C587" s="122"/>
      <c r="D587" s="122"/>
      <c r="E587" s="122"/>
      <c r="F587" s="122"/>
    </row>
    <row r="588" spans="2:6" x14ac:dyDescent="0.35">
      <c r="B588" s="122"/>
      <c r="C588" s="122"/>
      <c r="D588" s="122"/>
      <c r="E588" s="122"/>
      <c r="F588" s="122"/>
    </row>
    <row r="589" spans="2:6" x14ac:dyDescent="0.35">
      <c r="B589" s="122"/>
      <c r="C589" s="122"/>
      <c r="D589" s="122"/>
      <c r="E589" s="122"/>
      <c r="F589" s="122"/>
    </row>
    <row r="590" spans="2:6" x14ac:dyDescent="0.35">
      <c r="B590" s="122"/>
      <c r="C590" s="122"/>
      <c r="D590" s="122"/>
      <c r="E590" s="122"/>
      <c r="F590" s="122"/>
    </row>
    <row r="591" spans="2:6" x14ac:dyDescent="0.35">
      <c r="B591" s="122"/>
      <c r="C591" s="122"/>
      <c r="D591" s="122"/>
      <c r="E591" s="122"/>
      <c r="F591" s="122"/>
    </row>
    <row r="592" spans="2:6" x14ac:dyDescent="0.35">
      <c r="B592" s="122"/>
      <c r="C592" s="122"/>
      <c r="D592" s="122"/>
      <c r="E592" s="122"/>
      <c r="F592" s="122"/>
    </row>
    <row r="593" spans="2:6" x14ac:dyDescent="0.35">
      <c r="B593" s="122"/>
      <c r="C593" s="122"/>
      <c r="D593" s="122"/>
      <c r="E593" s="122"/>
      <c r="F593" s="122"/>
    </row>
    <row r="594" spans="2:6" x14ac:dyDescent="0.35">
      <c r="B594" s="122"/>
      <c r="C594" s="122"/>
      <c r="D594" s="122"/>
      <c r="E594" s="122"/>
      <c r="F594" s="122"/>
    </row>
    <row r="595" spans="2:6" x14ac:dyDescent="0.35">
      <c r="B595" s="122"/>
      <c r="C595" s="122"/>
      <c r="D595" s="122"/>
      <c r="E595" s="122"/>
      <c r="F595" s="122"/>
    </row>
    <row r="596" spans="2:6" x14ac:dyDescent="0.35">
      <c r="B596" s="122"/>
      <c r="C596" s="122"/>
      <c r="D596" s="122"/>
      <c r="E596" s="122"/>
      <c r="F596" s="122"/>
    </row>
    <row r="597" spans="2:6" x14ac:dyDescent="0.35">
      <c r="B597" s="122"/>
      <c r="C597" s="122"/>
      <c r="D597" s="122"/>
      <c r="E597" s="122"/>
      <c r="F597" s="122"/>
    </row>
    <row r="598" spans="2:6" x14ac:dyDescent="0.35">
      <c r="B598" s="122"/>
      <c r="C598" s="122"/>
      <c r="D598" s="122"/>
      <c r="E598" s="122"/>
      <c r="F598" s="122"/>
    </row>
    <row r="599" spans="2:6" x14ac:dyDescent="0.35">
      <c r="B599" s="122"/>
      <c r="C599" s="122"/>
      <c r="D599" s="122"/>
      <c r="E599" s="122"/>
      <c r="F599" s="122"/>
    </row>
    <row r="600" spans="2:6" x14ac:dyDescent="0.35">
      <c r="B600" s="122"/>
      <c r="C600" s="122"/>
      <c r="D600" s="122"/>
      <c r="E600" s="122"/>
      <c r="F600" s="122"/>
    </row>
    <row r="601" spans="2:6" x14ac:dyDescent="0.35">
      <c r="B601" s="122"/>
      <c r="C601" s="122"/>
      <c r="D601" s="122"/>
      <c r="E601" s="122"/>
      <c r="F601" s="122"/>
    </row>
    <row r="602" spans="2:6" x14ac:dyDescent="0.35">
      <c r="B602" s="122"/>
      <c r="C602" s="122"/>
      <c r="D602" s="122"/>
      <c r="E602" s="122"/>
      <c r="F602" s="122"/>
    </row>
    <row r="603" spans="2:6" x14ac:dyDescent="0.35">
      <c r="B603" s="122"/>
      <c r="C603" s="122"/>
      <c r="D603" s="122"/>
      <c r="E603" s="122"/>
      <c r="F603" s="122"/>
    </row>
    <row r="604" spans="2:6" x14ac:dyDescent="0.35">
      <c r="B604" s="122"/>
      <c r="C604" s="122"/>
      <c r="D604" s="122"/>
      <c r="E604" s="122"/>
      <c r="F604" s="122"/>
    </row>
    <row r="605" spans="2:6" x14ac:dyDescent="0.35">
      <c r="B605" s="122"/>
      <c r="C605" s="122"/>
      <c r="D605" s="122"/>
      <c r="E605" s="122"/>
      <c r="F605" s="122"/>
    </row>
    <row r="606" spans="2:6" x14ac:dyDescent="0.35">
      <c r="B606" s="122"/>
      <c r="C606" s="122"/>
      <c r="D606" s="122"/>
      <c r="E606" s="122"/>
      <c r="F606" s="122"/>
    </row>
    <row r="607" spans="2:6" x14ac:dyDescent="0.35">
      <c r="B607" s="122"/>
      <c r="C607" s="122"/>
      <c r="D607" s="122"/>
      <c r="E607" s="122"/>
      <c r="F607" s="122"/>
    </row>
    <row r="608" spans="2:6" x14ac:dyDescent="0.35">
      <c r="B608" s="122"/>
      <c r="C608" s="122"/>
      <c r="D608" s="122"/>
      <c r="E608" s="122"/>
      <c r="F608" s="122"/>
    </row>
    <row r="609" spans="2:6" x14ac:dyDescent="0.35">
      <c r="B609" s="122"/>
      <c r="C609" s="122"/>
      <c r="D609" s="122"/>
      <c r="E609" s="122"/>
      <c r="F609" s="122"/>
    </row>
    <row r="610" spans="2:6" x14ac:dyDescent="0.35">
      <c r="B610" s="122"/>
      <c r="C610" s="122"/>
      <c r="D610" s="122"/>
      <c r="E610" s="122"/>
      <c r="F610" s="122"/>
    </row>
    <row r="611" spans="2:6" x14ac:dyDescent="0.35">
      <c r="B611" s="122"/>
      <c r="C611" s="122"/>
      <c r="D611" s="122"/>
      <c r="E611" s="122"/>
      <c r="F611" s="122"/>
    </row>
    <row r="612" spans="2:6" x14ac:dyDescent="0.35">
      <c r="B612" s="122"/>
      <c r="C612" s="122"/>
      <c r="D612" s="122"/>
      <c r="E612" s="122"/>
      <c r="F612" s="122"/>
    </row>
    <row r="613" spans="2:6" x14ac:dyDescent="0.35">
      <c r="B613" s="122"/>
      <c r="C613" s="122"/>
      <c r="D613" s="122"/>
      <c r="E613" s="122"/>
      <c r="F613" s="122"/>
    </row>
    <row r="614" spans="2:6" x14ac:dyDescent="0.35">
      <c r="B614" s="122"/>
      <c r="C614" s="122"/>
      <c r="D614" s="122"/>
      <c r="E614" s="122"/>
      <c r="F614" s="122"/>
    </row>
    <row r="615" spans="2:6" x14ac:dyDescent="0.35">
      <c r="B615" s="122"/>
      <c r="C615" s="122"/>
      <c r="D615" s="122"/>
      <c r="E615" s="122"/>
      <c r="F615" s="122"/>
    </row>
    <row r="616" spans="2:6" x14ac:dyDescent="0.35">
      <c r="B616" s="122"/>
      <c r="C616" s="122"/>
      <c r="D616" s="122"/>
      <c r="E616" s="122"/>
      <c r="F616" s="122"/>
    </row>
    <row r="617" spans="2:6" x14ac:dyDescent="0.35">
      <c r="B617" s="122"/>
      <c r="C617" s="122"/>
      <c r="D617" s="122"/>
      <c r="E617" s="122"/>
      <c r="F617" s="122"/>
    </row>
    <row r="618" spans="2:6" x14ac:dyDescent="0.35">
      <c r="B618" s="122"/>
      <c r="C618" s="122"/>
      <c r="D618" s="122"/>
      <c r="E618" s="122"/>
      <c r="F618" s="122"/>
    </row>
    <row r="619" spans="2:6" x14ac:dyDescent="0.35">
      <c r="B619" s="122"/>
      <c r="C619" s="122"/>
      <c r="D619" s="122"/>
      <c r="E619" s="122"/>
      <c r="F619" s="122"/>
    </row>
    <row r="620" spans="2:6" x14ac:dyDescent="0.35">
      <c r="B620" s="122"/>
      <c r="C620" s="122"/>
      <c r="D620" s="122"/>
      <c r="E620" s="122"/>
      <c r="F620" s="122"/>
    </row>
    <row r="621" spans="2:6" x14ac:dyDescent="0.35">
      <c r="B621" s="122"/>
      <c r="C621" s="122"/>
      <c r="D621" s="122"/>
      <c r="E621" s="122"/>
      <c r="F621" s="122"/>
    </row>
    <row r="622" spans="2:6" x14ac:dyDescent="0.35">
      <c r="B622" s="122"/>
      <c r="C622" s="122"/>
      <c r="D622" s="122"/>
      <c r="E622" s="122"/>
      <c r="F622" s="122"/>
    </row>
    <row r="623" spans="2:6" x14ac:dyDescent="0.35">
      <c r="B623" s="122"/>
      <c r="C623" s="122"/>
      <c r="D623" s="122"/>
      <c r="E623" s="122"/>
      <c r="F623" s="122"/>
    </row>
    <row r="624" spans="2:6" x14ac:dyDescent="0.35">
      <c r="B624" s="122"/>
      <c r="C624" s="122"/>
      <c r="D624" s="122"/>
      <c r="E624" s="122"/>
      <c r="F624" s="122"/>
    </row>
    <row r="625" spans="2:6" x14ac:dyDescent="0.35">
      <c r="B625" s="122"/>
      <c r="C625" s="122"/>
      <c r="D625" s="122"/>
      <c r="E625" s="122"/>
      <c r="F625" s="122"/>
    </row>
    <row r="626" spans="2:6" x14ac:dyDescent="0.35">
      <c r="B626" s="122"/>
      <c r="C626" s="122"/>
      <c r="D626" s="122"/>
      <c r="E626" s="122"/>
      <c r="F626" s="122"/>
    </row>
    <row r="627" spans="2:6" x14ac:dyDescent="0.35">
      <c r="B627" s="122"/>
      <c r="C627" s="122"/>
      <c r="D627" s="122"/>
      <c r="E627" s="122"/>
      <c r="F627" s="122"/>
    </row>
    <row r="628" spans="2:6" x14ac:dyDescent="0.35">
      <c r="B628" s="122"/>
      <c r="C628" s="122"/>
      <c r="D628" s="122"/>
      <c r="E628" s="122"/>
      <c r="F628" s="122"/>
    </row>
    <row r="629" spans="2:6" x14ac:dyDescent="0.35">
      <c r="B629" s="122"/>
      <c r="C629" s="122"/>
      <c r="D629" s="122"/>
      <c r="E629" s="122"/>
      <c r="F629" s="122"/>
    </row>
    <row r="630" spans="2:6" x14ac:dyDescent="0.35">
      <c r="B630" s="122"/>
      <c r="C630" s="122"/>
      <c r="D630" s="122"/>
      <c r="E630" s="122"/>
      <c r="F630" s="122"/>
    </row>
    <row r="631" spans="2:6" x14ac:dyDescent="0.35">
      <c r="B631" s="122"/>
      <c r="C631" s="122"/>
      <c r="D631" s="122"/>
      <c r="E631" s="122"/>
      <c r="F631" s="122"/>
    </row>
    <row r="632" spans="2:6" x14ac:dyDescent="0.35">
      <c r="B632" s="122"/>
      <c r="C632" s="122"/>
      <c r="D632" s="122"/>
      <c r="E632" s="122"/>
      <c r="F632" s="122"/>
    </row>
    <row r="633" spans="2:6" x14ac:dyDescent="0.35">
      <c r="B633" s="122"/>
      <c r="C633" s="122"/>
      <c r="D633" s="122"/>
      <c r="E633" s="122"/>
      <c r="F633" s="122"/>
    </row>
    <row r="634" spans="2:6" x14ac:dyDescent="0.35">
      <c r="B634" s="122"/>
      <c r="C634" s="122"/>
      <c r="D634" s="122"/>
      <c r="E634" s="122"/>
      <c r="F634" s="122"/>
    </row>
    <row r="635" spans="2:6" x14ac:dyDescent="0.35">
      <c r="B635" s="122"/>
      <c r="C635" s="122"/>
      <c r="D635" s="122"/>
      <c r="E635" s="122"/>
      <c r="F635" s="122"/>
    </row>
    <row r="636" spans="2:6" x14ac:dyDescent="0.35">
      <c r="B636" s="122"/>
      <c r="C636" s="122"/>
      <c r="D636" s="122"/>
      <c r="E636" s="122"/>
      <c r="F636" s="122"/>
    </row>
    <row r="637" spans="2:6" x14ac:dyDescent="0.35">
      <c r="B637" s="122"/>
      <c r="C637" s="122"/>
      <c r="D637" s="122"/>
      <c r="E637" s="122"/>
      <c r="F637" s="122"/>
    </row>
    <row r="638" spans="2:6" x14ac:dyDescent="0.35">
      <c r="B638" s="122"/>
      <c r="C638" s="122"/>
      <c r="D638" s="122"/>
      <c r="E638" s="122"/>
      <c r="F638" s="122"/>
    </row>
    <row r="639" spans="2:6" x14ac:dyDescent="0.35">
      <c r="B639" s="122"/>
      <c r="C639" s="122"/>
      <c r="D639" s="122"/>
      <c r="E639" s="122"/>
      <c r="F639" s="122"/>
    </row>
    <row r="640" spans="2:6" x14ac:dyDescent="0.35">
      <c r="B640" s="122"/>
      <c r="C640" s="122"/>
      <c r="D640" s="122"/>
      <c r="E640" s="122"/>
      <c r="F640" s="122"/>
    </row>
    <row r="641" spans="2:6" x14ac:dyDescent="0.35">
      <c r="B641" s="122"/>
      <c r="C641" s="122"/>
      <c r="D641" s="122"/>
      <c r="E641" s="122"/>
      <c r="F641" s="122"/>
    </row>
    <row r="642" spans="2:6" x14ac:dyDescent="0.35">
      <c r="B642" s="122"/>
      <c r="C642" s="122"/>
      <c r="D642" s="122"/>
      <c r="E642" s="122"/>
      <c r="F642" s="122"/>
    </row>
    <row r="643" spans="2:6" x14ac:dyDescent="0.35">
      <c r="B643" s="122"/>
      <c r="C643" s="122"/>
      <c r="D643" s="122"/>
      <c r="E643" s="122"/>
      <c r="F643" s="122"/>
    </row>
    <row r="644" spans="2:6" x14ac:dyDescent="0.35">
      <c r="B644" s="122"/>
      <c r="C644" s="122"/>
      <c r="D644" s="122"/>
      <c r="E644" s="122"/>
      <c r="F644" s="122"/>
    </row>
    <row r="645" spans="2:6" x14ac:dyDescent="0.35">
      <c r="B645" s="122"/>
      <c r="C645" s="122"/>
      <c r="D645" s="122"/>
      <c r="E645" s="122"/>
      <c r="F645" s="122"/>
    </row>
    <row r="646" spans="2:6" x14ac:dyDescent="0.35">
      <c r="B646" s="122"/>
      <c r="C646" s="122"/>
      <c r="D646" s="122"/>
      <c r="E646" s="122"/>
      <c r="F646" s="122"/>
    </row>
    <row r="647" spans="2:6" x14ac:dyDescent="0.35">
      <c r="B647" s="122"/>
      <c r="C647" s="122"/>
      <c r="D647" s="122"/>
      <c r="E647" s="122"/>
      <c r="F647" s="122"/>
    </row>
    <row r="648" spans="2:6" x14ac:dyDescent="0.35">
      <c r="B648" s="122"/>
      <c r="C648" s="122"/>
      <c r="D648" s="122"/>
      <c r="E648" s="122"/>
      <c r="F648" s="122"/>
    </row>
    <row r="649" spans="2:6" x14ac:dyDescent="0.35">
      <c r="B649" s="122"/>
      <c r="C649" s="122"/>
      <c r="D649" s="122"/>
      <c r="E649" s="122"/>
      <c r="F649" s="122"/>
    </row>
    <row r="650" spans="2:6" x14ac:dyDescent="0.35">
      <c r="B650" s="122"/>
      <c r="C650" s="122"/>
      <c r="D650" s="122"/>
      <c r="E650" s="122"/>
      <c r="F650" s="122"/>
    </row>
    <row r="651" spans="2:6" x14ac:dyDescent="0.35">
      <c r="B651" s="122"/>
      <c r="C651" s="122"/>
      <c r="D651" s="122"/>
      <c r="E651" s="122"/>
      <c r="F651" s="122"/>
    </row>
    <row r="652" spans="2:6" x14ac:dyDescent="0.35">
      <c r="B652" s="122"/>
      <c r="C652" s="122"/>
      <c r="D652" s="122"/>
      <c r="E652" s="122"/>
      <c r="F652" s="122"/>
    </row>
    <row r="653" spans="2:6" x14ac:dyDescent="0.35">
      <c r="B653" s="122"/>
      <c r="C653" s="122"/>
      <c r="D653" s="122"/>
      <c r="E653" s="122"/>
      <c r="F653" s="122"/>
    </row>
    <row r="654" spans="2:6" x14ac:dyDescent="0.35">
      <c r="B654" s="122"/>
      <c r="C654" s="122"/>
      <c r="D654" s="122"/>
      <c r="E654" s="122"/>
      <c r="F654" s="122"/>
    </row>
    <row r="655" spans="2:6" x14ac:dyDescent="0.35">
      <c r="B655" s="122"/>
      <c r="C655" s="122"/>
      <c r="D655" s="122"/>
      <c r="E655" s="122"/>
      <c r="F655" s="122"/>
    </row>
    <row r="656" spans="2:6" x14ac:dyDescent="0.35">
      <c r="B656" s="122"/>
      <c r="C656" s="122"/>
      <c r="D656" s="122"/>
      <c r="E656" s="122"/>
      <c r="F656" s="122"/>
    </row>
    <row r="657" spans="2:6" x14ac:dyDescent="0.35">
      <c r="B657" s="122"/>
      <c r="C657" s="122"/>
      <c r="D657" s="122"/>
      <c r="E657" s="122"/>
      <c r="F657" s="122"/>
    </row>
    <row r="658" spans="2:6" x14ac:dyDescent="0.35">
      <c r="B658" s="122"/>
      <c r="C658" s="122"/>
      <c r="D658" s="122"/>
      <c r="E658" s="122"/>
      <c r="F658" s="122"/>
    </row>
    <row r="659" spans="2:6" x14ac:dyDescent="0.35">
      <c r="B659" s="122"/>
      <c r="C659" s="122"/>
      <c r="D659" s="122"/>
      <c r="E659" s="122"/>
      <c r="F659" s="122"/>
    </row>
    <row r="660" spans="2:6" x14ac:dyDescent="0.35">
      <c r="B660" s="122"/>
      <c r="C660" s="122"/>
      <c r="D660" s="122"/>
      <c r="E660" s="122"/>
      <c r="F660" s="122"/>
    </row>
    <row r="661" spans="2:6" x14ac:dyDescent="0.35">
      <c r="B661" s="122"/>
      <c r="C661" s="122"/>
      <c r="D661" s="122"/>
      <c r="E661" s="122"/>
      <c r="F661" s="122"/>
    </row>
    <row r="662" spans="2:6" x14ac:dyDescent="0.35">
      <c r="B662" s="122"/>
      <c r="C662" s="122"/>
      <c r="D662" s="122"/>
      <c r="E662" s="122"/>
      <c r="F662" s="122"/>
    </row>
    <row r="663" spans="2:6" x14ac:dyDescent="0.35">
      <c r="B663" s="122"/>
      <c r="C663" s="122"/>
      <c r="D663" s="122"/>
      <c r="E663" s="122"/>
      <c r="F663" s="122"/>
    </row>
    <row r="664" spans="2:6" x14ac:dyDescent="0.35">
      <c r="B664" s="122"/>
      <c r="C664" s="122"/>
      <c r="D664" s="122"/>
      <c r="E664" s="122"/>
      <c r="F664" s="122"/>
    </row>
    <row r="665" spans="2:6" x14ac:dyDescent="0.35">
      <c r="B665" s="122"/>
      <c r="C665" s="122"/>
      <c r="D665" s="122"/>
      <c r="E665" s="122"/>
      <c r="F665" s="122"/>
    </row>
    <row r="666" spans="2:6" x14ac:dyDescent="0.35">
      <c r="B666" s="122"/>
      <c r="C666" s="122"/>
      <c r="D666" s="122"/>
      <c r="E666" s="122"/>
      <c r="F666" s="122"/>
    </row>
    <row r="667" spans="2:6" x14ac:dyDescent="0.35">
      <c r="B667" s="122"/>
      <c r="C667" s="122"/>
      <c r="D667" s="122"/>
      <c r="E667" s="122"/>
      <c r="F667" s="122"/>
    </row>
    <row r="668" spans="2:6" x14ac:dyDescent="0.35">
      <c r="B668" s="122"/>
      <c r="C668" s="122"/>
      <c r="D668" s="122"/>
      <c r="E668" s="122"/>
      <c r="F668" s="122"/>
    </row>
    <row r="669" spans="2:6" x14ac:dyDescent="0.35">
      <c r="B669" s="122"/>
      <c r="C669" s="122"/>
      <c r="D669" s="122"/>
      <c r="E669" s="122"/>
      <c r="F669" s="122"/>
    </row>
    <row r="670" spans="2:6" x14ac:dyDescent="0.35">
      <c r="B670" s="122"/>
      <c r="C670" s="122"/>
      <c r="D670" s="122"/>
      <c r="E670" s="122"/>
      <c r="F670" s="122"/>
    </row>
    <row r="671" spans="2:6" x14ac:dyDescent="0.35">
      <c r="B671" s="122"/>
      <c r="C671" s="122"/>
      <c r="D671" s="122"/>
      <c r="E671" s="122"/>
      <c r="F671" s="122"/>
    </row>
    <row r="672" spans="2:6" x14ac:dyDescent="0.35">
      <c r="B672" s="122"/>
      <c r="C672" s="122"/>
      <c r="D672" s="122"/>
      <c r="E672" s="122"/>
      <c r="F672" s="122"/>
    </row>
    <row r="673" spans="2:6" x14ac:dyDescent="0.35">
      <c r="B673" s="122"/>
      <c r="C673" s="122"/>
      <c r="D673" s="122"/>
      <c r="E673" s="122"/>
      <c r="F673" s="122"/>
    </row>
    <row r="674" spans="2:6" x14ac:dyDescent="0.35">
      <c r="B674" s="122"/>
      <c r="C674" s="122"/>
      <c r="D674" s="122"/>
      <c r="E674" s="122"/>
      <c r="F674" s="122"/>
    </row>
    <row r="675" spans="2:6" x14ac:dyDescent="0.35">
      <c r="B675" s="122"/>
      <c r="C675" s="122"/>
      <c r="D675" s="122"/>
      <c r="E675" s="122"/>
      <c r="F675" s="122"/>
    </row>
    <row r="676" spans="2:6" x14ac:dyDescent="0.35">
      <c r="B676" s="122"/>
      <c r="C676" s="122"/>
      <c r="D676" s="122"/>
      <c r="E676" s="122"/>
      <c r="F676" s="122"/>
    </row>
    <row r="677" spans="2:6" x14ac:dyDescent="0.35">
      <c r="B677" s="122"/>
      <c r="C677" s="122"/>
      <c r="D677" s="122"/>
      <c r="E677" s="122"/>
      <c r="F677" s="122"/>
    </row>
    <row r="678" spans="2:6" x14ac:dyDescent="0.35">
      <c r="B678" s="122"/>
      <c r="C678" s="122"/>
      <c r="D678" s="122"/>
      <c r="E678" s="122"/>
      <c r="F678" s="122"/>
    </row>
    <row r="679" spans="2:6" x14ac:dyDescent="0.35">
      <c r="B679" s="122"/>
      <c r="C679" s="122"/>
      <c r="D679" s="122"/>
      <c r="E679" s="122"/>
      <c r="F679" s="122"/>
    </row>
    <row r="680" spans="2:6" x14ac:dyDescent="0.35">
      <c r="B680" s="122"/>
      <c r="C680" s="122"/>
      <c r="D680" s="122"/>
      <c r="E680" s="122"/>
      <c r="F680" s="122"/>
    </row>
    <row r="681" spans="2:6" x14ac:dyDescent="0.35">
      <c r="B681" s="122"/>
      <c r="C681" s="122"/>
      <c r="D681" s="122"/>
      <c r="E681" s="122"/>
      <c r="F681" s="122"/>
    </row>
    <row r="682" spans="2:6" x14ac:dyDescent="0.35">
      <c r="B682" s="122"/>
      <c r="C682" s="122"/>
      <c r="D682" s="122"/>
      <c r="E682" s="122"/>
      <c r="F682" s="122"/>
    </row>
    <row r="683" spans="2:6" x14ac:dyDescent="0.35">
      <c r="B683" s="122"/>
      <c r="C683" s="122"/>
      <c r="D683" s="122"/>
      <c r="E683" s="122"/>
      <c r="F683" s="122"/>
    </row>
    <row r="684" spans="2:6" x14ac:dyDescent="0.35">
      <c r="B684" s="122"/>
      <c r="C684" s="122"/>
      <c r="D684" s="122"/>
      <c r="E684" s="122"/>
      <c r="F684" s="122"/>
    </row>
    <row r="685" spans="2:6" x14ac:dyDescent="0.35">
      <c r="B685" s="122"/>
      <c r="C685" s="122"/>
      <c r="D685" s="122"/>
      <c r="E685" s="122"/>
      <c r="F685" s="122"/>
    </row>
    <row r="686" spans="2:6" x14ac:dyDescent="0.35">
      <c r="B686" s="122"/>
      <c r="C686" s="122"/>
      <c r="D686" s="122"/>
      <c r="E686" s="122"/>
      <c r="F686" s="122"/>
    </row>
    <row r="687" spans="2:6" x14ac:dyDescent="0.35">
      <c r="B687" s="122"/>
      <c r="C687" s="122"/>
      <c r="D687" s="122"/>
      <c r="E687" s="122"/>
      <c r="F687" s="122"/>
    </row>
    <row r="688" spans="2:6" x14ac:dyDescent="0.35">
      <c r="B688" s="122"/>
      <c r="C688" s="122"/>
      <c r="D688" s="122"/>
      <c r="E688" s="122"/>
      <c r="F688" s="122"/>
    </row>
    <row r="689" spans="2:6" x14ac:dyDescent="0.35">
      <c r="B689" s="122"/>
      <c r="C689" s="122"/>
      <c r="D689" s="122"/>
      <c r="E689" s="122"/>
      <c r="F689" s="122"/>
    </row>
    <row r="690" spans="2:6" x14ac:dyDescent="0.35">
      <c r="B690" s="122"/>
      <c r="C690" s="122"/>
      <c r="D690" s="122"/>
      <c r="E690" s="122"/>
      <c r="F690" s="122"/>
    </row>
    <row r="691" spans="2:6" x14ac:dyDescent="0.35">
      <c r="B691" s="122"/>
      <c r="C691" s="122"/>
      <c r="D691" s="122"/>
      <c r="E691" s="122"/>
      <c r="F691" s="122"/>
    </row>
    <row r="692" spans="2:6" x14ac:dyDescent="0.35">
      <c r="B692" s="122"/>
      <c r="C692" s="122"/>
      <c r="D692" s="122"/>
      <c r="E692" s="122"/>
      <c r="F692" s="122"/>
    </row>
    <row r="693" spans="2:6" x14ac:dyDescent="0.35">
      <c r="B693" s="122"/>
      <c r="C693" s="122"/>
      <c r="D693" s="122"/>
      <c r="E693" s="122"/>
      <c r="F693" s="122"/>
    </row>
    <row r="694" spans="2:6" x14ac:dyDescent="0.35">
      <c r="B694" s="122"/>
      <c r="C694" s="122"/>
      <c r="D694" s="122"/>
      <c r="E694" s="122"/>
      <c r="F694" s="122"/>
    </row>
    <row r="695" spans="2:6" x14ac:dyDescent="0.35">
      <c r="B695" s="122"/>
      <c r="C695" s="122"/>
      <c r="D695" s="122"/>
      <c r="E695" s="122"/>
      <c r="F695" s="122"/>
    </row>
    <row r="696" spans="2:6" x14ac:dyDescent="0.35">
      <c r="B696" s="122"/>
      <c r="C696" s="122"/>
      <c r="D696" s="122"/>
      <c r="E696" s="122"/>
      <c r="F696" s="122"/>
    </row>
    <row r="697" spans="2:6" x14ac:dyDescent="0.35">
      <c r="B697" s="122"/>
      <c r="C697" s="122"/>
      <c r="D697" s="122"/>
      <c r="E697" s="122"/>
      <c r="F697" s="122"/>
    </row>
    <row r="698" spans="2:6" x14ac:dyDescent="0.35">
      <c r="B698" s="122"/>
      <c r="C698" s="122"/>
      <c r="D698" s="122"/>
      <c r="E698" s="122"/>
      <c r="F698" s="122"/>
    </row>
    <row r="699" spans="2:6" x14ac:dyDescent="0.35">
      <c r="B699" s="122"/>
      <c r="C699" s="122"/>
      <c r="D699" s="122"/>
      <c r="E699" s="122"/>
      <c r="F699" s="122"/>
    </row>
    <row r="700" spans="2:6" x14ac:dyDescent="0.35">
      <c r="B700" s="122"/>
      <c r="C700" s="122"/>
      <c r="D700" s="122"/>
      <c r="E700" s="122"/>
      <c r="F700" s="122"/>
    </row>
    <row r="701" spans="2:6" x14ac:dyDescent="0.35">
      <c r="B701" s="122"/>
      <c r="C701" s="122"/>
      <c r="D701" s="122"/>
      <c r="E701" s="122"/>
      <c r="F701" s="122"/>
    </row>
    <row r="702" spans="2:6" x14ac:dyDescent="0.35">
      <c r="B702" s="122"/>
      <c r="C702" s="122"/>
      <c r="D702" s="122"/>
      <c r="E702" s="122"/>
      <c r="F702" s="122"/>
    </row>
    <row r="703" spans="2:6" x14ac:dyDescent="0.35">
      <c r="B703" s="122"/>
      <c r="C703" s="122"/>
      <c r="D703" s="122"/>
      <c r="E703" s="122"/>
      <c r="F703" s="122"/>
    </row>
    <row r="704" spans="2:6" x14ac:dyDescent="0.35">
      <c r="B704" s="122"/>
      <c r="C704" s="122"/>
      <c r="D704" s="122"/>
      <c r="E704" s="122"/>
      <c r="F704" s="122"/>
    </row>
    <row r="705" spans="2:6" x14ac:dyDescent="0.35">
      <c r="B705" s="122"/>
      <c r="C705" s="122"/>
      <c r="D705" s="122"/>
      <c r="E705" s="122"/>
      <c r="F705" s="122"/>
    </row>
    <row r="706" spans="2:6" x14ac:dyDescent="0.35">
      <c r="B706" s="122"/>
      <c r="C706" s="122"/>
      <c r="D706" s="122"/>
      <c r="E706" s="122"/>
      <c r="F706" s="122"/>
    </row>
    <row r="707" spans="2:6" x14ac:dyDescent="0.35">
      <c r="B707" s="122"/>
      <c r="C707" s="122"/>
      <c r="D707" s="122"/>
      <c r="E707" s="122"/>
      <c r="F707" s="122"/>
    </row>
    <row r="708" spans="2:6" x14ac:dyDescent="0.35">
      <c r="B708" s="122"/>
      <c r="C708" s="122"/>
      <c r="D708" s="122"/>
      <c r="E708" s="122"/>
      <c r="F708" s="122"/>
    </row>
    <row r="709" spans="2:6" x14ac:dyDescent="0.35">
      <c r="B709" s="122"/>
      <c r="C709" s="122"/>
      <c r="D709" s="122"/>
      <c r="E709" s="122"/>
      <c r="F709" s="122"/>
    </row>
    <row r="710" spans="2:6" x14ac:dyDescent="0.35">
      <c r="B710" s="122"/>
      <c r="C710" s="122"/>
      <c r="D710" s="122"/>
      <c r="E710" s="122"/>
      <c r="F710" s="122"/>
    </row>
    <row r="711" spans="2:6" x14ac:dyDescent="0.35">
      <c r="B711" s="122"/>
      <c r="C711" s="122"/>
      <c r="D711" s="122"/>
      <c r="E711" s="122"/>
      <c r="F711" s="122"/>
    </row>
    <row r="712" spans="2:6" x14ac:dyDescent="0.35">
      <c r="B712" s="122"/>
      <c r="C712" s="122"/>
      <c r="D712" s="122"/>
      <c r="E712" s="122"/>
      <c r="F712" s="122"/>
    </row>
    <row r="713" spans="2:6" x14ac:dyDescent="0.35">
      <c r="B713" s="122"/>
      <c r="C713" s="122"/>
      <c r="D713" s="122"/>
      <c r="E713" s="122"/>
      <c r="F713" s="122"/>
    </row>
    <row r="714" spans="2:6" x14ac:dyDescent="0.35">
      <c r="B714" s="122"/>
      <c r="C714" s="122"/>
      <c r="D714" s="122"/>
      <c r="E714" s="122"/>
      <c r="F714" s="122"/>
    </row>
    <row r="715" spans="2:6" x14ac:dyDescent="0.35">
      <c r="B715" s="122"/>
      <c r="C715" s="122"/>
      <c r="D715" s="122"/>
      <c r="E715" s="122"/>
      <c r="F715" s="122"/>
    </row>
    <row r="716" spans="2:6" x14ac:dyDescent="0.35">
      <c r="B716" s="122"/>
      <c r="C716" s="122"/>
      <c r="D716" s="122"/>
      <c r="E716" s="122"/>
      <c r="F716" s="122"/>
    </row>
    <row r="717" spans="2:6" x14ac:dyDescent="0.35">
      <c r="B717" s="122"/>
      <c r="C717" s="122"/>
      <c r="D717" s="122"/>
      <c r="E717" s="122"/>
      <c r="F717" s="122"/>
    </row>
    <row r="718" spans="2:6" x14ac:dyDescent="0.35">
      <c r="B718" s="122"/>
      <c r="C718" s="122"/>
      <c r="D718" s="122"/>
      <c r="E718" s="122"/>
      <c r="F718" s="122"/>
    </row>
    <row r="719" spans="2:6" x14ac:dyDescent="0.35">
      <c r="B719" s="122"/>
      <c r="C719" s="122"/>
      <c r="D719" s="122"/>
      <c r="E719" s="122"/>
      <c r="F719" s="122"/>
    </row>
    <row r="720" spans="2:6" x14ac:dyDescent="0.35">
      <c r="B720" s="122"/>
      <c r="C720" s="122"/>
      <c r="D720" s="122"/>
      <c r="E720" s="122"/>
      <c r="F720" s="122"/>
    </row>
    <row r="721" spans="2:6" x14ac:dyDescent="0.35">
      <c r="B721" s="122"/>
      <c r="C721" s="122"/>
      <c r="D721" s="122"/>
      <c r="E721" s="122"/>
      <c r="F721" s="122"/>
    </row>
    <row r="722" spans="2:6" x14ac:dyDescent="0.35">
      <c r="B722" s="122"/>
      <c r="C722" s="122"/>
      <c r="D722" s="122"/>
      <c r="E722" s="122"/>
      <c r="F722" s="122"/>
    </row>
    <row r="723" spans="2:6" x14ac:dyDescent="0.35">
      <c r="B723" s="122"/>
      <c r="C723" s="122"/>
      <c r="D723" s="122"/>
      <c r="E723" s="122"/>
      <c r="F723" s="122"/>
    </row>
    <row r="724" spans="2:6" x14ac:dyDescent="0.35">
      <c r="B724" s="122"/>
      <c r="C724" s="122"/>
      <c r="D724" s="122"/>
      <c r="E724" s="122"/>
      <c r="F724" s="122"/>
    </row>
    <row r="725" spans="2:6" x14ac:dyDescent="0.35">
      <c r="B725" s="122"/>
      <c r="C725" s="122"/>
      <c r="D725" s="122"/>
      <c r="E725" s="122"/>
      <c r="F725" s="122"/>
    </row>
    <row r="726" spans="2:6" x14ac:dyDescent="0.35">
      <c r="B726" s="122"/>
      <c r="C726" s="122"/>
      <c r="D726" s="122"/>
      <c r="E726" s="122"/>
      <c r="F726" s="122"/>
    </row>
    <row r="727" spans="2:6" x14ac:dyDescent="0.35">
      <c r="B727" s="122"/>
      <c r="C727" s="122"/>
      <c r="D727" s="122"/>
      <c r="E727" s="122"/>
      <c r="F727" s="122"/>
    </row>
    <row r="728" spans="2:6" x14ac:dyDescent="0.35">
      <c r="B728" s="122"/>
      <c r="C728" s="122"/>
      <c r="D728" s="122"/>
      <c r="E728" s="122"/>
      <c r="F728" s="122"/>
    </row>
    <row r="729" spans="2:6" x14ac:dyDescent="0.35">
      <c r="B729" s="122"/>
      <c r="C729" s="122"/>
      <c r="D729" s="122"/>
      <c r="E729" s="122"/>
      <c r="F729" s="122"/>
    </row>
    <row r="730" spans="2:6" x14ac:dyDescent="0.35">
      <c r="B730" s="122"/>
      <c r="C730" s="122"/>
      <c r="D730" s="122"/>
      <c r="E730" s="122"/>
      <c r="F730" s="122"/>
    </row>
    <row r="731" spans="2:6" x14ac:dyDescent="0.35">
      <c r="B731" s="122"/>
      <c r="C731" s="122"/>
      <c r="D731" s="122"/>
      <c r="E731" s="122"/>
      <c r="F731" s="122"/>
    </row>
    <row r="732" spans="2:6" x14ac:dyDescent="0.35">
      <c r="B732" s="122"/>
      <c r="C732" s="122"/>
      <c r="D732" s="122"/>
      <c r="E732" s="122"/>
      <c r="F732" s="122"/>
    </row>
    <row r="733" spans="2:6" x14ac:dyDescent="0.35">
      <c r="B733" s="122"/>
      <c r="C733" s="122"/>
      <c r="D733" s="122"/>
      <c r="E733" s="122"/>
      <c r="F733" s="122"/>
    </row>
    <row r="734" spans="2:6" x14ac:dyDescent="0.35">
      <c r="B734" s="122"/>
      <c r="C734" s="122"/>
      <c r="D734" s="122"/>
      <c r="E734" s="122"/>
      <c r="F734" s="122"/>
    </row>
    <row r="735" spans="2:6" x14ac:dyDescent="0.35">
      <c r="B735" s="122"/>
      <c r="C735" s="122"/>
      <c r="D735" s="122"/>
      <c r="E735" s="122"/>
      <c r="F735" s="122"/>
    </row>
    <row r="736" spans="2:6" x14ac:dyDescent="0.35">
      <c r="B736" s="122"/>
      <c r="C736" s="122"/>
      <c r="D736" s="122"/>
      <c r="E736" s="122"/>
      <c r="F736" s="122"/>
    </row>
    <row r="737" spans="2:6" x14ac:dyDescent="0.35">
      <c r="B737" s="122"/>
      <c r="C737" s="122"/>
      <c r="D737" s="122"/>
      <c r="E737" s="122"/>
      <c r="F737" s="122"/>
    </row>
    <row r="738" spans="2:6" x14ac:dyDescent="0.35">
      <c r="B738" s="122"/>
      <c r="C738" s="122"/>
      <c r="D738" s="122"/>
      <c r="E738" s="122"/>
      <c r="F738" s="122"/>
    </row>
    <row r="739" spans="2:6" x14ac:dyDescent="0.35">
      <c r="B739" s="122"/>
      <c r="C739" s="122"/>
      <c r="D739" s="122"/>
      <c r="E739" s="122"/>
      <c r="F739" s="122"/>
    </row>
    <row r="740" spans="2:6" x14ac:dyDescent="0.35">
      <c r="B740" s="122"/>
      <c r="C740" s="122"/>
      <c r="D740" s="122"/>
      <c r="E740" s="122"/>
      <c r="F740" s="122"/>
    </row>
    <row r="741" spans="2:6" x14ac:dyDescent="0.35">
      <c r="B741" s="122"/>
      <c r="C741" s="122"/>
      <c r="D741" s="122"/>
      <c r="E741" s="122"/>
      <c r="F741" s="122"/>
    </row>
    <row r="742" spans="2:6" x14ac:dyDescent="0.35">
      <c r="B742" s="122"/>
      <c r="C742" s="122"/>
      <c r="D742" s="122"/>
      <c r="E742" s="122"/>
      <c r="F742" s="122"/>
    </row>
    <row r="743" spans="2:6" x14ac:dyDescent="0.35">
      <c r="B743" s="122"/>
      <c r="C743" s="122"/>
      <c r="D743" s="122"/>
      <c r="E743" s="122"/>
      <c r="F743" s="122"/>
    </row>
    <row r="744" spans="2:6" x14ac:dyDescent="0.35">
      <c r="B744" s="122"/>
      <c r="C744" s="122"/>
      <c r="D744" s="122"/>
      <c r="E744" s="122"/>
      <c r="F744" s="122"/>
    </row>
    <row r="745" spans="2:6" x14ac:dyDescent="0.35">
      <c r="B745" s="122"/>
      <c r="C745" s="122"/>
      <c r="D745" s="122"/>
      <c r="E745" s="122"/>
      <c r="F745" s="122"/>
    </row>
    <row r="746" spans="2:6" x14ac:dyDescent="0.35">
      <c r="B746" s="122"/>
      <c r="C746" s="122"/>
      <c r="D746" s="122"/>
      <c r="E746" s="122"/>
      <c r="F746" s="122"/>
    </row>
    <row r="747" spans="2:6" x14ac:dyDescent="0.35">
      <c r="B747" s="122"/>
      <c r="C747" s="122"/>
      <c r="D747" s="122"/>
      <c r="E747" s="122"/>
      <c r="F747" s="122"/>
    </row>
    <row r="748" spans="2:6" x14ac:dyDescent="0.35">
      <c r="B748" s="122"/>
      <c r="C748" s="122"/>
      <c r="D748" s="122"/>
      <c r="E748" s="122"/>
      <c r="F748" s="122"/>
    </row>
    <row r="749" spans="2:6" x14ac:dyDescent="0.35">
      <c r="B749" s="122"/>
      <c r="C749" s="122"/>
      <c r="D749" s="122"/>
      <c r="E749" s="122"/>
      <c r="F749" s="122"/>
    </row>
    <row r="750" spans="2:6" x14ac:dyDescent="0.35">
      <c r="B750" s="122"/>
      <c r="C750" s="122"/>
      <c r="D750" s="122"/>
      <c r="E750" s="122"/>
      <c r="F750" s="122"/>
    </row>
    <row r="751" spans="2:6" x14ac:dyDescent="0.35">
      <c r="B751" s="122"/>
      <c r="C751" s="122"/>
      <c r="D751" s="122"/>
      <c r="E751" s="122"/>
      <c r="F751" s="122"/>
    </row>
    <row r="752" spans="2:6" x14ac:dyDescent="0.35">
      <c r="B752" s="122"/>
      <c r="C752" s="122"/>
      <c r="D752" s="122"/>
      <c r="E752" s="122"/>
      <c r="F752" s="122"/>
    </row>
    <row r="753" spans="2:6" x14ac:dyDescent="0.35">
      <c r="B753" s="122"/>
      <c r="C753" s="122"/>
      <c r="D753" s="122"/>
      <c r="E753" s="122"/>
      <c r="F753" s="122"/>
    </row>
    <row r="754" spans="2:6" x14ac:dyDescent="0.35">
      <c r="B754" s="122"/>
      <c r="C754" s="122"/>
      <c r="D754" s="122"/>
      <c r="E754" s="122"/>
      <c r="F754" s="122"/>
    </row>
    <row r="755" spans="2:6" x14ac:dyDescent="0.35">
      <c r="B755" s="122"/>
      <c r="C755" s="122"/>
      <c r="D755" s="122"/>
      <c r="E755" s="122"/>
      <c r="F755" s="122"/>
    </row>
    <row r="756" spans="2:6" x14ac:dyDescent="0.35">
      <c r="B756" s="122"/>
      <c r="C756" s="122"/>
      <c r="D756" s="122"/>
      <c r="E756" s="122"/>
      <c r="F756" s="122"/>
    </row>
    <row r="757" spans="2:6" x14ac:dyDescent="0.35">
      <c r="B757" s="122"/>
      <c r="C757" s="122"/>
      <c r="D757" s="122"/>
      <c r="E757" s="122"/>
      <c r="F757" s="122"/>
    </row>
    <row r="758" spans="2:6" x14ac:dyDescent="0.35">
      <c r="B758" s="122"/>
      <c r="C758" s="122"/>
      <c r="D758" s="122"/>
      <c r="E758" s="122"/>
      <c r="F758" s="122"/>
    </row>
    <row r="759" spans="2:6" x14ac:dyDescent="0.35">
      <c r="B759" s="122"/>
      <c r="C759" s="122"/>
      <c r="D759" s="122"/>
      <c r="E759" s="122"/>
      <c r="F759" s="122"/>
    </row>
    <row r="760" spans="2:6" x14ac:dyDescent="0.35">
      <c r="B760" s="122"/>
      <c r="C760" s="122"/>
      <c r="D760" s="122"/>
      <c r="E760" s="122"/>
      <c r="F760" s="122"/>
    </row>
    <row r="761" spans="2:6" x14ac:dyDescent="0.35">
      <c r="B761" s="122"/>
      <c r="C761" s="122"/>
      <c r="D761" s="122"/>
      <c r="E761" s="122"/>
      <c r="F761" s="122"/>
    </row>
    <row r="762" spans="2:6" x14ac:dyDescent="0.35">
      <c r="B762" s="122"/>
      <c r="C762" s="122"/>
      <c r="D762" s="122"/>
      <c r="E762" s="122"/>
      <c r="F762" s="122"/>
    </row>
    <row r="763" spans="2:6" x14ac:dyDescent="0.35">
      <c r="B763" s="122"/>
      <c r="C763" s="122"/>
      <c r="D763" s="122"/>
      <c r="E763" s="122"/>
      <c r="F763" s="122"/>
    </row>
    <row r="764" spans="2:6" x14ac:dyDescent="0.35">
      <c r="B764" s="122"/>
      <c r="C764" s="122"/>
      <c r="D764" s="122"/>
      <c r="E764" s="122"/>
      <c r="F764" s="122"/>
    </row>
    <row r="765" spans="2:6" x14ac:dyDescent="0.35">
      <c r="B765" s="122"/>
      <c r="C765" s="122"/>
      <c r="D765" s="122"/>
      <c r="E765" s="122"/>
      <c r="F765" s="122"/>
    </row>
    <row r="766" spans="2:6" x14ac:dyDescent="0.35">
      <c r="B766" s="122"/>
      <c r="C766" s="122"/>
      <c r="D766" s="122"/>
      <c r="E766" s="122"/>
      <c r="F766" s="122"/>
    </row>
    <row r="767" spans="2:6" x14ac:dyDescent="0.35">
      <c r="B767" s="122"/>
      <c r="C767" s="122"/>
      <c r="D767" s="122"/>
      <c r="E767" s="122"/>
      <c r="F767" s="122"/>
    </row>
    <row r="768" spans="2:6" x14ac:dyDescent="0.35">
      <c r="B768" s="122"/>
      <c r="C768" s="122"/>
      <c r="D768" s="122"/>
      <c r="E768" s="122"/>
      <c r="F768" s="122"/>
    </row>
    <row r="769" spans="2:6" x14ac:dyDescent="0.35">
      <c r="B769" s="122"/>
      <c r="C769" s="122"/>
      <c r="D769" s="122"/>
      <c r="E769" s="122"/>
      <c r="F769" s="122"/>
    </row>
    <row r="770" spans="2:6" x14ac:dyDescent="0.35">
      <c r="B770" s="122"/>
      <c r="C770" s="122"/>
      <c r="D770" s="122"/>
      <c r="E770" s="122"/>
      <c r="F770" s="122"/>
    </row>
    <row r="771" spans="2:6" x14ac:dyDescent="0.35">
      <c r="B771" s="122"/>
      <c r="C771" s="122"/>
      <c r="D771" s="122"/>
      <c r="E771" s="122"/>
      <c r="F771" s="122"/>
    </row>
    <row r="772" spans="2:6" x14ac:dyDescent="0.35">
      <c r="B772" s="122"/>
      <c r="C772" s="122"/>
      <c r="D772" s="122"/>
      <c r="E772" s="122"/>
      <c r="F772" s="122"/>
    </row>
    <row r="773" spans="2:6" x14ac:dyDescent="0.35">
      <c r="B773" s="122"/>
      <c r="C773" s="122"/>
      <c r="D773" s="122"/>
      <c r="E773" s="122"/>
      <c r="F773" s="122"/>
    </row>
    <row r="774" spans="2:6" x14ac:dyDescent="0.35">
      <c r="B774" s="122"/>
      <c r="C774" s="122"/>
      <c r="D774" s="122"/>
      <c r="E774" s="122"/>
      <c r="F774" s="122"/>
    </row>
    <row r="775" spans="2:6" x14ac:dyDescent="0.35">
      <c r="B775" s="122"/>
      <c r="C775" s="122"/>
      <c r="D775" s="122"/>
      <c r="E775" s="122"/>
      <c r="F775" s="122"/>
    </row>
    <row r="776" spans="2:6" x14ac:dyDescent="0.35">
      <c r="B776" s="122"/>
      <c r="C776" s="122"/>
      <c r="D776" s="122"/>
      <c r="E776" s="122"/>
      <c r="F776" s="122"/>
    </row>
    <row r="777" spans="2:6" x14ac:dyDescent="0.35">
      <c r="B777" s="122"/>
      <c r="C777" s="122"/>
      <c r="D777" s="122"/>
      <c r="E777" s="122"/>
      <c r="F777" s="122"/>
    </row>
    <row r="778" spans="2:6" x14ac:dyDescent="0.35">
      <c r="B778" s="122"/>
      <c r="C778" s="122"/>
      <c r="D778" s="122"/>
      <c r="E778" s="122"/>
      <c r="F778" s="122"/>
    </row>
    <row r="779" spans="2:6" x14ac:dyDescent="0.35">
      <c r="B779" s="122"/>
      <c r="C779" s="122"/>
      <c r="D779" s="122"/>
      <c r="E779" s="122"/>
      <c r="F779" s="122"/>
    </row>
    <row r="780" spans="2:6" x14ac:dyDescent="0.35">
      <c r="B780" s="122"/>
      <c r="C780" s="122"/>
      <c r="D780" s="122"/>
      <c r="E780" s="122"/>
      <c r="F780" s="122"/>
    </row>
    <row r="781" spans="2:6" x14ac:dyDescent="0.35">
      <c r="B781" s="122"/>
      <c r="C781" s="122"/>
      <c r="D781" s="122"/>
      <c r="E781" s="122"/>
      <c r="F781" s="122"/>
    </row>
    <row r="782" spans="2:6" x14ac:dyDescent="0.35">
      <c r="B782" s="122"/>
      <c r="C782" s="122"/>
      <c r="D782" s="122"/>
      <c r="E782" s="122"/>
      <c r="F782" s="122"/>
    </row>
    <row r="783" spans="2:6" x14ac:dyDescent="0.35">
      <c r="B783" s="122"/>
      <c r="C783" s="122"/>
      <c r="D783" s="122"/>
      <c r="E783" s="122"/>
      <c r="F783" s="122"/>
    </row>
    <row r="784" spans="2:6" x14ac:dyDescent="0.35">
      <c r="B784" s="122"/>
      <c r="C784" s="122"/>
      <c r="D784" s="122"/>
      <c r="E784" s="122"/>
      <c r="F784" s="122"/>
    </row>
    <row r="785" spans="2:6" x14ac:dyDescent="0.35">
      <c r="B785" s="122"/>
      <c r="C785" s="122"/>
      <c r="D785" s="122"/>
      <c r="E785" s="122"/>
      <c r="F785" s="122"/>
    </row>
    <row r="786" spans="2:6" x14ac:dyDescent="0.35">
      <c r="B786" s="122"/>
      <c r="C786" s="122"/>
      <c r="D786" s="122"/>
      <c r="E786" s="122"/>
      <c r="F786" s="122"/>
    </row>
    <row r="787" spans="2:6" x14ac:dyDescent="0.35">
      <c r="B787" s="122"/>
      <c r="C787" s="122"/>
      <c r="D787" s="122"/>
      <c r="E787" s="122"/>
      <c r="F787" s="122"/>
    </row>
    <row r="788" spans="2:6" x14ac:dyDescent="0.35">
      <c r="B788" s="122"/>
      <c r="C788" s="122"/>
      <c r="D788" s="122"/>
      <c r="E788" s="122"/>
      <c r="F788" s="122"/>
    </row>
    <row r="789" spans="2:6" x14ac:dyDescent="0.35">
      <c r="B789" s="122"/>
      <c r="C789" s="122"/>
      <c r="D789" s="122"/>
      <c r="E789" s="122"/>
      <c r="F789" s="122"/>
    </row>
    <row r="790" spans="2:6" x14ac:dyDescent="0.35">
      <c r="B790" s="122"/>
      <c r="C790" s="122"/>
      <c r="D790" s="122"/>
      <c r="E790" s="122"/>
      <c r="F790" s="122"/>
    </row>
    <row r="791" spans="2:6" x14ac:dyDescent="0.35">
      <c r="B791" s="122"/>
      <c r="C791" s="122"/>
      <c r="D791" s="122"/>
      <c r="E791" s="122"/>
      <c r="F791" s="122"/>
    </row>
    <row r="792" spans="2:6" x14ac:dyDescent="0.35">
      <c r="B792" s="122"/>
      <c r="C792" s="122"/>
      <c r="D792" s="122"/>
      <c r="E792" s="122"/>
      <c r="F792" s="122"/>
    </row>
    <row r="793" spans="2:6" x14ac:dyDescent="0.35">
      <c r="B793" s="122"/>
      <c r="C793" s="122"/>
      <c r="D793" s="122"/>
      <c r="E793" s="122"/>
      <c r="F793" s="122"/>
    </row>
    <row r="794" spans="2:6" x14ac:dyDescent="0.35">
      <c r="B794" s="122"/>
      <c r="C794" s="122"/>
      <c r="D794" s="122"/>
      <c r="E794" s="122"/>
      <c r="F794" s="122"/>
    </row>
    <row r="795" spans="2:6" x14ac:dyDescent="0.35">
      <c r="B795" s="122"/>
      <c r="C795" s="122"/>
      <c r="D795" s="122"/>
      <c r="E795" s="122"/>
      <c r="F795" s="122"/>
    </row>
    <row r="796" spans="2:6" x14ac:dyDescent="0.35">
      <c r="B796" s="122"/>
      <c r="C796" s="122"/>
      <c r="D796" s="122"/>
      <c r="E796" s="122"/>
      <c r="F796" s="122"/>
    </row>
    <row r="797" spans="2:6" x14ac:dyDescent="0.35">
      <c r="B797" s="122"/>
      <c r="C797" s="122"/>
      <c r="D797" s="122"/>
      <c r="E797" s="122"/>
      <c r="F797" s="122"/>
    </row>
    <row r="798" spans="2:6" x14ac:dyDescent="0.35">
      <c r="B798" s="122"/>
      <c r="C798" s="122"/>
      <c r="D798" s="122"/>
      <c r="E798" s="122"/>
      <c r="F798" s="122"/>
    </row>
    <row r="799" spans="2:6" x14ac:dyDescent="0.35">
      <c r="B799" s="122"/>
      <c r="C799" s="122"/>
      <c r="D799" s="122"/>
      <c r="E799" s="122"/>
      <c r="F799" s="122"/>
    </row>
    <row r="800" spans="2:6" x14ac:dyDescent="0.35">
      <c r="B800" s="122"/>
      <c r="C800" s="122"/>
      <c r="D800" s="122"/>
      <c r="E800" s="122"/>
      <c r="F800" s="122"/>
    </row>
    <row r="801" spans="2:6" x14ac:dyDescent="0.35">
      <c r="B801" s="122"/>
      <c r="C801" s="122"/>
      <c r="D801" s="122"/>
      <c r="E801" s="122"/>
      <c r="F801" s="122"/>
    </row>
    <row r="802" spans="2:6" x14ac:dyDescent="0.35">
      <c r="B802" s="122"/>
      <c r="C802" s="122"/>
      <c r="D802" s="122"/>
      <c r="E802" s="122"/>
      <c r="F802" s="122"/>
    </row>
    <row r="803" spans="2:6" x14ac:dyDescent="0.35">
      <c r="B803" s="122"/>
      <c r="C803" s="122"/>
      <c r="D803" s="122"/>
      <c r="E803" s="122"/>
      <c r="F803" s="122"/>
    </row>
    <row r="804" spans="2:6" x14ac:dyDescent="0.35">
      <c r="B804" s="122"/>
      <c r="C804" s="122"/>
      <c r="D804" s="122"/>
      <c r="E804" s="122"/>
      <c r="F804" s="122"/>
    </row>
    <row r="805" spans="2:6" x14ac:dyDescent="0.35">
      <c r="B805" s="122"/>
      <c r="C805" s="122"/>
      <c r="D805" s="122"/>
      <c r="E805" s="122"/>
      <c r="F805" s="122"/>
    </row>
    <row r="806" spans="2:6" x14ac:dyDescent="0.35">
      <c r="B806" s="122"/>
      <c r="C806" s="122"/>
      <c r="D806" s="122"/>
      <c r="E806" s="122"/>
      <c r="F806" s="122"/>
    </row>
    <row r="807" spans="2:6" x14ac:dyDescent="0.35">
      <c r="B807" s="122"/>
      <c r="C807" s="122"/>
      <c r="D807" s="122"/>
      <c r="E807" s="122"/>
      <c r="F807" s="122"/>
    </row>
    <row r="808" spans="2:6" x14ac:dyDescent="0.35">
      <c r="B808" s="122"/>
      <c r="C808" s="122"/>
      <c r="D808" s="122"/>
      <c r="E808" s="122"/>
      <c r="F808" s="122"/>
    </row>
    <row r="809" spans="2:6" x14ac:dyDescent="0.35">
      <c r="B809" s="122"/>
      <c r="C809" s="122"/>
      <c r="D809" s="122"/>
      <c r="E809" s="122"/>
      <c r="F809" s="122"/>
    </row>
    <row r="810" spans="2:6" x14ac:dyDescent="0.35">
      <c r="B810" s="122"/>
      <c r="C810" s="122"/>
      <c r="D810" s="122"/>
      <c r="E810" s="122"/>
      <c r="F810" s="122"/>
    </row>
    <row r="811" spans="2:6" x14ac:dyDescent="0.35">
      <c r="B811" s="122"/>
      <c r="C811" s="122"/>
      <c r="D811" s="122"/>
      <c r="E811" s="122"/>
      <c r="F811" s="122"/>
    </row>
    <row r="812" spans="2:6" x14ac:dyDescent="0.35">
      <c r="B812" s="122"/>
      <c r="C812" s="122"/>
      <c r="D812" s="122"/>
      <c r="E812" s="122"/>
      <c r="F812" s="122"/>
    </row>
    <row r="813" spans="2:6" x14ac:dyDescent="0.35">
      <c r="B813" s="122"/>
      <c r="C813" s="122"/>
      <c r="D813" s="122"/>
      <c r="E813" s="122"/>
      <c r="F813" s="122"/>
    </row>
    <row r="814" spans="2:6" x14ac:dyDescent="0.35">
      <c r="B814" s="122"/>
      <c r="C814" s="122"/>
      <c r="D814" s="122"/>
      <c r="E814" s="122"/>
      <c r="F814" s="122"/>
    </row>
    <row r="815" spans="2:6" x14ac:dyDescent="0.35">
      <c r="B815" s="122"/>
      <c r="C815" s="122"/>
      <c r="D815" s="122"/>
      <c r="E815" s="122"/>
      <c r="F815" s="122"/>
    </row>
    <row r="816" spans="2:6" x14ac:dyDescent="0.35">
      <c r="B816" s="122"/>
      <c r="C816" s="122"/>
      <c r="D816" s="122"/>
      <c r="E816" s="122"/>
      <c r="F816" s="122"/>
    </row>
    <row r="817" spans="2:6" x14ac:dyDescent="0.35">
      <c r="B817" s="122"/>
      <c r="C817" s="122"/>
      <c r="D817" s="122"/>
      <c r="E817" s="122"/>
      <c r="F817" s="122"/>
    </row>
    <row r="818" spans="2:6" x14ac:dyDescent="0.35">
      <c r="B818" s="122"/>
      <c r="C818" s="122"/>
      <c r="D818" s="122"/>
      <c r="E818" s="122"/>
      <c r="F818" s="122"/>
    </row>
    <row r="819" spans="2:6" x14ac:dyDescent="0.35">
      <c r="B819" s="122"/>
      <c r="C819" s="122"/>
      <c r="D819" s="122"/>
      <c r="E819" s="122"/>
      <c r="F819" s="122"/>
    </row>
    <row r="820" spans="2:6" x14ac:dyDescent="0.35">
      <c r="B820" s="122"/>
      <c r="C820" s="122"/>
      <c r="D820" s="122"/>
      <c r="E820" s="122"/>
      <c r="F820" s="122"/>
    </row>
    <row r="821" spans="2:6" x14ac:dyDescent="0.35">
      <c r="B821" s="122"/>
      <c r="C821" s="122"/>
      <c r="D821" s="122"/>
      <c r="E821" s="122"/>
      <c r="F821" s="122"/>
    </row>
    <row r="822" spans="2:6" x14ac:dyDescent="0.35">
      <c r="B822" s="122"/>
      <c r="C822" s="122"/>
      <c r="D822" s="122"/>
      <c r="E822" s="122"/>
      <c r="F822" s="122"/>
    </row>
    <row r="823" spans="2:6" x14ac:dyDescent="0.35">
      <c r="B823" s="122"/>
      <c r="C823" s="122"/>
      <c r="D823" s="122"/>
      <c r="E823" s="122"/>
      <c r="F823" s="122"/>
    </row>
    <row r="824" spans="2:6" x14ac:dyDescent="0.35">
      <c r="B824" s="122"/>
      <c r="C824" s="122"/>
      <c r="D824" s="122"/>
      <c r="E824" s="122"/>
      <c r="F824" s="122"/>
    </row>
    <row r="825" spans="2:6" x14ac:dyDescent="0.35">
      <c r="B825" s="122"/>
      <c r="C825" s="122"/>
      <c r="D825" s="122"/>
      <c r="E825" s="122"/>
      <c r="F825" s="122"/>
    </row>
    <row r="826" spans="2:6" x14ac:dyDescent="0.35">
      <c r="B826" s="122"/>
      <c r="C826" s="122"/>
      <c r="D826" s="122"/>
      <c r="E826" s="122"/>
      <c r="F826" s="122"/>
    </row>
    <row r="827" spans="2:6" x14ac:dyDescent="0.35">
      <c r="B827" s="122"/>
      <c r="C827" s="122"/>
      <c r="D827" s="122"/>
      <c r="E827" s="122"/>
      <c r="F827" s="122"/>
    </row>
    <row r="828" spans="2:6" x14ac:dyDescent="0.35">
      <c r="B828" s="122"/>
      <c r="C828" s="122"/>
      <c r="D828" s="122"/>
      <c r="E828" s="122"/>
      <c r="F828" s="122"/>
    </row>
    <row r="829" spans="2:6" x14ac:dyDescent="0.35">
      <c r="B829" s="122"/>
      <c r="C829" s="122"/>
      <c r="D829" s="122"/>
      <c r="E829" s="122"/>
      <c r="F829" s="122"/>
    </row>
    <row r="830" spans="2:6" x14ac:dyDescent="0.35">
      <c r="B830" s="122"/>
      <c r="C830" s="122"/>
      <c r="D830" s="122"/>
      <c r="E830" s="122"/>
      <c r="F830" s="122"/>
    </row>
    <row r="831" spans="2:6" x14ac:dyDescent="0.35">
      <c r="B831" s="122"/>
      <c r="C831" s="122"/>
      <c r="D831" s="122"/>
      <c r="E831" s="122"/>
      <c r="F831" s="122"/>
    </row>
    <row r="832" spans="2:6" x14ac:dyDescent="0.35">
      <c r="B832" s="122"/>
      <c r="C832" s="122"/>
      <c r="D832" s="122"/>
      <c r="E832" s="122"/>
      <c r="F832" s="122"/>
    </row>
    <row r="833" spans="2:6" x14ac:dyDescent="0.35">
      <c r="B833" s="122"/>
      <c r="C833" s="122"/>
      <c r="D833" s="122"/>
      <c r="E833" s="122"/>
      <c r="F833" s="122"/>
    </row>
    <row r="834" spans="2:6" x14ac:dyDescent="0.35">
      <c r="B834" s="122"/>
      <c r="C834" s="122"/>
      <c r="D834" s="122"/>
      <c r="E834" s="122"/>
      <c r="F834" s="122"/>
    </row>
    <row r="835" spans="2:6" x14ac:dyDescent="0.35">
      <c r="B835" s="122"/>
      <c r="C835" s="122"/>
      <c r="D835" s="122"/>
      <c r="E835" s="122"/>
      <c r="F835" s="122"/>
    </row>
    <row r="836" spans="2:6" x14ac:dyDescent="0.35">
      <c r="B836" s="122"/>
      <c r="C836" s="122"/>
      <c r="D836" s="122"/>
      <c r="E836" s="122"/>
      <c r="F836" s="122"/>
    </row>
    <row r="837" spans="2:6" x14ac:dyDescent="0.35">
      <c r="B837" s="122"/>
      <c r="C837" s="122"/>
      <c r="D837" s="122"/>
      <c r="E837" s="122"/>
      <c r="F837" s="122"/>
    </row>
    <row r="838" spans="2:6" x14ac:dyDescent="0.35">
      <c r="B838" s="122"/>
      <c r="C838" s="122"/>
      <c r="D838" s="122"/>
      <c r="E838" s="122"/>
      <c r="F838" s="122"/>
    </row>
    <row r="839" spans="2:6" x14ac:dyDescent="0.35">
      <c r="B839" s="122"/>
      <c r="C839" s="122"/>
      <c r="D839" s="122"/>
      <c r="E839" s="122"/>
      <c r="F839" s="122"/>
    </row>
    <row r="840" spans="2:6" x14ac:dyDescent="0.35">
      <c r="B840" s="122"/>
      <c r="C840" s="122"/>
      <c r="D840" s="122"/>
      <c r="E840" s="122"/>
      <c r="F840" s="122"/>
    </row>
    <row r="841" spans="2:6" x14ac:dyDescent="0.35">
      <c r="B841" s="122"/>
      <c r="C841" s="122"/>
      <c r="D841" s="122"/>
      <c r="E841" s="122"/>
      <c r="F841" s="122"/>
    </row>
    <row r="842" spans="2:6" x14ac:dyDescent="0.35">
      <c r="B842" s="122"/>
      <c r="C842" s="122"/>
      <c r="D842" s="122"/>
      <c r="E842" s="122"/>
      <c r="F842" s="122"/>
    </row>
    <row r="843" spans="2:6" x14ac:dyDescent="0.35">
      <c r="B843" s="122"/>
      <c r="C843" s="122"/>
      <c r="D843" s="122"/>
      <c r="E843" s="122"/>
      <c r="F843" s="122"/>
    </row>
    <row r="844" spans="2:6" x14ac:dyDescent="0.35">
      <c r="B844" s="122"/>
      <c r="C844" s="122"/>
      <c r="D844" s="122"/>
      <c r="E844" s="122"/>
      <c r="F844" s="122"/>
    </row>
    <row r="845" spans="2:6" x14ac:dyDescent="0.35">
      <c r="B845" s="122"/>
      <c r="C845" s="122"/>
      <c r="D845" s="122"/>
      <c r="E845" s="122"/>
      <c r="F845" s="122"/>
    </row>
    <row r="846" spans="2:6" x14ac:dyDescent="0.35">
      <c r="B846" s="122"/>
      <c r="C846" s="122"/>
      <c r="D846" s="122"/>
      <c r="E846" s="122"/>
      <c r="F846" s="122"/>
    </row>
    <row r="847" spans="2:6" x14ac:dyDescent="0.35">
      <c r="B847" s="122"/>
      <c r="C847" s="122"/>
      <c r="D847" s="122"/>
      <c r="E847" s="122"/>
      <c r="F847" s="122"/>
    </row>
    <row r="848" spans="2:6" x14ac:dyDescent="0.35">
      <c r="B848" s="122"/>
      <c r="C848" s="122"/>
      <c r="D848" s="122"/>
      <c r="E848" s="122"/>
      <c r="F848" s="122"/>
    </row>
    <row r="849" spans="2:6" x14ac:dyDescent="0.35">
      <c r="B849" s="122"/>
      <c r="C849" s="122"/>
      <c r="D849" s="122"/>
      <c r="E849" s="122"/>
      <c r="F849" s="122"/>
    </row>
    <row r="850" spans="2:6" x14ac:dyDescent="0.35">
      <c r="B850" s="122"/>
      <c r="C850" s="122"/>
      <c r="D850" s="122"/>
      <c r="E850" s="122"/>
      <c r="F850" s="122"/>
    </row>
    <row r="851" spans="2:6" x14ac:dyDescent="0.35">
      <c r="B851" s="122"/>
      <c r="C851" s="122"/>
      <c r="D851" s="122"/>
      <c r="E851" s="122"/>
      <c r="F851" s="122"/>
    </row>
    <row r="852" spans="2:6" x14ac:dyDescent="0.35">
      <c r="B852" s="122"/>
      <c r="C852" s="122"/>
      <c r="D852" s="122"/>
      <c r="E852" s="122"/>
      <c r="F852" s="122"/>
    </row>
    <row r="853" spans="2:6" x14ac:dyDescent="0.35">
      <c r="B853" s="122"/>
      <c r="C853" s="122"/>
      <c r="D853" s="122"/>
      <c r="E853" s="122"/>
      <c r="F853" s="122"/>
    </row>
    <row r="854" spans="2:6" x14ac:dyDescent="0.35">
      <c r="B854" s="122"/>
      <c r="C854" s="122"/>
      <c r="D854" s="122"/>
      <c r="E854" s="122"/>
      <c r="F854" s="122"/>
    </row>
    <row r="855" spans="2:6" x14ac:dyDescent="0.35">
      <c r="B855" s="122"/>
      <c r="C855" s="122"/>
      <c r="D855" s="122"/>
      <c r="E855" s="122"/>
      <c r="F855" s="122"/>
    </row>
    <row r="856" spans="2:6" x14ac:dyDescent="0.35">
      <c r="B856" s="122"/>
      <c r="C856" s="122"/>
      <c r="D856" s="122"/>
      <c r="E856" s="122"/>
      <c r="F856" s="122"/>
    </row>
    <row r="857" spans="2:6" x14ac:dyDescent="0.35">
      <c r="B857" s="122"/>
      <c r="C857" s="122"/>
      <c r="D857" s="122"/>
      <c r="E857" s="122"/>
      <c r="F857" s="122"/>
    </row>
    <row r="858" spans="2:6" x14ac:dyDescent="0.35">
      <c r="B858" s="122"/>
      <c r="C858" s="122"/>
      <c r="D858" s="122"/>
      <c r="E858" s="122"/>
      <c r="F858" s="122"/>
    </row>
    <row r="859" spans="2:6" x14ac:dyDescent="0.35">
      <c r="B859" s="122"/>
      <c r="C859" s="122"/>
      <c r="D859" s="122"/>
      <c r="E859" s="122"/>
      <c r="F859" s="122"/>
    </row>
    <row r="860" spans="2:6" x14ac:dyDescent="0.35">
      <c r="B860" s="122"/>
      <c r="C860" s="122"/>
      <c r="D860" s="122"/>
      <c r="E860" s="122"/>
      <c r="F860" s="122"/>
    </row>
    <row r="861" spans="2:6" x14ac:dyDescent="0.35">
      <c r="B861" s="122"/>
      <c r="C861" s="122"/>
      <c r="D861" s="122"/>
      <c r="E861" s="122"/>
      <c r="F861" s="122"/>
    </row>
    <row r="862" spans="2:6" x14ac:dyDescent="0.35">
      <c r="B862" s="122"/>
      <c r="C862" s="122"/>
      <c r="D862" s="122"/>
      <c r="E862" s="122"/>
      <c r="F862" s="122"/>
    </row>
    <row r="863" spans="2:6" x14ac:dyDescent="0.35">
      <c r="B863" s="122"/>
      <c r="C863" s="122"/>
      <c r="D863" s="122"/>
      <c r="E863" s="122"/>
      <c r="F863" s="122"/>
    </row>
    <row r="864" spans="2:6" x14ac:dyDescent="0.35">
      <c r="B864" s="122"/>
      <c r="C864" s="122"/>
      <c r="D864" s="122"/>
      <c r="E864" s="122"/>
      <c r="F864" s="122"/>
    </row>
    <row r="865" spans="2:6" x14ac:dyDescent="0.35">
      <c r="B865" s="122"/>
      <c r="C865" s="122"/>
      <c r="D865" s="122"/>
      <c r="E865" s="122"/>
      <c r="F865" s="122"/>
    </row>
    <row r="866" spans="2:6" x14ac:dyDescent="0.35">
      <c r="B866" s="122"/>
      <c r="C866" s="122"/>
      <c r="D866" s="122"/>
      <c r="E866" s="122"/>
      <c r="F866" s="122"/>
    </row>
    <row r="867" spans="2:6" x14ac:dyDescent="0.35">
      <c r="B867" s="122"/>
      <c r="C867" s="122"/>
      <c r="D867" s="122"/>
      <c r="E867" s="122"/>
      <c r="F867" s="122"/>
    </row>
    <row r="868" spans="2:6" x14ac:dyDescent="0.35">
      <c r="B868" s="122"/>
      <c r="C868" s="122"/>
      <c r="D868" s="122"/>
      <c r="E868" s="122"/>
      <c r="F868" s="122"/>
    </row>
    <row r="869" spans="2:6" x14ac:dyDescent="0.35">
      <c r="B869" s="122"/>
      <c r="C869" s="122"/>
      <c r="D869" s="122"/>
      <c r="E869" s="122"/>
      <c r="F869" s="122"/>
    </row>
    <row r="870" spans="2:6" x14ac:dyDescent="0.35">
      <c r="B870" s="122"/>
      <c r="C870" s="122"/>
      <c r="D870" s="122"/>
      <c r="E870" s="122"/>
      <c r="F870" s="122"/>
    </row>
    <row r="871" spans="2:6" x14ac:dyDescent="0.35">
      <c r="B871" s="122"/>
      <c r="C871" s="122"/>
      <c r="D871" s="122"/>
      <c r="E871" s="122"/>
      <c r="F871" s="122"/>
    </row>
    <row r="872" spans="2:6" x14ac:dyDescent="0.35">
      <c r="B872" s="122"/>
      <c r="C872" s="122"/>
      <c r="D872" s="122"/>
      <c r="E872" s="122"/>
      <c r="F872" s="122"/>
    </row>
    <row r="873" spans="2:6" x14ac:dyDescent="0.35">
      <c r="B873" s="122"/>
      <c r="C873" s="122"/>
      <c r="D873" s="122"/>
      <c r="E873" s="122"/>
      <c r="F873" s="122"/>
    </row>
    <row r="874" spans="2:6" x14ac:dyDescent="0.35">
      <c r="B874" s="122"/>
      <c r="C874" s="122"/>
      <c r="D874" s="122"/>
      <c r="E874" s="122"/>
      <c r="F874" s="122"/>
    </row>
    <row r="875" spans="2:6" x14ac:dyDescent="0.35">
      <c r="B875" s="122"/>
      <c r="C875" s="122"/>
      <c r="D875" s="122"/>
      <c r="E875" s="122"/>
      <c r="F875" s="122"/>
    </row>
    <row r="876" spans="2:6" x14ac:dyDescent="0.35">
      <c r="B876" s="122"/>
      <c r="C876" s="122"/>
      <c r="D876" s="122"/>
      <c r="E876" s="122"/>
      <c r="F876" s="122"/>
    </row>
    <row r="877" spans="2:6" x14ac:dyDescent="0.35">
      <c r="B877" s="122"/>
      <c r="C877" s="122"/>
      <c r="D877" s="122"/>
      <c r="E877" s="122"/>
      <c r="F877" s="122"/>
    </row>
    <row r="878" spans="2:6" x14ac:dyDescent="0.35">
      <c r="B878" s="122"/>
      <c r="C878" s="122"/>
      <c r="D878" s="122"/>
      <c r="E878" s="122"/>
      <c r="F878" s="122"/>
    </row>
    <row r="879" spans="2:6" x14ac:dyDescent="0.35">
      <c r="B879" s="122"/>
      <c r="C879" s="122"/>
      <c r="D879" s="122"/>
      <c r="E879" s="122"/>
      <c r="F879" s="122"/>
    </row>
    <row r="880" spans="2:6" x14ac:dyDescent="0.35">
      <c r="B880" s="122"/>
      <c r="C880" s="122"/>
      <c r="D880" s="122"/>
      <c r="E880" s="122"/>
      <c r="F880" s="122"/>
    </row>
    <row r="881" spans="2:6" x14ac:dyDescent="0.35">
      <c r="B881" s="122"/>
      <c r="C881" s="122"/>
      <c r="D881" s="122"/>
      <c r="E881" s="122"/>
      <c r="F881" s="122"/>
    </row>
    <row r="882" spans="2:6" x14ac:dyDescent="0.35">
      <c r="B882" s="122"/>
      <c r="C882" s="122"/>
      <c r="D882" s="122"/>
      <c r="E882" s="122"/>
      <c r="F882" s="122"/>
    </row>
    <row r="883" spans="2:6" x14ac:dyDescent="0.35">
      <c r="B883" s="122"/>
      <c r="C883" s="122"/>
      <c r="D883" s="122"/>
      <c r="E883" s="122"/>
      <c r="F883" s="122"/>
    </row>
    <row r="884" spans="2:6" x14ac:dyDescent="0.35">
      <c r="B884" s="122"/>
      <c r="C884" s="122"/>
      <c r="D884" s="122"/>
      <c r="E884" s="122"/>
      <c r="F884" s="122"/>
    </row>
    <row r="885" spans="2:6" x14ac:dyDescent="0.35">
      <c r="B885" s="122"/>
      <c r="C885" s="122"/>
      <c r="D885" s="122"/>
      <c r="E885" s="122"/>
      <c r="F885" s="122"/>
    </row>
    <row r="886" spans="2:6" x14ac:dyDescent="0.35">
      <c r="B886" s="122"/>
      <c r="C886" s="122"/>
      <c r="D886" s="122"/>
      <c r="E886" s="122"/>
      <c r="F886" s="122"/>
    </row>
    <row r="887" spans="2:6" x14ac:dyDescent="0.35">
      <c r="B887" s="122"/>
      <c r="C887" s="122"/>
      <c r="D887" s="122"/>
      <c r="E887" s="122"/>
      <c r="F887" s="122"/>
    </row>
    <row r="888" spans="2:6" x14ac:dyDescent="0.35">
      <c r="B888" s="122"/>
      <c r="C888" s="122"/>
      <c r="D888" s="122"/>
      <c r="E888" s="122"/>
      <c r="F888" s="122"/>
    </row>
    <row r="889" spans="2:6" x14ac:dyDescent="0.35">
      <c r="B889" s="122"/>
      <c r="C889" s="122"/>
      <c r="D889" s="122"/>
      <c r="E889" s="122"/>
      <c r="F889" s="122"/>
    </row>
    <row r="890" spans="2:6" x14ac:dyDescent="0.35">
      <c r="B890" s="122"/>
      <c r="C890" s="122"/>
      <c r="D890" s="122"/>
      <c r="E890" s="122"/>
      <c r="F890" s="122"/>
    </row>
    <row r="891" spans="2:6" x14ac:dyDescent="0.35">
      <c r="B891" s="122"/>
      <c r="C891" s="122"/>
      <c r="D891" s="122"/>
      <c r="E891" s="122"/>
      <c r="F891" s="122"/>
    </row>
    <row r="892" spans="2:6" x14ac:dyDescent="0.35">
      <c r="B892" s="122"/>
      <c r="C892" s="122"/>
      <c r="D892" s="122"/>
      <c r="E892" s="122"/>
      <c r="F892" s="122"/>
    </row>
    <row r="893" spans="2:6" x14ac:dyDescent="0.35">
      <c r="B893" s="122"/>
      <c r="C893" s="122"/>
      <c r="D893" s="122"/>
      <c r="E893" s="122"/>
      <c r="F893" s="122"/>
    </row>
    <row r="894" spans="2:6" x14ac:dyDescent="0.35">
      <c r="B894" s="122"/>
      <c r="C894" s="122"/>
      <c r="D894" s="122"/>
      <c r="E894" s="122"/>
      <c r="F894" s="122"/>
    </row>
    <row r="895" spans="2:6" x14ac:dyDescent="0.35">
      <c r="B895" s="122"/>
      <c r="C895" s="122"/>
      <c r="D895" s="122"/>
      <c r="E895" s="122"/>
      <c r="F895" s="122"/>
    </row>
    <row r="896" spans="2:6" x14ac:dyDescent="0.35">
      <c r="B896" s="122"/>
      <c r="C896" s="122"/>
      <c r="D896" s="122"/>
      <c r="E896" s="122"/>
      <c r="F896" s="122"/>
    </row>
    <row r="897" spans="2:6" x14ac:dyDescent="0.35">
      <c r="B897" s="122"/>
      <c r="C897" s="122"/>
      <c r="D897" s="122"/>
      <c r="E897" s="122"/>
      <c r="F897" s="122"/>
    </row>
    <row r="898" spans="2:6" x14ac:dyDescent="0.35">
      <c r="B898" s="122"/>
      <c r="C898" s="122"/>
      <c r="D898" s="122"/>
      <c r="E898" s="122"/>
      <c r="F898" s="122"/>
    </row>
    <row r="899" spans="2:6" x14ac:dyDescent="0.35">
      <c r="B899" s="122"/>
      <c r="C899" s="122"/>
      <c r="D899" s="122"/>
      <c r="E899" s="122"/>
      <c r="F899" s="122"/>
    </row>
    <row r="900" spans="2:6" x14ac:dyDescent="0.35">
      <c r="B900" s="122"/>
      <c r="C900" s="122"/>
      <c r="D900" s="122"/>
      <c r="E900" s="122"/>
      <c r="F900" s="122"/>
    </row>
    <row r="901" spans="2:6" x14ac:dyDescent="0.35">
      <c r="B901" s="122"/>
      <c r="C901" s="122"/>
      <c r="D901" s="122"/>
      <c r="E901" s="122"/>
      <c r="F901" s="122"/>
    </row>
    <row r="902" spans="2:6" x14ac:dyDescent="0.35">
      <c r="B902" s="122"/>
      <c r="C902" s="122"/>
      <c r="D902" s="122"/>
      <c r="E902" s="122"/>
      <c r="F902" s="122"/>
    </row>
    <row r="903" spans="2:6" x14ac:dyDescent="0.35">
      <c r="B903" s="122"/>
      <c r="C903" s="122"/>
      <c r="D903" s="122"/>
      <c r="E903" s="122"/>
      <c r="F903" s="122"/>
    </row>
    <row r="904" spans="2:6" x14ac:dyDescent="0.35">
      <c r="B904" s="122"/>
      <c r="C904" s="122"/>
      <c r="D904" s="122"/>
      <c r="E904" s="122"/>
      <c r="F904" s="122"/>
    </row>
    <row r="905" spans="2:6" x14ac:dyDescent="0.35">
      <c r="B905" s="122"/>
      <c r="C905" s="122"/>
      <c r="D905" s="122"/>
      <c r="E905" s="122"/>
      <c r="F905" s="122"/>
    </row>
    <row r="906" spans="2:6" x14ac:dyDescent="0.35">
      <c r="B906" s="122"/>
      <c r="C906" s="122"/>
      <c r="D906" s="122"/>
      <c r="E906" s="122"/>
      <c r="F906" s="122"/>
    </row>
    <row r="907" spans="2:6" x14ac:dyDescent="0.35">
      <c r="B907" s="122"/>
      <c r="C907" s="122"/>
      <c r="D907" s="122"/>
      <c r="E907" s="122"/>
      <c r="F907" s="122"/>
    </row>
    <row r="908" spans="2:6" x14ac:dyDescent="0.35">
      <c r="B908" s="122"/>
      <c r="C908" s="122"/>
      <c r="D908" s="122"/>
      <c r="E908" s="122"/>
      <c r="F908" s="122"/>
    </row>
    <row r="909" spans="2:6" x14ac:dyDescent="0.35">
      <c r="B909" s="122"/>
      <c r="C909" s="122"/>
      <c r="D909" s="122"/>
      <c r="E909" s="122"/>
      <c r="F909" s="122"/>
    </row>
    <row r="910" spans="2:6" x14ac:dyDescent="0.35">
      <c r="B910" s="122"/>
      <c r="C910" s="122"/>
      <c r="D910" s="122"/>
      <c r="E910" s="122"/>
      <c r="F910" s="122"/>
    </row>
    <row r="911" spans="2:6" x14ac:dyDescent="0.35">
      <c r="B911" s="122"/>
      <c r="C911" s="122"/>
      <c r="D911" s="122"/>
      <c r="E911" s="122"/>
      <c r="F911" s="122"/>
    </row>
    <row r="912" spans="2:6" x14ac:dyDescent="0.35">
      <c r="B912" s="122"/>
      <c r="C912" s="122"/>
      <c r="D912" s="122"/>
      <c r="E912" s="122"/>
      <c r="F912" s="122"/>
    </row>
    <row r="913" spans="2:6" x14ac:dyDescent="0.35">
      <c r="B913" s="122"/>
      <c r="C913" s="122"/>
      <c r="D913" s="122"/>
      <c r="E913" s="122"/>
      <c r="F913" s="122"/>
    </row>
    <row r="914" spans="2:6" x14ac:dyDescent="0.35">
      <c r="B914" s="122"/>
      <c r="C914" s="122"/>
      <c r="D914" s="122"/>
      <c r="E914" s="122"/>
      <c r="F914" s="122"/>
    </row>
    <row r="915" spans="2:6" x14ac:dyDescent="0.35">
      <c r="B915" s="122"/>
      <c r="C915" s="122"/>
      <c r="D915" s="122"/>
      <c r="E915" s="122"/>
      <c r="F915" s="122"/>
    </row>
    <row r="916" spans="2:6" x14ac:dyDescent="0.35">
      <c r="B916" s="122"/>
      <c r="C916" s="122"/>
      <c r="D916" s="122"/>
      <c r="E916" s="122"/>
      <c r="F916" s="122"/>
    </row>
    <row r="917" spans="2:6" x14ac:dyDescent="0.35">
      <c r="B917" s="122"/>
      <c r="C917" s="122"/>
      <c r="D917" s="122"/>
      <c r="E917" s="122"/>
      <c r="F917" s="122"/>
    </row>
    <row r="918" spans="2:6" x14ac:dyDescent="0.35">
      <c r="B918" s="122"/>
      <c r="C918" s="122"/>
      <c r="D918" s="122"/>
      <c r="E918" s="122"/>
      <c r="F918" s="122"/>
    </row>
    <row r="919" spans="2:6" x14ac:dyDescent="0.35">
      <c r="B919" s="122"/>
      <c r="C919" s="122"/>
      <c r="D919" s="122"/>
      <c r="E919" s="122"/>
      <c r="F919" s="122"/>
    </row>
    <row r="920" spans="2:6" x14ac:dyDescent="0.35">
      <c r="B920" s="122"/>
      <c r="C920" s="122"/>
      <c r="D920" s="122"/>
      <c r="E920" s="122"/>
      <c r="F920" s="122"/>
    </row>
    <row r="921" spans="2:6" x14ac:dyDescent="0.35">
      <c r="B921" s="122"/>
      <c r="C921" s="122"/>
      <c r="D921" s="122"/>
      <c r="E921" s="122"/>
      <c r="F921" s="122"/>
    </row>
    <row r="922" spans="2:6" x14ac:dyDescent="0.35">
      <c r="B922" s="122"/>
      <c r="C922" s="122"/>
      <c r="D922" s="122"/>
      <c r="E922" s="122"/>
      <c r="F922" s="122"/>
    </row>
    <row r="923" spans="2:6" x14ac:dyDescent="0.35">
      <c r="B923" s="122"/>
      <c r="C923" s="122"/>
      <c r="D923" s="122"/>
      <c r="E923" s="122"/>
      <c r="F923" s="122"/>
    </row>
    <row r="924" spans="2:6" x14ac:dyDescent="0.35">
      <c r="B924" s="122"/>
      <c r="C924" s="122"/>
      <c r="D924" s="122"/>
      <c r="E924" s="122"/>
      <c r="F924" s="122"/>
    </row>
    <row r="925" spans="2:6" x14ac:dyDescent="0.35">
      <c r="B925" s="122"/>
      <c r="C925" s="122"/>
      <c r="D925" s="122"/>
      <c r="E925" s="122"/>
      <c r="F925" s="122"/>
    </row>
    <row r="926" spans="2:6" x14ac:dyDescent="0.35">
      <c r="B926" s="122"/>
      <c r="C926" s="122"/>
      <c r="D926" s="122"/>
      <c r="E926" s="122"/>
      <c r="F926" s="122"/>
    </row>
    <row r="927" spans="2:6" x14ac:dyDescent="0.35">
      <c r="B927" s="122"/>
      <c r="C927" s="122"/>
      <c r="D927" s="122"/>
      <c r="E927" s="122"/>
      <c r="F927" s="122"/>
    </row>
    <row r="928" spans="2:6" x14ac:dyDescent="0.35">
      <c r="B928" s="122"/>
      <c r="C928" s="122"/>
      <c r="D928" s="122"/>
      <c r="E928" s="122"/>
      <c r="F928" s="122"/>
    </row>
    <row r="929" spans="2:6" x14ac:dyDescent="0.35">
      <c r="B929" s="122"/>
      <c r="C929" s="122"/>
      <c r="D929" s="122"/>
      <c r="E929" s="122"/>
      <c r="F929" s="122"/>
    </row>
    <row r="930" spans="2:6" x14ac:dyDescent="0.35">
      <c r="B930" s="122"/>
      <c r="C930" s="122"/>
      <c r="D930" s="122"/>
      <c r="E930" s="122"/>
      <c r="F930" s="122"/>
    </row>
    <row r="931" spans="2:6" x14ac:dyDescent="0.35">
      <c r="B931" s="122"/>
      <c r="C931" s="122"/>
      <c r="D931" s="122"/>
      <c r="E931" s="122"/>
      <c r="F931" s="122"/>
    </row>
    <row r="932" spans="2:6" x14ac:dyDescent="0.35">
      <c r="B932" s="122"/>
      <c r="C932" s="122"/>
      <c r="D932" s="122"/>
      <c r="E932" s="122"/>
      <c r="F932" s="122"/>
    </row>
    <row r="933" spans="2:6" x14ac:dyDescent="0.35">
      <c r="B933" s="122"/>
      <c r="C933" s="122"/>
      <c r="D933" s="122"/>
      <c r="E933" s="122"/>
      <c r="F933" s="122"/>
    </row>
    <row r="934" spans="2:6" x14ac:dyDescent="0.35">
      <c r="B934" s="122"/>
      <c r="C934" s="122"/>
      <c r="D934" s="122"/>
      <c r="E934" s="122"/>
      <c r="F934" s="122"/>
    </row>
    <row r="935" spans="2:6" x14ac:dyDescent="0.35">
      <c r="B935" s="122"/>
      <c r="C935" s="122"/>
      <c r="D935" s="122"/>
      <c r="E935" s="122"/>
      <c r="F935" s="122"/>
    </row>
    <row r="936" spans="2:6" x14ac:dyDescent="0.35">
      <c r="B936" s="122"/>
      <c r="C936" s="122"/>
      <c r="D936" s="122"/>
      <c r="E936" s="122"/>
      <c r="F936" s="122"/>
    </row>
    <row r="937" spans="2:6" x14ac:dyDescent="0.35">
      <c r="B937" s="122"/>
      <c r="C937" s="122"/>
      <c r="D937" s="122"/>
      <c r="E937" s="122"/>
      <c r="F937" s="122"/>
    </row>
    <row r="938" spans="2:6" x14ac:dyDescent="0.35">
      <c r="B938" s="122"/>
      <c r="C938" s="122"/>
      <c r="D938" s="122"/>
      <c r="E938" s="122"/>
      <c r="F938" s="122"/>
    </row>
    <row r="939" spans="2:6" x14ac:dyDescent="0.35">
      <c r="B939" s="122"/>
      <c r="C939" s="122"/>
      <c r="D939" s="122"/>
      <c r="E939" s="122"/>
      <c r="F939" s="122"/>
    </row>
    <row r="940" spans="2:6" x14ac:dyDescent="0.35">
      <c r="B940" s="122"/>
      <c r="C940" s="122"/>
      <c r="D940" s="122"/>
      <c r="E940" s="122"/>
      <c r="F940" s="122"/>
    </row>
    <row r="941" spans="2:6" x14ac:dyDescent="0.35">
      <c r="B941" s="122"/>
      <c r="C941" s="122"/>
      <c r="D941" s="122"/>
      <c r="E941" s="122"/>
      <c r="F941" s="122"/>
    </row>
    <row r="942" spans="2:6" x14ac:dyDescent="0.35">
      <c r="B942" s="122"/>
      <c r="C942" s="122"/>
      <c r="D942" s="122"/>
      <c r="E942" s="122"/>
      <c r="F942" s="122"/>
    </row>
    <row r="943" spans="2:6" x14ac:dyDescent="0.35">
      <c r="B943" s="122"/>
      <c r="C943" s="122"/>
      <c r="D943" s="122"/>
      <c r="E943" s="122"/>
      <c r="F943" s="122"/>
    </row>
    <row r="944" spans="2:6" x14ac:dyDescent="0.35">
      <c r="B944" s="122"/>
      <c r="C944" s="122"/>
      <c r="D944" s="122"/>
      <c r="E944" s="122"/>
      <c r="F944" s="122"/>
    </row>
    <row r="945" spans="2:6" x14ac:dyDescent="0.35">
      <c r="B945" s="122"/>
      <c r="C945" s="122"/>
      <c r="D945" s="122"/>
      <c r="E945" s="122"/>
      <c r="F945" s="122"/>
    </row>
    <row r="946" spans="2:6" x14ac:dyDescent="0.35">
      <c r="B946" s="122"/>
      <c r="C946" s="122"/>
      <c r="D946" s="122"/>
      <c r="E946" s="122"/>
      <c r="F946" s="122"/>
    </row>
    <row r="947" spans="2:6" x14ac:dyDescent="0.35">
      <c r="B947" s="122"/>
      <c r="C947" s="122"/>
      <c r="D947" s="122"/>
      <c r="E947" s="122"/>
      <c r="F947" s="122"/>
    </row>
    <row r="948" spans="2:6" x14ac:dyDescent="0.35">
      <c r="B948" s="122"/>
      <c r="C948" s="122"/>
      <c r="D948" s="122"/>
      <c r="E948" s="122"/>
      <c r="F948" s="122"/>
    </row>
    <row r="949" spans="2:6" x14ac:dyDescent="0.35">
      <c r="B949" s="122"/>
      <c r="C949" s="122"/>
      <c r="D949" s="122"/>
      <c r="E949" s="122"/>
      <c r="F949" s="122"/>
    </row>
    <row r="950" spans="2:6" x14ac:dyDescent="0.35">
      <c r="B950" s="122"/>
      <c r="C950" s="122"/>
      <c r="D950" s="122"/>
      <c r="E950" s="122"/>
      <c r="F950" s="122"/>
    </row>
    <row r="951" spans="2:6" x14ac:dyDescent="0.35">
      <c r="B951" s="122"/>
      <c r="C951" s="122"/>
      <c r="D951" s="122"/>
      <c r="E951" s="122"/>
      <c r="F951" s="122"/>
    </row>
    <row r="952" spans="2:6" x14ac:dyDescent="0.35">
      <c r="B952" s="122"/>
      <c r="C952" s="122"/>
      <c r="D952" s="122"/>
      <c r="E952" s="122"/>
      <c r="F952" s="122"/>
    </row>
    <row r="953" spans="2:6" x14ac:dyDescent="0.35">
      <c r="B953" s="122"/>
      <c r="C953" s="122"/>
      <c r="D953" s="122"/>
      <c r="E953" s="122"/>
      <c r="F953" s="122"/>
    </row>
    <row r="954" spans="2:6" x14ac:dyDescent="0.35">
      <c r="B954" s="122"/>
      <c r="C954" s="122"/>
      <c r="D954" s="122"/>
      <c r="E954" s="122"/>
      <c r="F954" s="122"/>
    </row>
    <row r="955" spans="2:6" x14ac:dyDescent="0.35">
      <c r="B955" s="122"/>
      <c r="C955" s="122"/>
      <c r="D955" s="122"/>
      <c r="E955" s="122"/>
      <c r="F955" s="122"/>
    </row>
    <row r="956" spans="2:6" x14ac:dyDescent="0.35">
      <c r="B956" s="122"/>
      <c r="C956" s="122"/>
      <c r="D956" s="122"/>
      <c r="E956" s="122"/>
      <c r="F956" s="122"/>
    </row>
    <row r="957" spans="2:6" x14ac:dyDescent="0.35">
      <c r="B957" s="122"/>
      <c r="C957" s="122"/>
      <c r="D957" s="122"/>
      <c r="E957" s="122"/>
      <c r="F957" s="122"/>
    </row>
    <row r="958" spans="2:6" x14ac:dyDescent="0.35">
      <c r="B958" s="122"/>
      <c r="C958" s="122"/>
      <c r="D958" s="122"/>
      <c r="E958" s="122"/>
      <c r="F958" s="122"/>
    </row>
    <row r="959" spans="2:6" x14ac:dyDescent="0.35">
      <c r="B959" s="122"/>
      <c r="C959" s="122"/>
      <c r="D959" s="122"/>
      <c r="E959" s="122"/>
      <c r="F959" s="122"/>
    </row>
    <row r="960" spans="2:6" x14ac:dyDescent="0.35">
      <c r="B960" s="122"/>
      <c r="C960" s="122"/>
      <c r="D960" s="122"/>
      <c r="E960" s="122"/>
      <c r="F960" s="122"/>
    </row>
    <row r="961" spans="2:6" x14ac:dyDescent="0.35">
      <c r="B961" s="122"/>
      <c r="C961" s="122"/>
      <c r="D961" s="122"/>
      <c r="E961" s="122"/>
      <c r="F961" s="122"/>
    </row>
    <row r="962" spans="2:6" x14ac:dyDescent="0.35">
      <c r="B962" s="122"/>
      <c r="C962" s="122"/>
      <c r="D962" s="122"/>
      <c r="E962" s="122"/>
      <c r="F962" s="122"/>
    </row>
    <row r="963" spans="2:6" x14ac:dyDescent="0.35">
      <c r="B963" s="122"/>
      <c r="C963" s="122"/>
      <c r="D963" s="122"/>
      <c r="E963" s="122"/>
      <c r="F963" s="122"/>
    </row>
    <row r="964" spans="2:6" x14ac:dyDescent="0.35">
      <c r="B964" s="122"/>
      <c r="C964" s="122"/>
      <c r="D964" s="122"/>
      <c r="E964" s="122"/>
      <c r="F964" s="122"/>
    </row>
    <row r="965" spans="2:6" x14ac:dyDescent="0.35">
      <c r="B965" s="122"/>
      <c r="C965" s="122"/>
      <c r="D965" s="122"/>
      <c r="E965" s="122"/>
      <c r="F965" s="122"/>
    </row>
    <row r="966" spans="2:6" x14ac:dyDescent="0.35">
      <c r="B966" s="122"/>
      <c r="C966" s="122"/>
      <c r="D966" s="122"/>
      <c r="E966" s="122"/>
      <c r="F966" s="122"/>
    </row>
    <row r="967" spans="2:6" x14ac:dyDescent="0.35">
      <c r="B967" s="122"/>
      <c r="C967" s="122"/>
      <c r="D967" s="122"/>
      <c r="E967" s="122"/>
      <c r="F967" s="122"/>
    </row>
    <row r="968" spans="2:6" x14ac:dyDescent="0.35">
      <c r="B968" s="122"/>
      <c r="C968" s="122"/>
      <c r="D968" s="122"/>
      <c r="E968" s="122"/>
      <c r="F968" s="122"/>
    </row>
    <row r="969" spans="2:6" x14ac:dyDescent="0.35">
      <c r="B969" s="122"/>
      <c r="C969" s="122"/>
      <c r="D969" s="122"/>
      <c r="E969" s="122"/>
      <c r="F969" s="122"/>
    </row>
    <row r="970" spans="2:6" x14ac:dyDescent="0.35">
      <c r="B970" s="122"/>
      <c r="C970" s="122"/>
      <c r="D970" s="122"/>
      <c r="E970" s="122"/>
      <c r="F970" s="122"/>
    </row>
    <row r="971" spans="2:6" x14ac:dyDescent="0.35">
      <c r="B971" s="122"/>
      <c r="C971" s="122"/>
      <c r="D971" s="122"/>
      <c r="E971" s="122"/>
      <c r="F971" s="122"/>
    </row>
    <row r="972" spans="2:6" x14ac:dyDescent="0.35">
      <c r="B972" s="122"/>
      <c r="C972" s="122"/>
      <c r="D972" s="122"/>
      <c r="E972" s="122"/>
      <c r="F972" s="122"/>
    </row>
    <row r="973" spans="2:6" x14ac:dyDescent="0.35">
      <c r="B973" s="122"/>
      <c r="C973" s="122"/>
      <c r="D973" s="122"/>
      <c r="E973" s="122"/>
      <c r="F973" s="122"/>
    </row>
    <row r="974" spans="2:6" x14ac:dyDescent="0.35">
      <c r="B974" s="122"/>
      <c r="C974" s="122"/>
      <c r="D974" s="122"/>
      <c r="E974" s="122"/>
      <c r="F974" s="122"/>
    </row>
    <row r="975" spans="2:6" x14ac:dyDescent="0.35">
      <c r="B975" s="122"/>
      <c r="C975" s="122"/>
      <c r="D975" s="122"/>
      <c r="E975" s="122"/>
      <c r="F975" s="122"/>
    </row>
    <row r="976" spans="2:6" x14ac:dyDescent="0.35">
      <c r="B976" s="122"/>
      <c r="C976" s="122"/>
      <c r="D976" s="122"/>
      <c r="E976" s="122"/>
      <c r="F976" s="122"/>
    </row>
    <row r="977" spans="2:6" x14ac:dyDescent="0.35">
      <c r="B977" s="122"/>
      <c r="C977" s="122"/>
      <c r="D977" s="122"/>
      <c r="E977" s="122"/>
      <c r="F977" s="122"/>
    </row>
    <row r="978" spans="2:6" x14ac:dyDescent="0.35">
      <c r="B978" s="122"/>
      <c r="C978" s="122"/>
      <c r="D978" s="122"/>
      <c r="E978" s="122"/>
      <c r="F978" s="122"/>
    </row>
    <row r="979" spans="2:6" x14ac:dyDescent="0.35">
      <c r="B979" s="122"/>
      <c r="C979" s="122"/>
      <c r="D979" s="122"/>
      <c r="E979" s="122"/>
      <c r="F979" s="122"/>
    </row>
    <row r="980" spans="2:6" x14ac:dyDescent="0.35">
      <c r="B980" s="122"/>
      <c r="C980" s="122"/>
      <c r="D980" s="122"/>
      <c r="E980" s="122"/>
      <c r="F980" s="122"/>
    </row>
    <row r="981" spans="2:6" x14ac:dyDescent="0.35">
      <c r="B981" s="122"/>
      <c r="C981" s="122"/>
      <c r="D981" s="122"/>
      <c r="E981" s="122"/>
      <c r="F981" s="122"/>
    </row>
    <row r="982" spans="2:6" x14ac:dyDescent="0.35">
      <c r="B982" s="122"/>
      <c r="C982" s="122"/>
      <c r="D982" s="122"/>
      <c r="E982" s="122"/>
      <c r="F982" s="122"/>
    </row>
    <row r="983" spans="2:6" x14ac:dyDescent="0.35">
      <c r="B983" s="122"/>
      <c r="C983" s="122"/>
      <c r="D983" s="122"/>
      <c r="E983" s="122"/>
      <c r="F983" s="122"/>
    </row>
    <row r="984" spans="2:6" x14ac:dyDescent="0.35">
      <c r="B984" s="122"/>
      <c r="C984" s="122"/>
      <c r="D984" s="122"/>
      <c r="E984" s="122"/>
      <c r="F984" s="122"/>
    </row>
    <row r="985" spans="2:6" x14ac:dyDescent="0.35">
      <c r="B985" s="122"/>
      <c r="C985" s="122"/>
      <c r="D985" s="122"/>
      <c r="E985" s="122"/>
      <c r="F985" s="122"/>
    </row>
    <row r="986" spans="2:6" x14ac:dyDescent="0.35">
      <c r="B986" s="122"/>
      <c r="C986" s="122"/>
      <c r="D986" s="122"/>
      <c r="E986" s="122"/>
      <c r="F986" s="122"/>
    </row>
    <row r="987" spans="2:6" x14ac:dyDescent="0.35">
      <c r="B987" s="122"/>
      <c r="C987" s="122"/>
      <c r="D987" s="122"/>
      <c r="E987" s="122"/>
      <c r="F987" s="122"/>
    </row>
    <row r="988" spans="2:6" x14ac:dyDescent="0.35">
      <c r="B988" s="122"/>
      <c r="C988" s="122"/>
      <c r="D988" s="122"/>
      <c r="E988" s="122"/>
      <c r="F988" s="122"/>
    </row>
    <row r="989" spans="2:6" x14ac:dyDescent="0.35">
      <c r="B989" s="122"/>
      <c r="C989" s="122"/>
      <c r="D989" s="122"/>
      <c r="E989" s="122"/>
      <c r="F989" s="122"/>
    </row>
    <row r="990" spans="2:6" x14ac:dyDescent="0.35">
      <c r="B990" s="122"/>
      <c r="C990" s="122"/>
      <c r="D990" s="122"/>
      <c r="E990" s="122"/>
      <c r="F990" s="122"/>
    </row>
    <row r="991" spans="2:6" x14ac:dyDescent="0.35">
      <c r="B991" s="122"/>
      <c r="C991" s="122"/>
      <c r="D991" s="122"/>
      <c r="E991" s="122"/>
      <c r="F991" s="122"/>
    </row>
    <row r="992" spans="2:6" x14ac:dyDescent="0.35">
      <c r="B992" s="122"/>
      <c r="C992" s="122"/>
      <c r="D992" s="122"/>
      <c r="E992" s="122"/>
      <c r="F992" s="122"/>
    </row>
    <row r="993" spans="2:6" x14ac:dyDescent="0.35">
      <c r="B993" s="122"/>
      <c r="C993" s="122"/>
      <c r="D993" s="122"/>
      <c r="E993" s="122"/>
      <c r="F993" s="122"/>
    </row>
    <row r="994" spans="2:6" x14ac:dyDescent="0.35">
      <c r="B994" s="122"/>
      <c r="C994" s="122"/>
      <c r="D994" s="122"/>
      <c r="E994" s="122"/>
      <c r="F994" s="122"/>
    </row>
    <row r="995" spans="2:6" x14ac:dyDescent="0.35">
      <c r="B995" s="122"/>
      <c r="C995" s="122"/>
      <c r="D995" s="122"/>
      <c r="E995" s="122"/>
      <c r="F995" s="122"/>
    </row>
  </sheetData>
  <mergeCells count="33">
    <mergeCell ref="B1:E1"/>
    <mergeCell ref="B3:E3"/>
    <mergeCell ref="B12:E12"/>
    <mergeCell ref="B13:E13"/>
    <mergeCell ref="B14:E14"/>
    <mergeCell ref="B42:E42"/>
    <mergeCell ref="B16:E16"/>
    <mergeCell ref="B11:E11"/>
    <mergeCell ref="B18:E18"/>
    <mergeCell ref="B27:E27"/>
    <mergeCell ref="B28:E28"/>
    <mergeCell ref="B15:E15"/>
    <mergeCell ref="B68:E68"/>
    <mergeCell ref="B58:F58"/>
    <mergeCell ref="B45:F45"/>
    <mergeCell ref="B32:F32"/>
    <mergeCell ref="B19:F19"/>
    <mergeCell ref="B53:F53"/>
    <mergeCell ref="B54:F54"/>
    <mergeCell ref="B55:F55"/>
    <mergeCell ref="B44:E44"/>
    <mergeCell ref="B57:E57"/>
    <mergeCell ref="B66:E66"/>
    <mergeCell ref="B67:E67"/>
    <mergeCell ref="B29:E29"/>
    <mergeCell ref="B31:E31"/>
    <mergeCell ref="B40:E40"/>
    <mergeCell ref="B41:E41"/>
    <mergeCell ref="B89:B91"/>
    <mergeCell ref="B101:B103"/>
    <mergeCell ref="B95:B97"/>
    <mergeCell ref="B92:B94"/>
    <mergeCell ref="B98:B100"/>
  </mergeCells>
  <phoneticPr fontId="2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M38"/>
  <sheetViews>
    <sheetView showGridLines="0" workbookViewId="0"/>
  </sheetViews>
  <sheetFormatPr defaultRowHeight="17" x14ac:dyDescent="0.35"/>
  <cols>
    <col min="1" max="1" width="4.6328125" style="5" customWidth="1"/>
    <col min="2" max="2" width="8.08984375" style="5" bestFit="1" customWidth="1"/>
    <col min="3" max="3" width="35.6328125" style="5" customWidth="1"/>
    <col min="4" max="4" width="72.1796875" style="91" customWidth="1"/>
    <col min="5" max="5" width="10.6328125" style="5" customWidth="1"/>
    <col min="6" max="10" width="8.7265625" style="5"/>
    <col min="11" max="12" width="16.6328125" style="5" customWidth="1"/>
    <col min="13" max="16384" width="8.7265625" style="5"/>
  </cols>
  <sheetData>
    <row r="1" spans="2:13" x14ac:dyDescent="0.35">
      <c r="B1" s="3"/>
      <c r="C1" s="3"/>
      <c r="D1" s="89" t="s">
        <v>189</v>
      </c>
      <c r="E1" s="3"/>
      <c r="F1" s="3"/>
      <c r="G1" s="3"/>
      <c r="H1" s="3"/>
      <c r="I1" s="3"/>
      <c r="J1" s="3"/>
      <c r="K1" s="3"/>
      <c r="L1" s="4" t="s">
        <v>190</v>
      </c>
      <c r="M1" s="4"/>
    </row>
    <row r="2" spans="2:13" x14ac:dyDescent="0.35">
      <c r="B2" s="3"/>
      <c r="C2" s="3"/>
      <c r="D2" s="89" t="s">
        <v>1087</v>
      </c>
      <c r="E2" s="3"/>
      <c r="F2" s="3"/>
      <c r="G2" s="3"/>
      <c r="H2" s="3"/>
      <c r="I2" s="3"/>
      <c r="J2" s="3"/>
      <c r="K2" s="3"/>
      <c r="L2" s="4" t="s">
        <v>191</v>
      </c>
      <c r="M2" s="4"/>
    </row>
    <row r="3" spans="2:13" x14ac:dyDescent="0.35">
      <c r="B3" s="6" t="s">
        <v>192</v>
      </c>
      <c r="C3" s="7" t="s">
        <v>1086</v>
      </c>
      <c r="D3" s="63"/>
      <c r="E3" s="7"/>
      <c r="F3" s="3"/>
      <c r="G3" s="3"/>
      <c r="H3" s="3"/>
      <c r="I3" s="3"/>
      <c r="J3" s="3"/>
      <c r="K3" s="3"/>
      <c r="L3" s="4">
        <v>10</v>
      </c>
      <c r="M3" s="4" t="s">
        <v>193</v>
      </c>
    </row>
    <row r="4" spans="2:13" x14ac:dyDescent="0.35">
      <c r="B4" s="6" t="s">
        <v>194</v>
      </c>
      <c r="C4" s="6" t="s">
        <v>195</v>
      </c>
      <c r="D4" s="90" t="s">
        <v>196</v>
      </c>
      <c r="E4" s="6" t="s">
        <v>197</v>
      </c>
      <c r="F4" s="3"/>
      <c r="G4" s="3"/>
      <c r="H4" s="3"/>
      <c r="I4" s="3"/>
      <c r="J4" s="3"/>
      <c r="K4" s="3"/>
      <c r="L4" s="3"/>
      <c r="M4" s="3"/>
    </row>
    <row r="5" spans="2:13" x14ac:dyDescent="0.3">
      <c r="B5" s="30">
        <v>1</v>
      </c>
      <c r="C5" s="30" t="s">
        <v>198</v>
      </c>
      <c r="D5" s="62" t="s">
        <v>199</v>
      </c>
      <c r="E5" s="31"/>
      <c r="F5" s="32"/>
      <c r="G5" s="3"/>
      <c r="H5" s="3"/>
      <c r="I5" s="3"/>
      <c r="J5" s="3"/>
      <c r="K5" s="3"/>
      <c r="L5" s="3"/>
      <c r="M5" s="3"/>
    </row>
    <row r="6" spans="2:13" x14ac:dyDescent="0.3">
      <c r="B6" s="30">
        <v>2</v>
      </c>
      <c r="C6" s="30" t="s">
        <v>200</v>
      </c>
      <c r="D6" s="62" t="s">
        <v>201</v>
      </c>
      <c r="E6" s="31"/>
      <c r="F6" s="32"/>
      <c r="G6" s="3"/>
      <c r="H6" s="3"/>
      <c r="I6" s="3"/>
      <c r="J6" s="3"/>
      <c r="K6" s="3"/>
      <c r="L6" s="3"/>
      <c r="M6" s="3"/>
    </row>
    <row r="7" spans="2:13" x14ac:dyDescent="0.3">
      <c r="B7" s="30">
        <v>3</v>
      </c>
      <c r="C7" s="30" t="s">
        <v>522</v>
      </c>
      <c r="D7" s="62" t="s">
        <v>479</v>
      </c>
      <c r="E7" s="31"/>
      <c r="F7" s="32"/>
      <c r="G7" s="3"/>
      <c r="H7" s="3"/>
      <c r="I7" s="3"/>
      <c r="J7" s="3"/>
      <c r="K7" s="3"/>
      <c r="L7" s="3"/>
      <c r="M7" s="3"/>
    </row>
    <row r="8" spans="2:13" x14ac:dyDescent="0.3">
      <c r="B8" s="30">
        <v>4</v>
      </c>
      <c r="C8" s="30" t="s">
        <v>472</v>
      </c>
      <c r="D8" s="62" t="s">
        <v>477</v>
      </c>
      <c r="E8" s="31"/>
      <c r="F8" s="32"/>
      <c r="G8" s="3"/>
      <c r="H8" s="3"/>
      <c r="I8" s="3"/>
      <c r="J8" s="3"/>
      <c r="K8" s="3"/>
      <c r="L8" s="3"/>
      <c r="M8" s="3"/>
    </row>
    <row r="9" spans="2:13" x14ac:dyDescent="0.3">
      <c r="B9" s="30">
        <v>5</v>
      </c>
      <c r="C9" s="30" t="s">
        <v>142</v>
      </c>
      <c r="D9" s="62" t="s">
        <v>431</v>
      </c>
      <c r="E9" s="31"/>
      <c r="F9" s="32"/>
      <c r="G9" s="3"/>
      <c r="H9" s="3"/>
      <c r="I9" s="3"/>
      <c r="J9" s="3"/>
      <c r="K9" s="3"/>
      <c r="L9" s="3"/>
      <c r="M9" s="3"/>
    </row>
    <row r="10" spans="2:13" x14ac:dyDescent="0.3">
      <c r="B10" s="30">
        <v>6</v>
      </c>
      <c r="C10" s="30" t="s">
        <v>162</v>
      </c>
      <c r="D10" s="62" t="s">
        <v>432</v>
      </c>
      <c r="E10" s="31"/>
      <c r="F10" s="32"/>
      <c r="G10" s="3"/>
      <c r="H10" s="3"/>
      <c r="I10" s="3"/>
      <c r="J10" s="3"/>
      <c r="K10" s="3"/>
      <c r="L10" s="3"/>
      <c r="M10" s="3"/>
    </row>
    <row r="11" spans="2:13" x14ac:dyDescent="0.3">
      <c r="B11" s="30">
        <v>7</v>
      </c>
      <c r="C11" s="30" t="s">
        <v>250</v>
      </c>
      <c r="D11" s="62" t="s">
        <v>433</v>
      </c>
      <c r="E11" s="31"/>
      <c r="F11" s="32"/>
      <c r="G11" s="3"/>
      <c r="H11" s="3"/>
      <c r="I11" s="3"/>
      <c r="J11" s="3"/>
      <c r="K11" s="3"/>
      <c r="L11" s="3"/>
      <c r="M11" s="3"/>
    </row>
    <row r="12" spans="2:13" x14ac:dyDescent="0.3">
      <c r="B12" s="30">
        <v>8</v>
      </c>
      <c r="C12" s="30" t="s">
        <v>251</v>
      </c>
      <c r="D12" s="62" t="s">
        <v>434</v>
      </c>
      <c r="E12" s="31"/>
      <c r="F12" s="32"/>
      <c r="G12" s="3"/>
      <c r="H12" s="3"/>
      <c r="I12" s="3"/>
      <c r="J12" s="3"/>
      <c r="K12" s="3"/>
      <c r="L12" s="3"/>
      <c r="M12" s="3"/>
    </row>
    <row r="13" spans="2:13" x14ac:dyDescent="0.3">
      <c r="B13" s="30">
        <v>9</v>
      </c>
      <c r="C13" s="30" t="s">
        <v>252</v>
      </c>
      <c r="D13" s="62" t="s">
        <v>435</v>
      </c>
      <c r="E13" s="31"/>
      <c r="F13" s="32"/>
      <c r="G13" s="3"/>
      <c r="H13" s="3"/>
      <c r="I13" s="3"/>
      <c r="J13" s="3"/>
      <c r="K13" s="3"/>
      <c r="L13" s="3"/>
      <c r="M13" s="3"/>
    </row>
    <row r="14" spans="2:13" x14ac:dyDescent="0.3">
      <c r="B14" s="30">
        <v>10</v>
      </c>
      <c r="C14" s="30" t="s">
        <v>253</v>
      </c>
      <c r="D14" s="62" t="s">
        <v>436</v>
      </c>
      <c r="E14" s="31"/>
      <c r="F14" s="32"/>
      <c r="G14" s="3"/>
      <c r="H14" s="3"/>
      <c r="I14" s="3"/>
      <c r="J14" s="3"/>
      <c r="K14" s="3"/>
      <c r="L14" s="3"/>
      <c r="M14" s="3"/>
    </row>
    <row r="15" spans="2:13" x14ac:dyDescent="0.3">
      <c r="B15" s="30">
        <v>11</v>
      </c>
      <c r="C15" s="30" t="s">
        <v>254</v>
      </c>
      <c r="D15" s="62" t="s">
        <v>437</v>
      </c>
      <c r="E15" s="31"/>
      <c r="F15" s="32"/>
      <c r="G15" s="3"/>
      <c r="H15" s="3"/>
      <c r="I15" s="3"/>
      <c r="J15" s="3"/>
      <c r="K15" s="3"/>
      <c r="L15" s="3"/>
      <c r="M15" s="3"/>
    </row>
    <row r="16" spans="2:13" x14ac:dyDescent="0.3">
      <c r="B16" s="30">
        <v>12</v>
      </c>
      <c r="C16" s="30" t="s">
        <v>255</v>
      </c>
      <c r="D16" s="62" t="s">
        <v>438</v>
      </c>
      <c r="E16" s="31"/>
      <c r="F16" s="32"/>
      <c r="G16" s="3"/>
      <c r="H16" s="3"/>
      <c r="I16" s="3"/>
      <c r="J16" s="3"/>
      <c r="K16" s="3"/>
      <c r="L16" s="3"/>
      <c r="M16" s="3"/>
    </row>
    <row r="17" spans="2:13" x14ac:dyDescent="0.3">
      <c r="B17" s="30">
        <v>13</v>
      </c>
      <c r="C17" s="30" t="s">
        <v>256</v>
      </c>
      <c r="D17" s="62" t="s">
        <v>439</v>
      </c>
      <c r="E17" s="31"/>
      <c r="F17" s="32"/>
      <c r="G17" s="3"/>
      <c r="H17" s="3"/>
      <c r="I17" s="3"/>
      <c r="J17" s="3"/>
      <c r="K17" s="3"/>
      <c r="L17" s="3"/>
      <c r="M17" s="3"/>
    </row>
    <row r="18" spans="2:13" x14ac:dyDescent="0.3">
      <c r="B18" s="30">
        <v>14</v>
      </c>
      <c r="C18" s="30" t="s">
        <v>257</v>
      </c>
      <c r="D18" s="62" t="s">
        <v>440</v>
      </c>
      <c r="E18" s="31"/>
      <c r="F18" s="32"/>
      <c r="G18" s="3"/>
      <c r="H18" s="3"/>
      <c r="I18" s="3"/>
      <c r="J18" s="3"/>
      <c r="K18" s="3"/>
      <c r="L18" s="3"/>
      <c r="M18" s="3"/>
    </row>
    <row r="19" spans="2:13" x14ac:dyDescent="0.3">
      <c r="B19" s="30">
        <v>15</v>
      </c>
      <c r="C19" s="30" t="s">
        <v>258</v>
      </c>
      <c r="D19" s="62" t="s">
        <v>441</v>
      </c>
      <c r="E19" s="31"/>
      <c r="F19" s="32"/>
      <c r="G19" s="3"/>
      <c r="H19" s="3"/>
      <c r="I19" s="3"/>
      <c r="J19" s="3"/>
      <c r="K19" s="3"/>
      <c r="L19" s="3"/>
      <c r="M19" s="3"/>
    </row>
    <row r="20" spans="2:13" x14ac:dyDescent="0.3">
      <c r="B20" s="30">
        <v>16</v>
      </c>
      <c r="C20" s="30" t="s">
        <v>259</v>
      </c>
      <c r="D20" s="62" t="s">
        <v>442</v>
      </c>
      <c r="E20" s="31"/>
      <c r="F20" s="32"/>
      <c r="G20" s="3"/>
      <c r="H20" s="3"/>
      <c r="I20" s="3"/>
      <c r="J20" s="3"/>
      <c r="K20" s="3"/>
      <c r="L20" s="3"/>
      <c r="M20" s="3"/>
    </row>
    <row r="21" spans="2:13" x14ac:dyDescent="0.3">
      <c r="B21" s="30">
        <v>17</v>
      </c>
      <c r="C21" s="30" t="s">
        <v>260</v>
      </c>
      <c r="D21" s="62" t="s">
        <v>443</v>
      </c>
      <c r="E21" s="31"/>
      <c r="F21" s="32"/>
      <c r="G21" s="3"/>
      <c r="H21" s="3"/>
      <c r="I21" s="3"/>
      <c r="J21" s="3"/>
      <c r="K21" s="3"/>
      <c r="L21" s="3"/>
      <c r="M21" s="3"/>
    </row>
    <row r="22" spans="2:13" ht="26" x14ac:dyDescent="0.3">
      <c r="B22" s="30">
        <v>18</v>
      </c>
      <c r="C22" s="30" t="s">
        <v>261</v>
      </c>
      <c r="D22" s="62" t="s">
        <v>444</v>
      </c>
      <c r="E22" s="31"/>
      <c r="F22" s="32"/>
      <c r="G22" s="3"/>
      <c r="H22" s="3"/>
      <c r="I22" s="3"/>
      <c r="J22" s="3"/>
      <c r="K22" s="3"/>
      <c r="L22" s="3"/>
      <c r="M22" s="3"/>
    </row>
    <row r="23" spans="2:13" x14ac:dyDescent="0.3">
      <c r="B23" s="30">
        <v>19</v>
      </c>
      <c r="C23" s="30" t="s">
        <v>262</v>
      </c>
      <c r="D23" s="62" t="s">
        <v>445</v>
      </c>
      <c r="E23" s="31"/>
      <c r="F23" s="32"/>
      <c r="G23" s="3"/>
      <c r="H23" s="3"/>
      <c r="I23" s="3"/>
      <c r="J23" s="3"/>
      <c r="K23" s="3"/>
      <c r="L23" s="3"/>
      <c r="M23" s="3"/>
    </row>
    <row r="24" spans="2:13" x14ac:dyDescent="0.3">
      <c r="B24" s="30">
        <v>20</v>
      </c>
      <c r="C24" s="30" t="s">
        <v>430</v>
      </c>
      <c r="D24" s="62" t="s">
        <v>478</v>
      </c>
      <c r="E24" s="31"/>
      <c r="F24" s="32"/>
      <c r="G24" s="3"/>
      <c r="H24" s="3"/>
      <c r="I24" s="3"/>
      <c r="J24" s="3"/>
      <c r="K24" s="3"/>
      <c r="L24" s="3"/>
      <c r="M24" s="3"/>
    </row>
    <row r="25" spans="2:13" x14ac:dyDescent="0.3">
      <c r="B25" s="30">
        <v>21</v>
      </c>
      <c r="C25" s="30" t="s">
        <v>473</v>
      </c>
      <c r="D25" s="62" t="s">
        <v>1050</v>
      </c>
      <c r="E25" s="31"/>
      <c r="F25" s="32"/>
      <c r="G25" s="3"/>
      <c r="H25" s="3"/>
      <c r="I25" s="3"/>
      <c r="J25" s="3"/>
      <c r="K25" s="3"/>
      <c r="L25" s="3"/>
      <c r="M25" s="3"/>
    </row>
    <row r="26" spans="2:13" x14ac:dyDescent="0.3">
      <c r="B26" s="30">
        <v>22</v>
      </c>
      <c r="C26" s="30" t="s">
        <v>474</v>
      </c>
      <c r="D26" s="62" t="s">
        <v>1088</v>
      </c>
      <c r="E26" s="31"/>
      <c r="F26" s="32"/>
      <c r="G26" s="3"/>
      <c r="H26" s="3"/>
      <c r="I26" s="3"/>
      <c r="J26" s="3"/>
      <c r="K26" s="3"/>
      <c r="L26" s="3"/>
      <c r="M26" s="3"/>
    </row>
    <row r="27" spans="2:13" x14ac:dyDescent="0.3">
      <c r="B27" s="30">
        <v>23</v>
      </c>
      <c r="C27" s="30" t="s">
        <v>641</v>
      </c>
      <c r="D27" s="62" t="s">
        <v>1082</v>
      </c>
      <c r="E27" s="31"/>
      <c r="F27" s="32"/>
      <c r="G27" s="3"/>
      <c r="H27" s="3"/>
      <c r="I27" s="3"/>
      <c r="J27" s="3"/>
      <c r="K27" s="3"/>
      <c r="L27" s="3"/>
      <c r="M27" s="3"/>
    </row>
    <row r="28" spans="2:13" x14ac:dyDescent="0.3">
      <c r="B28" s="30">
        <v>24</v>
      </c>
      <c r="C28" s="30" t="s">
        <v>642</v>
      </c>
      <c r="D28" s="62" t="s">
        <v>1051</v>
      </c>
      <c r="E28" s="31"/>
      <c r="F28" s="32"/>
      <c r="G28" s="3"/>
      <c r="H28" s="3"/>
      <c r="I28" s="3"/>
      <c r="J28" s="3"/>
      <c r="K28" s="3"/>
      <c r="L28" s="3"/>
      <c r="M28" s="3"/>
    </row>
    <row r="29" spans="2:13" x14ac:dyDescent="0.3">
      <c r="B29" s="30">
        <v>25</v>
      </c>
      <c r="C29" s="30" t="s">
        <v>523</v>
      </c>
      <c r="D29" s="30" t="s">
        <v>1052</v>
      </c>
      <c r="E29" s="31"/>
      <c r="F29" s="32"/>
      <c r="G29" s="3"/>
      <c r="H29" s="3"/>
      <c r="I29" s="3"/>
      <c r="J29" s="3"/>
      <c r="K29" s="3"/>
      <c r="L29" s="3"/>
      <c r="M29" s="3"/>
    </row>
    <row r="30" spans="2:13" x14ac:dyDescent="0.3">
      <c r="B30" s="30">
        <v>26</v>
      </c>
      <c r="C30" s="30" t="s">
        <v>524</v>
      </c>
      <c r="D30" s="30" t="s">
        <v>796</v>
      </c>
      <c r="E30" s="31"/>
      <c r="F30" s="32"/>
      <c r="G30" s="3"/>
      <c r="H30" s="3"/>
      <c r="I30" s="3"/>
      <c r="J30" s="3"/>
      <c r="K30" s="3"/>
      <c r="L30" s="3"/>
      <c r="M30" s="3"/>
    </row>
    <row r="31" spans="2:13" x14ac:dyDescent="0.3">
      <c r="B31" s="30">
        <v>27</v>
      </c>
      <c r="C31" s="30" t="s">
        <v>525</v>
      </c>
      <c r="D31" s="30" t="s">
        <v>797</v>
      </c>
      <c r="E31" s="31"/>
      <c r="F31" s="32"/>
      <c r="G31" s="3"/>
      <c r="H31" s="3"/>
      <c r="I31" s="3"/>
      <c r="J31" s="3"/>
      <c r="K31" s="3"/>
      <c r="L31" s="3"/>
      <c r="M31" s="3"/>
    </row>
    <row r="32" spans="2:13" x14ac:dyDescent="0.3">
      <c r="B32" s="30">
        <v>28</v>
      </c>
      <c r="C32" s="30" t="s">
        <v>526</v>
      </c>
      <c r="D32" s="30" t="s">
        <v>798</v>
      </c>
      <c r="E32" s="31"/>
      <c r="F32" s="32"/>
      <c r="G32" s="3"/>
      <c r="H32" s="3"/>
      <c r="I32" s="3"/>
      <c r="J32" s="3"/>
      <c r="K32" s="3"/>
      <c r="L32" s="3"/>
      <c r="M32" s="3"/>
    </row>
    <row r="33" spans="2:13" x14ac:dyDescent="0.3">
      <c r="B33" s="30">
        <v>29</v>
      </c>
      <c r="C33" s="30" t="s">
        <v>527</v>
      </c>
      <c r="D33" s="30" t="s">
        <v>799</v>
      </c>
      <c r="E33" s="31"/>
      <c r="F33" s="32"/>
      <c r="G33" s="3"/>
      <c r="H33" s="3"/>
      <c r="I33" s="3"/>
      <c r="J33" s="3"/>
      <c r="K33" s="3"/>
      <c r="L33" s="3"/>
      <c r="M33" s="3"/>
    </row>
    <row r="34" spans="2:13" x14ac:dyDescent="0.3">
      <c r="B34" s="30">
        <v>30</v>
      </c>
      <c r="C34" s="30" t="s">
        <v>528</v>
      </c>
      <c r="D34" s="30" t="s">
        <v>800</v>
      </c>
      <c r="E34" s="31"/>
      <c r="F34" s="32"/>
      <c r="G34" s="3"/>
      <c r="H34" s="3"/>
      <c r="I34" s="3"/>
      <c r="J34" s="3"/>
      <c r="K34" s="3"/>
      <c r="L34" s="3"/>
      <c r="M34" s="3"/>
    </row>
    <row r="35" spans="2:13" x14ac:dyDescent="0.3">
      <c r="B35" s="30">
        <v>31</v>
      </c>
      <c r="C35" s="30" t="s">
        <v>529</v>
      </c>
      <c r="D35" s="30" t="s">
        <v>801</v>
      </c>
      <c r="E35" s="31"/>
      <c r="F35" s="32"/>
      <c r="G35" s="3"/>
      <c r="H35" s="3"/>
      <c r="I35" s="3"/>
      <c r="J35" s="3"/>
      <c r="K35" s="3"/>
      <c r="L35" s="3"/>
      <c r="M35" s="3"/>
    </row>
    <row r="36" spans="2:13" x14ac:dyDescent="0.3">
      <c r="B36" s="30">
        <v>32</v>
      </c>
      <c r="C36" s="30" t="s">
        <v>643</v>
      </c>
      <c r="D36" s="30" t="s">
        <v>802</v>
      </c>
      <c r="E36" s="31"/>
      <c r="F36" s="32"/>
      <c r="G36" s="3"/>
      <c r="H36" s="3"/>
      <c r="I36" s="3"/>
      <c r="J36" s="3"/>
      <c r="K36" s="3"/>
      <c r="L36" s="3"/>
      <c r="M36" s="3"/>
    </row>
    <row r="37" spans="2:13" x14ac:dyDescent="0.3">
      <c r="B37" s="30">
        <v>33</v>
      </c>
      <c r="C37" s="30" t="s">
        <v>475</v>
      </c>
      <c r="D37" s="62" t="s">
        <v>479</v>
      </c>
      <c r="E37" s="31"/>
      <c r="F37" s="32"/>
      <c r="G37" s="3"/>
      <c r="H37" s="3"/>
      <c r="I37" s="3"/>
      <c r="J37" s="3"/>
      <c r="K37" s="3"/>
      <c r="L37" s="3"/>
      <c r="M37" s="3"/>
    </row>
    <row r="38" spans="2:13" x14ac:dyDescent="0.3">
      <c r="B38" s="30">
        <v>34</v>
      </c>
      <c r="C38" s="30" t="s">
        <v>476</v>
      </c>
      <c r="D38" s="62" t="s">
        <v>1053</v>
      </c>
      <c r="E38" s="31"/>
      <c r="F38" s="32"/>
      <c r="G38" s="3"/>
      <c r="H38" s="3"/>
      <c r="I38" s="3"/>
      <c r="J38" s="3"/>
      <c r="K38" s="3"/>
      <c r="L38" s="3"/>
      <c r="M38" s="3"/>
    </row>
  </sheetData>
  <sheetProtection formatCells="0" formatColumns="0" formatRows="0"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1:W29"/>
  <sheetViews>
    <sheetView showGridLines="0" workbookViewId="0"/>
  </sheetViews>
  <sheetFormatPr defaultRowHeight="16" x14ac:dyDescent="0.35"/>
  <cols>
    <col min="1" max="1" width="8.7265625" style="10"/>
    <col min="2" max="2" width="11.54296875" style="16" customWidth="1"/>
    <col min="3" max="3" width="11.54296875" style="10" customWidth="1"/>
    <col min="4" max="4" width="14.81640625" style="29" bestFit="1" customWidth="1"/>
    <col min="5" max="5" width="12.81640625" style="10" bestFit="1" customWidth="1"/>
    <col min="6" max="6" width="23" style="10" bestFit="1" customWidth="1"/>
    <col min="7" max="7" width="14.6328125" style="10" bestFit="1" customWidth="1"/>
    <col min="8" max="8" width="13.81640625" style="10" bestFit="1" customWidth="1"/>
    <col min="9" max="9" width="12.1796875" style="10" bestFit="1" customWidth="1"/>
    <col min="10" max="10" width="12.08984375" style="10" bestFit="1" customWidth="1"/>
    <col min="11" max="11" width="11.08984375" style="10" bestFit="1" customWidth="1"/>
    <col min="12" max="12" width="12.1796875" style="10" bestFit="1" customWidth="1"/>
    <col min="13" max="13" width="9.90625" style="10" bestFit="1" customWidth="1"/>
    <col min="14" max="14" width="13.90625" style="10" bestFit="1" customWidth="1"/>
    <col min="15" max="17" width="8.7265625" style="10"/>
    <col min="18" max="18" width="24.26953125" style="10" bestFit="1" customWidth="1"/>
    <col min="19" max="19" width="9.36328125" style="16" bestFit="1" customWidth="1"/>
    <col min="20" max="20" width="6.7265625" style="16" bestFit="1" customWidth="1"/>
    <col min="21" max="21" width="8.54296875" style="16" bestFit="1" customWidth="1"/>
    <col min="22" max="22" width="84.453125" style="10" customWidth="1"/>
    <col min="23" max="23" width="44.08984375" style="10" bestFit="1" customWidth="1"/>
    <col min="24" max="16384" width="8.7265625" style="10"/>
  </cols>
  <sheetData>
    <row r="1" spans="2:23" x14ac:dyDescent="0.35">
      <c r="B1" s="8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8"/>
      <c r="T1" s="8"/>
      <c r="U1" s="8"/>
      <c r="V1" s="9"/>
      <c r="W1" s="9"/>
    </row>
    <row r="2" spans="2:23" x14ac:dyDescent="0.35">
      <c r="B2" s="8"/>
      <c r="C2" s="9"/>
      <c r="D2" s="9"/>
      <c r="E2" s="9"/>
      <c r="F2" s="9"/>
      <c r="G2" s="9"/>
      <c r="H2" s="166" t="s">
        <v>1089</v>
      </c>
      <c r="I2" s="166"/>
      <c r="J2" s="166"/>
      <c r="K2" s="166"/>
      <c r="L2" s="166"/>
      <c r="M2" s="166"/>
      <c r="N2" s="166"/>
      <c r="O2" s="9"/>
      <c r="P2" s="9"/>
      <c r="Q2" s="9"/>
      <c r="R2" s="9"/>
      <c r="S2" s="8"/>
      <c r="T2" s="8"/>
      <c r="U2" s="8"/>
      <c r="V2" s="9"/>
      <c r="W2" s="9"/>
    </row>
    <row r="3" spans="2:23" x14ac:dyDescent="0.35">
      <c r="B3" s="8"/>
      <c r="C3" s="9"/>
      <c r="D3" s="11" t="s">
        <v>1090</v>
      </c>
      <c r="E3" s="12" t="s">
        <v>202</v>
      </c>
      <c r="F3" s="12" t="s">
        <v>203</v>
      </c>
      <c r="G3" s="12" t="s">
        <v>203</v>
      </c>
      <c r="H3" s="12" t="s">
        <v>203</v>
      </c>
      <c r="I3" s="12" t="s">
        <v>203</v>
      </c>
      <c r="J3" s="12" t="s">
        <v>203</v>
      </c>
      <c r="K3" s="12" t="s">
        <v>203</v>
      </c>
      <c r="L3" s="12" t="s">
        <v>203</v>
      </c>
      <c r="M3" s="12" t="s">
        <v>203</v>
      </c>
      <c r="N3" s="12" t="s">
        <v>203</v>
      </c>
      <c r="O3" s="9"/>
      <c r="P3" s="9"/>
      <c r="Q3" s="9"/>
      <c r="R3" s="9"/>
      <c r="S3" s="8"/>
      <c r="T3" s="8"/>
      <c r="U3" s="8"/>
      <c r="V3" s="9"/>
      <c r="W3" s="9"/>
    </row>
    <row r="4" spans="2:23" s="16" customFormat="1" x14ac:dyDescent="0.35">
      <c r="B4" s="12" t="s">
        <v>204</v>
      </c>
      <c r="C4" s="12" t="s">
        <v>205</v>
      </c>
      <c r="D4" s="13" t="s">
        <v>206</v>
      </c>
      <c r="E4" s="12" t="s">
        <v>207</v>
      </c>
      <c r="F4" s="12" t="s">
        <v>208</v>
      </c>
      <c r="G4" s="12" t="s">
        <v>209</v>
      </c>
      <c r="H4" s="14" t="s">
        <v>1091</v>
      </c>
      <c r="I4" s="14" t="s">
        <v>1092</v>
      </c>
      <c r="J4" s="14" t="s">
        <v>1093</v>
      </c>
      <c r="K4" s="14" t="s">
        <v>1094</v>
      </c>
      <c r="L4" s="14" t="s">
        <v>1095</v>
      </c>
      <c r="M4" s="14" t="s">
        <v>1096</v>
      </c>
      <c r="N4" s="14" t="s">
        <v>1097</v>
      </c>
      <c r="O4" s="8"/>
      <c r="P4" s="8"/>
      <c r="Q4" s="8"/>
      <c r="R4" s="15" t="s">
        <v>210</v>
      </c>
      <c r="S4" s="15" t="s">
        <v>211</v>
      </c>
      <c r="T4" s="15" t="s">
        <v>212</v>
      </c>
      <c r="U4" s="15" t="s">
        <v>213</v>
      </c>
      <c r="V4" s="15" t="s">
        <v>214</v>
      </c>
      <c r="W4" s="15" t="s">
        <v>215</v>
      </c>
    </row>
    <row r="5" spans="2:23" x14ac:dyDescent="0.35">
      <c r="B5" s="4">
        <v>1</v>
      </c>
      <c r="C5" s="17" t="s">
        <v>198</v>
      </c>
      <c r="D5" s="18"/>
      <c r="E5" s="4">
        <v>65535</v>
      </c>
      <c r="F5" s="4" t="b">
        <v>0</v>
      </c>
      <c r="G5" s="4" t="b">
        <v>0</v>
      </c>
      <c r="H5" s="19" t="b">
        <v>1</v>
      </c>
      <c r="I5" s="4" t="b">
        <v>0</v>
      </c>
      <c r="J5" s="4" t="b">
        <v>0</v>
      </c>
      <c r="K5" s="4" t="b">
        <v>0</v>
      </c>
      <c r="L5" s="4" t="b">
        <v>0</v>
      </c>
      <c r="M5" s="4" t="b">
        <v>1</v>
      </c>
      <c r="N5" s="4" t="b">
        <v>1</v>
      </c>
      <c r="O5" s="9"/>
      <c r="P5" s="9"/>
      <c r="Q5" s="9"/>
      <c r="R5" s="20" t="s">
        <v>216</v>
      </c>
      <c r="S5" s="21" t="s">
        <v>217</v>
      </c>
      <c r="T5" s="21" t="s">
        <v>218</v>
      </c>
      <c r="U5" s="22"/>
      <c r="V5" s="20" t="s">
        <v>219</v>
      </c>
      <c r="W5" s="20" t="s">
        <v>220</v>
      </c>
    </row>
    <row r="6" spans="2:23" x14ac:dyDescent="0.35">
      <c r="B6" s="4">
        <v>2</v>
      </c>
      <c r="C6" s="17" t="s">
        <v>200</v>
      </c>
      <c r="D6" s="18"/>
      <c r="E6" s="4">
        <v>65535</v>
      </c>
      <c r="F6" s="4" t="b">
        <v>0</v>
      </c>
      <c r="G6" s="4" t="b">
        <v>0</v>
      </c>
      <c r="H6" s="19" t="b">
        <v>1</v>
      </c>
      <c r="I6" s="4" t="b">
        <v>0</v>
      </c>
      <c r="J6" s="4" t="b">
        <v>0</v>
      </c>
      <c r="K6" s="4" t="b">
        <v>0</v>
      </c>
      <c r="L6" s="4" t="b">
        <v>0</v>
      </c>
      <c r="M6" s="4" t="b">
        <v>1</v>
      </c>
      <c r="N6" s="4" t="b">
        <v>1</v>
      </c>
      <c r="O6" s="9"/>
      <c r="P6" s="9"/>
      <c r="Q6" s="9"/>
      <c r="R6" s="20" t="s">
        <v>221</v>
      </c>
      <c r="S6" s="21" t="s">
        <v>222</v>
      </c>
      <c r="T6" s="21" t="s">
        <v>218</v>
      </c>
      <c r="U6" s="21" t="s">
        <v>223</v>
      </c>
      <c r="V6" s="20" t="s">
        <v>224</v>
      </c>
      <c r="W6" s="20" t="s">
        <v>225</v>
      </c>
    </row>
    <row r="7" spans="2:23" ht="26" x14ac:dyDescent="0.35">
      <c r="B7" s="4"/>
      <c r="C7" s="17"/>
      <c r="D7" s="18"/>
      <c r="E7" s="4"/>
      <c r="F7" s="4"/>
      <c r="G7" s="4"/>
      <c r="H7" s="4"/>
      <c r="I7" s="4"/>
      <c r="J7" s="4"/>
      <c r="K7" s="4"/>
      <c r="L7" s="4"/>
      <c r="M7" s="4"/>
      <c r="N7" s="4"/>
      <c r="O7" s="9"/>
      <c r="P7" s="9"/>
      <c r="Q7" s="9"/>
      <c r="R7" s="20" t="s">
        <v>226</v>
      </c>
      <c r="S7" s="21" t="s">
        <v>227</v>
      </c>
      <c r="T7" s="21" t="s">
        <v>228</v>
      </c>
      <c r="U7" s="21" t="s">
        <v>229</v>
      </c>
      <c r="V7" s="20" t="s">
        <v>230</v>
      </c>
      <c r="W7" s="20" t="s">
        <v>231</v>
      </c>
    </row>
    <row r="8" spans="2:23" ht="26" x14ac:dyDescent="0.35">
      <c r="B8" s="4"/>
      <c r="C8" s="17"/>
      <c r="D8" s="23"/>
      <c r="E8" s="4"/>
      <c r="F8" s="4"/>
      <c r="G8" s="4"/>
      <c r="H8" s="4"/>
      <c r="I8" s="4"/>
      <c r="J8" s="4"/>
      <c r="K8" s="4"/>
      <c r="L8" s="4"/>
      <c r="M8" s="4"/>
      <c r="N8" s="4"/>
      <c r="O8" s="9"/>
      <c r="P8" s="9"/>
      <c r="Q8" s="9"/>
      <c r="R8" s="20" t="s">
        <v>208</v>
      </c>
      <c r="S8" s="21" t="s">
        <v>232</v>
      </c>
      <c r="T8" s="21" t="s">
        <v>233</v>
      </c>
      <c r="U8" s="21" t="s">
        <v>229</v>
      </c>
      <c r="V8" s="20" t="s">
        <v>1056</v>
      </c>
      <c r="W8" s="20" t="s">
        <v>234</v>
      </c>
    </row>
    <row r="9" spans="2:23" ht="26" x14ac:dyDescent="0.35">
      <c r="B9" s="7"/>
      <c r="C9" s="24"/>
      <c r="D9" s="23"/>
      <c r="E9" s="7"/>
      <c r="F9" s="7"/>
      <c r="G9" s="7"/>
      <c r="H9" s="7"/>
      <c r="I9" s="7"/>
      <c r="J9" s="7"/>
      <c r="K9" s="7"/>
      <c r="L9" s="7"/>
      <c r="M9" s="7"/>
      <c r="N9" s="7"/>
      <c r="O9" s="9"/>
      <c r="P9" s="9"/>
      <c r="Q9" s="9"/>
      <c r="R9" s="20" t="s">
        <v>209</v>
      </c>
      <c r="S9" s="21" t="s">
        <v>232</v>
      </c>
      <c r="T9" s="21" t="s">
        <v>233</v>
      </c>
      <c r="U9" s="21" t="s">
        <v>229</v>
      </c>
      <c r="V9" s="20" t="s">
        <v>1057</v>
      </c>
      <c r="W9" s="20" t="s">
        <v>235</v>
      </c>
    </row>
    <row r="10" spans="2:23" x14ac:dyDescent="0.35">
      <c r="B10" s="25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9"/>
      <c r="P10" s="9"/>
      <c r="Q10" s="9"/>
      <c r="R10" s="20" t="s">
        <v>644</v>
      </c>
      <c r="S10" s="21" t="s">
        <v>232</v>
      </c>
      <c r="T10" s="21" t="s">
        <v>233</v>
      </c>
      <c r="U10" s="21" t="s">
        <v>229</v>
      </c>
      <c r="V10" s="20" t="s">
        <v>1058</v>
      </c>
      <c r="W10" s="20" t="s">
        <v>236</v>
      </c>
    </row>
    <row r="11" spans="2:23" x14ac:dyDescent="0.35">
      <c r="B11" s="25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9"/>
      <c r="P11" s="9"/>
      <c r="Q11" s="9"/>
      <c r="R11" s="20" t="s">
        <v>530</v>
      </c>
      <c r="S11" s="21" t="s">
        <v>232</v>
      </c>
      <c r="T11" s="21" t="s">
        <v>233</v>
      </c>
      <c r="U11" s="21" t="s">
        <v>229</v>
      </c>
      <c r="V11" s="20" t="s">
        <v>237</v>
      </c>
      <c r="W11" s="20" t="s">
        <v>238</v>
      </c>
    </row>
    <row r="12" spans="2:23" x14ac:dyDescent="0.35">
      <c r="B12" s="25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9"/>
      <c r="P12" s="9"/>
      <c r="Q12" s="9"/>
      <c r="R12" s="20" t="s">
        <v>1054</v>
      </c>
      <c r="S12" s="21" t="s">
        <v>232</v>
      </c>
      <c r="T12" s="21" t="s">
        <v>233</v>
      </c>
      <c r="U12" s="21" t="s">
        <v>229</v>
      </c>
      <c r="V12" s="20" t="s">
        <v>239</v>
      </c>
      <c r="W12" s="20" t="s">
        <v>240</v>
      </c>
    </row>
    <row r="13" spans="2:23" x14ac:dyDescent="0.35">
      <c r="B13" s="25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9"/>
      <c r="P13" s="9"/>
      <c r="Q13" s="9"/>
      <c r="R13" s="20" t="s">
        <v>1055</v>
      </c>
      <c r="S13" s="21" t="s">
        <v>232</v>
      </c>
      <c r="T13" s="21" t="s">
        <v>233</v>
      </c>
      <c r="U13" s="21" t="s">
        <v>229</v>
      </c>
      <c r="V13" s="20" t="s">
        <v>241</v>
      </c>
      <c r="W13" s="20" t="s">
        <v>242</v>
      </c>
    </row>
    <row r="14" spans="2:23" x14ac:dyDescent="0.35">
      <c r="B14" s="8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0" t="s">
        <v>531</v>
      </c>
      <c r="S14" s="21" t="s">
        <v>232</v>
      </c>
      <c r="T14" s="21" t="s">
        <v>233</v>
      </c>
      <c r="U14" s="21" t="s">
        <v>229</v>
      </c>
      <c r="V14" s="20" t="s">
        <v>243</v>
      </c>
      <c r="W14" s="20" t="s">
        <v>244</v>
      </c>
    </row>
    <row r="15" spans="2:23" ht="26" x14ac:dyDescent="0.35">
      <c r="B15" s="8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0" t="s">
        <v>532</v>
      </c>
      <c r="S15" s="21" t="s">
        <v>232</v>
      </c>
      <c r="T15" s="21" t="s">
        <v>245</v>
      </c>
      <c r="U15" s="21" t="s">
        <v>229</v>
      </c>
      <c r="V15" s="20" t="s">
        <v>246</v>
      </c>
      <c r="W15" s="20" t="s">
        <v>247</v>
      </c>
    </row>
    <row r="16" spans="2:23" x14ac:dyDescent="0.35">
      <c r="B16" s="8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0" t="s">
        <v>480</v>
      </c>
      <c r="S16" s="21" t="s">
        <v>232</v>
      </c>
      <c r="T16" s="21" t="s">
        <v>245</v>
      </c>
      <c r="U16" s="21" t="s">
        <v>229</v>
      </c>
      <c r="V16" s="20" t="s">
        <v>248</v>
      </c>
      <c r="W16" s="20" t="s">
        <v>249</v>
      </c>
    </row>
    <row r="17" spans="2:23" x14ac:dyDescent="0.35">
      <c r="B17" s="8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8"/>
      <c r="T17" s="8"/>
      <c r="U17" s="8"/>
      <c r="V17" s="9"/>
      <c r="W17" s="9"/>
    </row>
    <row r="18" spans="2:23" x14ac:dyDescent="0.35">
      <c r="B18" s="8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8"/>
      <c r="T18" s="8"/>
      <c r="U18" s="8"/>
      <c r="V18" s="9"/>
      <c r="W18" s="9"/>
    </row>
    <row r="19" spans="2:23" x14ac:dyDescent="0.35">
      <c r="B19" s="8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27"/>
      <c r="Q19" s="27"/>
      <c r="R19" s="9"/>
      <c r="S19" s="8"/>
      <c r="T19" s="8"/>
      <c r="U19" s="8"/>
      <c r="V19" s="9"/>
      <c r="W19" s="9"/>
    </row>
    <row r="20" spans="2:23" x14ac:dyDescent="0.35">
      <c r="B20" s="8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27"/>
      <c r="Q20" s="27"/>
      <c r="R20" s="9"/>
      <c r="S20" s="8"/>
      <c r="T20" s="8"/>
      <c r="U20" s="8"/>
      <c r="V20" s="9"/>
      <c r="W20" s="9"/>
    </row>
    <row r="21" spans="2:23" x14ac:dyDescent="0.35">
      <c r="B21" s="8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27"/>
      <c r="Q21" s="27"/>
      <c r="R21" s="9"/>
      <c r="S21" s="8"/>
      <c r="T21" s="8"/>
      <c r="U21" s="8"/>
      <c r="V21" s="9"/>
      <c r="W21" s="9"/>
    </row>
    <row r="22" spans="2:23" x14ac:dyDescent="0.35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27"/>
      <c r="Q22" s="27"/>
      <c r="R22" s="9"/>
      <c r="S22" s="8"/>
      <c r="T22" s="8"/>
      <c r="U22" s="8"/>
      <c r="V22" s="9"/>
      <c r="W22" s="9"/>
    </row>
    <row r="23" spans="2:23" x14ac:dyDescent="0.35">
      <c r="B23" s="8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27"/>
      <c r="Q23" s="27"/>
      <c r="R23" s="9"/>
      <c r="S23" s="8"/>
      <c r="T23" s="8"/>
      <c r="U23" s="8"/>
      <c r="V23" s="9"/>
      <c r="W23" s="9"/>
    </row>
    <row r="24" spans="2:23" x14ac:dyDescent="0.35">
      <c r="B24" s="8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27"/>
      <c r="Q24" s="27"/>
      <c r="R24" s="9"/>
      <c r="S24" s="8"/>
      <c r="T24" s="8"/>
      <c r="U24" s="8"/>
      <c r="V24" s="9"/>
      <c r="W24" s="9"/>
    </row>
    <row r="25" spans="2:23" x14ac:dyDescent="0.35">
      <c r="B25" s="8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27"/>
      <c r="Q25" s="27"/>
      <c r="R25" s="9"/>
      <c r="S25" s="8"/>
      <c r="T25" s="8"/>
      <c r="U25" s="8"/>
      <c r="V25" s="9"/>
      <c r="W25" s="9"/>
    </row>
    <row r="26" spans="2:23" x14ac:dyDescent="0.35">
      <c r="B26" s="8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27"/>
      <c r="Q26" s="27"/>
      <c r="R26" s="9"/>
      <c r="S26" s="8"/>
      <c r="T26" s="8"/>
      <c r="U26" s="8"/>
      <c r="V26" s="9"/>
      <c r="W26" s="9"/>
    </row>
    <row r="27" spans="2:23" x14ac:dyDescent="0.35">
      <c r="B27" s="8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27"/>
      <c r="Q27" s="27"/>
      <c r="R27" s="9"/>
      <c r="S27" s="8"/>
      <c r="T27" s="8"/>
      <c r="U27" s="8"/>
      <c r="V27" s="9"/>
      <c r="W27" s="9"/>
    </row>
    <row r="28" spans="2:23" x14ac:dyDescent="0.35">
      <c r="B28" s="8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27"/>
      <c r="Q28" s="27"/>
      <c r="R28" s="9"/>
      <c r="S28" s="8"/>
      <c r="T28" s="8"/>
      <c r="U28" s="8"/>
      <c r="V28" s="9"/>
      <c r="W28" s="9"/>
    </row>
    <row r="29" spans="2:23" x14ac:dyDescent="0.35">
      <c r="B29" s="8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28"/>
      <c r="Q29" s="28"/>
      <c r="R29" s="9"/>
      <c r="S29" s="8"/>
      <c r="T29" s="8"/>
      <c r="U29" s="8"/>
      <c r="V29" s="9"/>
      <c r="W29" s="9"/>
    </row>
  </sheetData>
  <sheetProtection formatCells="0" formatColumns="0" formatRows="0"/>
  <mergeCells count="1">
    <mergeCell ref="H2:N2"/>
  </mergeCells>
  <phoneticPr fontId="2" type="noConversion"/>
  <dataValidations count="1">
    <dataValidation type="list" allowBlank="1" showInputMessage="1" showErrorMessage="1" sqref="F5:N9">
      <formula1>"True,False"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E48"/>
  <sheetViews>
    <sheetView showGridLines="0" workbookViewId="0"/>
  </sheetViews>
  <sheetFormatPr defaultColWidth="8.7265625" defaultRowHeight="13" x14ac:dyDescent="0.35"/>
  <cols>
    <col min="1" max="1" width="8.7265625" style="100"/>
    <col min="2" max="2" width="15.7265625" style="100" customWidth="1"/>
    <col min="3" max="3" width="13" style="100" customWidth="1"/>
    <col min="4" max="4" width="9.81640625" style="100" customWidth="1"/>
    <col min="5" max="5" width="59.08984375" style="103" customWidth="1"/>
    <col min="6" max="16384" width="8.7265625" style="100"/>
  </cols>
  <sheetData>
    <row r="1" spans="2:5" ht="14" x14ac:dyDescent="0.35">
      <c r="B1" s="167" t="s">
        <v>720</v>
      </c>
      <c r="C1" s="167"/>
      <c r="D1" s="167"/>
      <c r="E1" s="167"/>
    </row>
    <row r="2" spans="2:5" x14ac:dyDescent="0.35">
      <c r="B2" s="101"/>
      <c r="C2" s="101"/>
      <c r="D2" s="101"/>
      <c r="E2" s="102"/>
    </row>
    <row r="3" spans="2:5" x14ac:dyDescent="0.35">
      <c r="B3" s="101" t="s">
        <v>721</v>
      </c>
      <c r="C3" s="101"/>
      <c r="D3" s="101"/>
      <c r="E3" s="102"/>
    </row>
    <row r="4" spans="2:5" s="99" customFormat="1" x14ac:dyDescent="0.35">
      <c r="B4" s="107" t="s">
        <v>546</v>
      </c>
      <c r="C4" s="107" t="s">
        <v>722</v>
      </c>
      <c r="D4" s="107" t="s">
        <v>547</v>
      </c>
      <c r="E4" s="107" t="s">
        <v>549</v>
      </c>
    </row>
    <row r="5" spans="2:5" x14ac:dyDescent="0.35">
      <c r="B5" s="108" t="s">
        <v>458</v>
      </c>
      <c r="C5" s="108" t="s">
        <v>723</v>
      </c>
      <c r="D5" s="109" t="s">
        <v>455</v>
      </c>
      <c r="E5" s="152" t="s">
        <v>724</v>
      </c>
    </row>
    <row r="6" spans="2:5" x14ac:dyDescent="0.35">
      <c r="B6" s="108" t="s">
        <v>459</v>
      </c>
      <c r="C6" s="108" t="s">
        <v>723</v>
      </c>
      <c r="D6" s="109" t="s">
        <v>455</v>
      </c>
      <c r="E6" s="152" t="s">
        <v>725</v>
      </c>
    </row>
    <row r="7" spans="2:5" x14ac:dyDescent="0.35">
      <c r="B7" s="108" t="s">
        <v>460</v>
      </c>
      <c r="C7" s="108" t="s">
        <v>723</v>
      </c>
      <c r="D7" s="110" t="s">
        <v>470</v>
      </c>
      <c r="E7" s="152" t="s">
        <v>726</v>
      </c>
    </row>
    <row r="8" spans="2:5" ht="39" x14ac:dyDescent="0.35">
      <c r="B8" s="108" t="s">
        <v>461</v>
      </c>
      <c r="C8" s="108" t="s">
        <v>723</v>
      </c>
      <c r="D8" s="110" t="s">
        <v>470</v>
      </c>
      <c r="E8" s="152" t="s">
        <v>727</v>
      </c>
    </row>
    <row r="9" spans="2:5" ht="26" x14ac:dyDescent="0.35">
      <c r="B9" s="108" t="s">
        <v>610</v>
      </c>
      <c r="C9" s="108" t="s">
        <v>723</v>
      </c>
      <c r="D9" s="110" t="s">
        <v>470</v>
      </c>
      <c r="E9" s="152" t="s">
        <v>728</v>
      </c>
    </row>
    <row r="10" spans="2:5" x14ac:dyDescent="0.35">
      <c r="B10" s="108" t="s">
        <v>454</v>
      </c>
      <c r="C10" s="108" t="s">
        <v>729</v>
      </c>
      <c r="D10" s="109" t="s">
        <v>455</v>
      </c>
      <c r="E10" s="152" t="s">
        <v>730</v>
      </c>
    </row>
    <row r="11" spans="2:5" x14ac:dyDescent="0.35">
      <c r="B11" s="108" t="s">
        <v>456</v>
      </c>
      <c r="C11" s="108" t="s">
        <v>729</v>
      </c>
      <c r="D11" s="109" t="s">
        <v>455</v>
      </c>
      <c r="E11" s="152" t="s">
        <v>731</v>
      </c>
    </row>
    <row r="12" spans="2:5" ht="26" x14ac:dyDescent="0.35">
      <c r="B12" s="108" t="s">
        <v>607</v>
      </c>
      <c r="C12" s="108" t="s">
        <v>729</v>
      </c>
      <c r="D12" s="109" t="s">
        <v>455</v>
      </c>
      <c r="E12" s="152" t="s">
        <v>732</v>
      </c>
    </row>
    <row r="13" spans="2:5" x14ac:dyDescent="0.35">
      <c r="B13" s="108" t="s">
        <v>611</v>
      </c>
      <c r="C13" s="108" t="s">
        <v>729</v>
      </c>
      <c r="D13" s="110" t="s">
        <v>470</v>
      </c>
      <c r="E13" s="152" t="s">
        <v>733</v>
      </c>
    </row>
    <row r="14" spans="2:5" x14ac:dyDescent="0.35">
      <c r="B14" s="108" t="s">
        <v>608</v>
      </c>
      <c r="C14" s="108" t="s">
        <v>729</v>
      </c>
      <c r="D14" s="109" t="s">
        <v>455</v>
      </c>
      <c r="E14" s="152" t="s">
        <v>734</v>
      </c>
    </row>
    <row r="15" spans="2:5" ht="26" x14ac:dyDescent="0.35">
      <c r="B15" s="108" t="s">
        <v>612</v>
      </c>
      <c r="C15" s="108" t="s">
        <v>729</v>
      </c>
      <c r="D15" s="109" t="s">
        <v>455</v>
      </c>
      <c r="E15" s="152" t="s">
        <v>735</v>
      </c>
    </row>
    <row r="16" spans="2:5" ht="39" x14ac:dyDescent="0.35">
      <c r="B16" s="108" t="s">
        <v>717</v>
      </c>
      <c r="C16" s="108" t="s">
        <v>729</v>
      </c>
      <c r="D16" s="109" t="s">
        <v>455</v>
      </c>
      <c r="E16" s="152" t="s">
        <v>736</v>
      </c>
    </row>
    <row r="17" spans="2:5" ht="26" x14ac:dyDescent="0.35">
      <c r="B17" s="108" t="s">
        <v>462</v>
      </c>
      <c r="C17" s="108" t="s">
        <v>737</v>
      </c>
      <c r="D17" s="110" t="s">
        <v>470</v>
      </c>
      <c r="E17" s="152" t="s">
        <v>738</v>
      </c>
    </row>
    <row r="18" spans="2:5" ht="26" x14ac:dyDescent="0.35">
      <c r="B18" s="108" t="s">
        <v>613</v>
      </c>
      <c r="C18" s="108" t="s">
        <v>737</v>
      </c>
      <c r="D18" s="110" t="s">
        <v>470</v>
      </c>
      <c r="E18" s="152" t="s">
        <v>739</v>
      </c>
    </row>
    <row r="19" spans="2:5" x14ac:dyDescent="0.35">
      <c r="B19" s="108" t="s">
        <v>463</v>
      </c>
      <c r="C19" s="108" t="s">
        <v>737</v>
      </c>
      <c r="D19" s="110" t="s">
        <v>470</v>
      </c>
      <c r="E19" s="152" t="s">
        <v>740</v>
      </c>
    </row>
    <row r="20" spans="2:5" x14ac:dyDescent="0.35">
      <c r="B20" s="108" t="s">
        <v>464</v>
      </c>
      <c r="C20" s="108" t="s">
        <v>741</v>
      </c>
      <c r="D20" s="109" t="s">
        <v>455</v>
      </c>
      <c r="E20" s="152" t="s">
        <v>742</v>
      </c>
    </row>
    <row r="21" spans="2:5" ht="26" x14ac:dyDescent="0.35">
      <c r="B21" s="108" t="s">
        <v>465</v>
      </c>
      <c r="C21" s="108" t="s">
        <v>743</v>
      </c>
      <c r="D21" s="109" t="s">
        <v>455</v>
      </c>
      <c r="E21" s="152" t="s">
        <v>744</v>
      </c>
    </row>
    <row r="22" spans="2:5" s="99" customFormat="1" x14ac:dyDescent="0.35">
      <c r="B22" s="108" t="s">
        <v>466</v>
      </c>
      <c r="C22" s="108" t="s">
        <v>745</v>
      </c>
      <c r="D22" s="110" t="s">
        <v>470</v>
      </c>
      <c r="E22" s="152" t="s">
        <v>746</v>
      </c>
    </row>
    <row r="23" spans="2:5" x14ac:dyDescent="0.35">
      <c r="B23" s="108" t="s">
        <v>446</v>
      </c>
      <c r="C23" s="108" t="s">
        <v>745</v>
      </c>
      <c r="D23" s="111" t="s">
        <v>447</v>
      </c>
      <c r="E23" s="152" t="s">
        <v>747</v>
      </c>
    </row>
    <row r="24" spans="2:5" x14ac:dyDescent="0.35">
      <c r="B24" s="108" t="s">
        <v>467</v>
      </c>
      <c r="C24" s="108" t="s">
        <v>748</v>
      </c>
      <c r="D24" s="111" t="s">
        <v>447</v>
      </c>
      <c r="E24" s="152" t="s">
        <v>749</v>
      </c>
    </row>
    <row r="25" spans="2:5" x14ac:dyDescent="0.35">
      <c r="B25" s="108" t="s">
        <v>468</v>
      </c>
      <c r="C25" s="108" t="s">
        <v>748</v>
      </c>
      <c r="D25" s="111" t="s">
        <v>447</v>
      </c>
      <c r="E25" s="152" t="s">
        <v>750</v>
      </c>
    </row>
    <row r="26" spans="2:5" x14ac:dyDescent="0.35">
      <c r="B26" s="108" t="s">
        <v>469</v>
      </c>
      <c r="C26" s="108" t="s">
        <v>748</v>
      </c>
      <c r="D26" s="111" t="s">
        <v>447</v>
      </c>
      <c r="E26" s="152" t="s">
        <v>751</v>
      </c>
    </row>
    <row r="27" spans="2:5" ht="26" x14ac:dyDescent="0.35">
      <c r="B27" s="108" t="s">
        <v>614</v>
      </c>
      <c r="C27" s="108" t="s">
        <v>752</v>
      </c>
      <c r="D27" s="110" t="s">
        <v>470</v>
      </c>
      <c r="E27" s="152" t="s">
        <v>753</v>
      </c>
    </row>
    <row r="28" spans="2:5" ht="26" x14ac:dyDescent="0.35">
      <c r="B28" s="108" t="s">
        <v>615</v>
      </c>
      <c r="C28" s="108" t="s">
        <v>752</v>
      </c>
      <c r="D28" s="111" t="s">
        <v>447</v>
      </c>
      <c r="E28" s="152" t="s">
        <v>754</v>
      </c>
    </row>
    <row r="29" spans="2:5" ht="26" x14ac:dyDescent="0.35">
      <c r="B29" s="108" t="s">
        <v>616</v>
      </c>
      <c r="C29" s="108" t="s">
        <v>755</v>
      </c>
      <c r="D29" s="109" t="s">
        <v>455</v>
      </c>
      <c r="E29" s="152" t="s">
        <v>756</v>
      </c>
    </row>
    <row r="30" spans="2:5" ht="26" x14ac:dyDescent="0.35">
      <c r="B30" s="108" t="s">
        <v>617</v>
      </c>
      <c r="C30" s="108" t="s">
        <v>755</v>
      </c>
      <c r="D30" s="111" t="s">
        <v>447</v>
      </c>
      <c r="E30" s="152" t="s">
        <v>757</v>
      </c>
    </row>
    <row r="31" spans="2:5" x14ac:dyDescent="0.35">
      <c r="B31" s="101"/>
      <c r="C31" s="101"/>
      <c r="D31" s="101"/>
      <c r="E31" s="102"/>
    </row>
    <row r="32" spans="2:5" x14ac:dyDescent="0.35">
      <c r="B32" s="101"/>
      <c r="C32" s="101"/>
      <c r="D32" s="101"/>
      <c r="E32" s="102"/>
    </row>
    <row r="33" spans="2:5" s="99" customFormat="1" ht="14" x14ac:dyDescent="0.35">
      <c r="B33" s="153" t="s">
        <v>722</v>
      </c>
      <c r="C33" s="170" t="s">
        <v>758</v>
      </c>
      <c r="D33" s="171"/>
      <c r="E33" s="172"/>
    </row>
    <row r="34" spans="2:5" ht="14" x14ac:dyDescent="0.35">
      <c r="B34" s="108" t="s">
        <v>723</v>
      </c>
      <c r="C34" s="168" t="s">
        <v>759</v>
      </c>
      <c r="D34" s="169"/>
      <c r="E34" s="169"/>
    </row>
    <row r="35" spans="2:5" ht="14" x14ac:dyDescent="0.35">
      <c r="B35" s="108" t="s">
        <v>729</v>
      </c>
      <c r="C35" s="168" t="s">
        <v>760</v>
      </c>
      <c r="D35" s="169"/>
      <c r="E35" s="169"/>
    </row>
    <row r="36" spans="2:5" ht="14" x14ac:dyDescent="0.35">
      <c r="B36" s="108" t="s">
        <v>737</v>
      </c>
      <c r="C36" s="168" t="s">
        <v>761</v>
      </c>
      <c r="D36" s="169"/>
      <c r="E36" s="169"/>
    </row>
    <row r="37" spans="2:5" ht="14" x14ac:dyDescent="0.35">
      <c r="B37" s="108" t="s">
        <v>741</v>
      </c>
      <c r="C37" s="168" t="s">
        <v>762</v>
      </c>
      <c r="D37" s="169"/>
      <c r="E37" s="169"/>
    </row>
    <row r="38" spans="2:5" ht="14" x14ac:dyDescent="0.35">
      <c r="B38" s="108" t="s">
        <v>743</v>
      </c>
      <c r="C38" s="168" t="s">
        <v>763</v>
      </c>
      <c r="D38" s="169"/>
      <c r="E38" s="169"/>
    </row>
    <row r="39" spans="2:5" ht="14" x14ac:dyDescent="0.35">
      <c r="B39" s="108" t="s">
        <v>745</v>
      </c>
      <c r="C39" s="168" t="s">
        <v>764</v>
      </c>
      <c r="D39" s="169"/>
      <c r="E39" s="169"/>
    </row>
    <row r="40" spans="2:5" ht="14" x14ac:dyDescent="0.35">
      <c r="B40" s="108" t="s">
        <v>748</v>
      </c>
      <c r="C40" s="168" t="s">
        <v>765</v>
      </c>
      <c r="D40" s="169"/>
      <c r="E40" s="169"/>
    </row>
    <row r="41" spans="2:5" ht="14" x14ac:dyDescent="0.35">
      <c r="B41" s="108" t="s">
        <v>752</v>
      </c>
      <c r="C41" s="168" t="s">
        <v>766</v>
      </c>
      <c r="D41" s="169"/>
      <c r="E41" s="169"/>
    </row>
    <row r="42" spans="2:5" ht="14" x14ac:dyDescent="0.35">
      <c r="B42" s="108" t="s">
        <v>755</v>
      </c>
      <c r="C42" s="168" t="s">
        <v>767</v>
      </c>
      <c r="D42" s="169"/>
      <c r="E42" s="169"/>
    </row>
    <row r="43" spans="2:5" x14ac:dyDescent="0.35">
      <c r="B43" s="101"/>
      <c r="C43" s="101"/>
      <c r="D43" s="101"/>
      <c r="E43" s="102"/>
    </row>
    <row r="44" spans="2:5" x14ac:dyDescent="0.35">
      <c r="B44" s="101"/>
      <c r="C44" s="101"/>
      <c r="D44" s="101"/>
      <c r="E44" s="102"/>
    </row>
    <row r="45" spans="2:5" ht="14" x14ac:dyDescent="0.35">
      <c r="B45" s="153" t="s">
        <v>547</v>
      </c>
      <c r="C45" s="170" t="s">
        <v>549</v>
      </c>
      <c r="D45" s="171"/>
      <c r="E45" s="172"/>
    </row>
    <row r="46" spans="2:5" ht="14" x14ac:dyDescent="0.35">
      <c r="B46" s="108" t="s">
        <v>455</v>
      </c>
      <c r="C46" s="168" t="s">
        <v>768</v>
      </c>
      <c r="D46" s="169"/>
      <c r="E46" s="169"/>
    </row>
    <row r="47" spans="2:5" ht="14" x14ac:dyDescent="0.35">
      <c r="B47" s="108" t="s">
        <v>470</v>
      </c>
      <c r="C47" s="168" t="s">
        <v>769</v>
      </c>
      <c r="D47" s="169"/>
      <c r="E47" s="169"/>
    </row>
    <row r="48" spans="2:5" ht="14" x14ac:dyDescent="0.35">
      <c r="B48" s="108" t="s">
        <v>447</v>
      </c>
      <c r="C48" s="168" t="s">
        <v>770</v>
      </c>
      <c r="D48" s="169"/>
      <c r="E48" s="169"/>
    </row>
  </sheetData>
  <mergeCells count="15">
    <mergeCell ref="C42:E42"/>
    <mergeCell ref="C36:E36"/>
    <mergeCell ref="C37:E37"/>
    <mergeCell ref="C48:E48"/>
    <mergeCell ref="C47:E47"/>
    <mergeCell ref="C45:E45"/>
    <mergeCell ref="C46:E46"/>
    <mergeCell ref="B1:E1"/>
    <mergeCell ref="C34:E34"/>
    <mergeCell ref="C41:E41"/>
    <mergeCell ref="C35:E35"/>
    <mergeCell ref="C40:E40"/>
    <mergeCell ref="C39:E39"/>
    <mergeCell ref="C38:E38"/>
    <mergeCell ref="C33:E33"/>
  </mergeCells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5"/>
  <sheetViews>
    <sheetView showGridLines="0" workbookViewId="0"/>
  </sheetViews>
  <sheetFormatPr defaultRowHeight="14.5" x14ac:dyDescent="0.35"/>
  <cols>
    <col min="1" max="1" width="8.7265625" style="2"/>
    <col min="2" max="2" width="15.81640625" bestFit="1" customWidth="1"/>
    <col min="3" max="3" width="28.7265625" bestFit="1" customWidth="1"/>
    <col min="4" max="4" width="18.90625" bestFit="1" customWidth="1"/>
    <col min="5" max="5" width="11.453125" bestFit="1" customWidth="1"/>
    <col min="6" max="6" width="67.36328125" bestFit="1" customWidth="1"/>
    <col min="13" max="13" width="10.81640625" bestFit="1" customWidth="1"/>
  </cols>
  <sheetData>
    <row r="1" spans="1:13" x14ac:dyDescent="0.35">
      <c r="A1" s="53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</row>
    <row r="2" spans="1:13" x14ac:dyDescent="0.35">
      <c r="A2" s="53"/>
      <c r="B2" s="32"/>
      <c r="C2" s="32"/>
      <c r="D2" s="32"/>
      <c r="E2" s="32"/>
      <c r="F2" s="57" t="s">
        <v>1098</v>
      </c>
      <c r="G2" s="32"/>
      <c r="H2" s="32"/>
      <c r="I2" s="32"/>
      <c r="J2" s="32"/>
      <c r="K2" s="32"/>
      <c r="L2" s="32"/>
      <c r="M2" s="56" t="s">
        <v>533</v>
      </c>
    </row>
    <row r="3" spans="1:13" x14ac:dyDescent="0.35">
      <c r="A3" s="53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</row>
    <row r="4" spans="1:13" s="2" customFormat="1" x14ac:dyDescent="0.35">
      <c r="A4" s="54" t="s">
        <v>152</v>
      </c>
      <c r="B4" s="54" t="s">
        <v>153</v>
      </c>
      <c r="C4" s="54" t="s">
        <v>154</v>
      </c>
      <c r="D4" s="54" t="s">
        <v>155</v>
      </c>
      <c r="E4" s="54" t="s">
        <v>156</v>
      </c>
      <c r="F4" s="54" t="s">
        <v>482</v>
      </c>
      <c r="G4" s="53"/>
      <c r="H4" s="53"/>
      <c r="I4" s="53"/>
      <c r="J4" s="53"/>
      <c r="K4" s="53"/>
      <c r="L4" s="53"/>
      <c r="M4" s="53"/>
    </row>
    <row r="5" spans="1:13" x14ac:dyDescent="0.35">
      <c r="A5" s="55">
        <v>1</v>
      </c>
      <c r="B5" s="154" t="s">
        <v>158</v>
      </c>
      <c r="C5" s="154" t="s">
        <v>159</v>
      </c>
      <c r="D5" s="154" t="s">
        <v>142</v>
      </c>
      <c r="E5" s="154" t="s">
        <v>160</v>
      </c>
      <c r="F5" s="154" t="s">
        <v>161</v>
      </c>
      <c r="G5" s="32"/>
      <c r="H5" s="32"/>
      <c r="I5" s="32"/>
      <c r="J5" s="32"/>
      <c r="K5" s="32"/>
      <c r="L5" s="32"/>
      <c r="M5" s="32"/>
    </row>
    <row r="6" spans="1:13" x14ac:dyDescent="0.35">
      <c r="A6" s="55">
        <v>1</v>
      </c>
      <c r="B6" s="154" t="s">
        <v>158</v>
      </c>
      <c r="C6" s="154" t="s">
        <v>159</v>
      </c>
      <c r="D6" s="154" t="s">
        <v>162</v>
      </c>
      <c r="E6" s="154" t="s">
        <v>162</v>
      </c>
      <c r="F6" s="154" t="s">
        <v>163</v>
      </c>
      <c r="G6" s="32"/>
      <c r="H6" s="32"/>
      <c r="I6" s="32"/>
      <c r="J6" s="32"/>
      <c r="K6" s="32"/>
      <c r="L6" s="32"/>
      <c r="M6" s="32"/>
    </row>
    <row r="7" spans="1:13" x14ac:dyDescent="0.35">
      <c r="A7" s="55">
        <v>2</v>
      </c>
      <c r="B7" s="154" t="s">
        <v>164</v>
      </c>
      <c r="C7" s="154" t="s">
        <v>165</v>
      </c>
      <c r="D7" s="154" t="s">
        <v>263</v>
      </c>
      <c r="E7" s="154" t="s">
        <v>166</v>
      </c>
      <c r="F7" s="154" t="s">
        <v>167</v>
      </c>
      <c r="G7" s="32"/>
      <c r="H7" s="32"/>
      <c r="I7" s="32"/>
      <c r="J7" s="32"/>
      <c r="K7" s="32"/>
      <c r="L7" s="32"/>
      <c r="M7" s="32"/>
    </row>
    <row r="8" spans="1:13" x14ac:dyDescent="0.35">
      <c r="A8" s="55">
        <v>3</v>
      </c>
      <c r="B8" s="154" t="s">
        <v>168</v>
      </c>
      <c r="C8" s="154" t="s">
        <v>169</v>
      </c>
      <c r="D8" s="154" t="s">
        <v>263</v>
      </c>
      <c r="E8" s="154" t="s">
        <v>170</v>
      </c>
      <c r="F8" s="154" t="s">
        <v>171</v>
      </c>
      <c r="G8" s="32"/>
      <c r="H8" s="32"/>
      <c r="I8" s="32"/>
      <c r="J8" s="32"/>
      <c r="K8" s="32"/>
      <c r="L8" s="32"/>
      <c r="M8" s="32"/>
    </row>
    <row r="9" spans="1:13" x14ac:dyDescent="0.35">
      <c r="A9" s="55">
        <v>3</v>
      </c>
      <c r="B9" s="154" t="s">
        <v>168</v>
      </c>
      <c r="C9" s="154" t="s">
        <v>169</v>
      </c>
      <c r="D9" s="154" t="s">
        <v>264</v>
      </c>
      <c r="E9" s="154" t="s">
        <v>265</v>
      </c>
      <c r="F9" s="154" t="s">
        <v>266</v>
      </c>
      <c r="G9" s="32"/>
      <c r="H9" s="32"/>
      <c r="I9" s="32"/>
      <c r="J9" s="32"/>
      <c r="K9" s="32"/>
      <c r="L9" s="32"/>
      <c r="M9" s="32"/>
    </row>
    <row r="10" spans="1:13" x14ac:dyDescent="0.35">
      <c r="A10" s="55">
        <v>4</v>
      </c>
      <c r="B10" s="154" t="s">
        <v>172</v>
      </c>
      <c r="C10" s="154" t="s">
        <v>173</v>
      </c>
      <c r="D10" s="154" t="s">
        <v>142</v>
      </c>
      <c r="E10" s="154" t="s">
        <v>174</v>
      </c>
      <c r="F10" s="154" t="s">
        <v>175</v>
      </c>
      <c r="G10" s="32"/>
      <c r="H10" s="32"/>
      <c r="I10" s="32"/>
      <c r="J10" s="32"/>
      <c r="K10" s="32"/>
      <c r="L10" s="32"/>
      <c r="M10" s="32"/>
    </row>
    <row r="11" spans="1:13" x14ac:dyDescent="0.35">
      <c r="A11" s="55">
        <v>4</v>
      </c>
      <c r="B11" s="154" t="s">
        <v>172</v>
      </c>
      <c r="C11" s="154" t="s">
        <v>173</v>
      </c>
      <c r="D11" s="154" t="s">
        <v>267</v>
      </c>
      <c r="E11" s="154" t="s">
        <v>162</v>
      </c>
      <c r="F11" s="154" t="s">
        <v>176</v>
      </c>
      <c r="G11" s="32"/>
      <c r="H11" s="32"/>
      <c r="I11" s="32"/>
      <c r="J11" s="32"/>
      <c r="K11" s="32"/>
      <c r="L11" s="32"/>
      <c r="M11" s="32"/>
    </row>
    <row r="12" spans="1:13" x14ac:dyDescent="0.35">
      <c r="A12" s="55">
        <v>5</v>
      </c>
      <c r="B12" s="154" t="s">
        <v>177</v>
      </c>
      <c r="C12" s="154" t="s">
        <v>178</v>
      </c>
      <c r="D12" s="154" t="s">
        <v>142</v>
      </c>
      <c r="E12" s="154" t="s">
        <v>179</v>
      </c>
      <c r="F12" s="154" t="s">
        <v>180</v>
      </c>
      <c r="G12" s="32"/>
      <c r="H12" s="32"/>
      <c r="I12" s="32"/>
      <c r="J12" s="32"/>
      <c r="K12" s="32"/>
      <c r="L12" s="32"/>
      <c r="M12" s="32"/>
    </row>
    <row r="13" spans="1:13" x14ac:dyDescent="0.35">
      <c r="A13" s="55">
        <v>6</v>
      </c>
      <c r="B13" s="154" t="s">
        <v>181</v>
      </c>
      <c r="C13" s="154" t="s">
        <v>182</v>
      </c>
      <c r="D13" s="154" t="s">
        <v>142</v>
      </c>
      <c r="E13" s="154" t="s">
        <v>183</v>
      </c>
      <c r="F13" s="154" t="s">
        <v>180</v>
      </c>
      <c r="G13" s="32"/>
      <c r="H13" s="32"/>
      <c r="I13" s="32"/>
      <c r="J13" s="32"/>
      <c r="K13" s="32"/>
      <c r="L13" s="32"/>
      <c r="M13" s="32"/>
    </row>
    <row r="14" spans="1:13" x14ac:dyDescent="0.35">
      <c r="A14" s="55">
        <v>7</v>
      </c>
      <c r="B14" s="154" t="s">
        <v>184</v>
      </c>
      <c r="C14" s="154" t="s">
        <v>185</v>
      </c>
      <c r="D14" s="154" t="s">
        <v>142</v>
      </c>
      <c r="E14" s="154" t="s">
        <v>186</v>
      </c>
      <c r="F14" s="154" t="s">
        <v>0</v>
      </c>
      <c r="G14" s="32"/>
      <c r="H14" s="32"/>
      <c r="I14" s="32"/>
      <c r="J14" s="32"/>
      <c r="K14" s="32"/>
      <c r="L14" s="32"/>
      <c r="M14" s="32"/>
    </row>
    <row r="15" spans="1:13" x14ac:dyDescent="0.35">
      <c r="A15" s="55">
        <v>8</v>
      </c>
      <c r="B15" s="154" t="s">
        <v>187</v>
      </c>
      <c r="C15" s="154" t="s">
        <v>185</v>
      </c>
      <c r="D15" s="154" t="s">
        <v>142</v>
      </c>
      <c r="E15" s="154" t="s">
        <v>188</v>
      </c>
      <c r="F15" s="154" t="s">
        <v>0</v>
      </c>
      <c r="G15" s="32"/>
      <c r="H15" s="32"/>
      <c r="I15" s="32"/>
      <c r="J15" s="32"/>
      <c r="K15" s="32"/>
      <c r="L15" s="32"/>
      <c r="M15" s="32"/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J13"/>
  <sheetViews>
    <sheetView showGridLines="0" zoomScaleNormal="100" workbookViewId="0">
      <pane ySplit="4" topLeftCell="A8" activePane="bottomLeft" state="frozen"/>
      <selection activeCell="A40" sqref="A40"/>
      <selection pane="bottomLeft" activeCell="B20" sqref="B20"/>
    </sheetView>
  </sheetViews>
  <sheetFormatPr defaultColWidth="8.6328125" defaultRowHeight="14.5" x14ac:dyDescent="0.35"/>
  <cols>
    <col min="1" max="2" width="24" customWidth="1"/>
    <col min="3" max="3" width="11" customWidth="1"/>
    <col min="4" max="6" width="18" customWidth="1"/>
    <col min="7" max="7" width="30" customWidth="1"/>
    <col min="8" max="8" width="26" customWidth="1"/>
    <col min="9" max="10" width="16" customWidth="1"/>
  </cols>
  <sheetData>
    <row r="3" spans="1:10" ht="28" customHeight="1" x14ac:dyDescent="0.35">
      <c r="A3" s="188" t="s">
        <v>1109</v>
      </c>
      <c r="B3" s="188"/>
      <c r="C3" s="188"/>
      <c r="D3" s="188"/>
      <c r="E3" s="188"/>
      <c r="F3" s="188"/>
      <c r="G3" s="188"/>
      <c r="H3" s="188"/>
      <c r="I3" s="188"/>
      <c r="J3" s="188"/>
    </row>
    <row r="4" spans="1:10" x14ac:dyDescent="0.35">
      <c r="A4" s="33" t="s">
        <v>0</v>
      </c>
      <c r="B4" s="33" t="s">
        <v>1</v>
      </c>
      <c r="C4" s="33" t="s">
        <v>2</v>
      </c>
      <c r="D4" s="33" t="s">
        <v>3</v>
      </c>
      <c r="E4" s="33" t="s">
        <v>4</v>
      </c>
      <c r="F4" s="33" t="s">
        <v>5</v>
      </c>
      <c r="G4" s="33" t="s">
        <v>6</v>
      </c>
      <c r="H4" s="33" t="s">
        <v>7</v>
      </c>
      <c r="I4" s="33" t="s">
        <v>8</v>
      </c>
      <c r="J4" s="33" t="s">
        <v>9</v>
      </c>
    </row>
    <row r="5" spans="1:10" x14ac:dyDescent="0.35">
      <c r="A5" s="34" t="s">
        <v>10</v>
      </c>
      <c r="B5" s="34" t="s">
        <v>11</v>
      </c>
      <c r="C5" s="35" t="str">
        <f>IFERROR(IF(INDEX(LevelDepth!$C:$C,MATCH($A5,LevelDepth!$A:$A,0))="○","L1",IF(INDEX(LevelDepth!$D:$D,MATCH($A5,LevelDepth!$A:$A,0))="○","L2",IF(INDEX(LevelDepth!$E:$E,MATCH($A5,LevelDepth!$A:$A,0))="○","L3",IF(INDEX(LevelDepth!$F:$F,MATCH($A5,LevelDepth!$A:$A,0))="○","L4",IF(INDEX(LevelDepth!$G:$G,MATCH($A5,LevelDepth!$A:$A,0))="○","L5",""))))),"")</f>
        <v>L1</v>
      </c>
      <c r="D5" s="34" t="s">
        <v>12</v>
      </c>
      <c r="E5" s="34" t="s">
        <v>13</v>
      </c>
      <c r="F5" s="34" t="s">
        <v>14</v>
      </c>
      <c r="G5" s="34" t="s">
        <v>15</v>
      </c>
      <c r="H5" s="34"/>
      <c r="I5" s="60"/>
      <c r="J5" s="34"/>
    </row>
    <row r="6" spans="1:10" x14ac:dyDescent="0.35">
      <c r="A6" s="34" t="s">
        <v>16</v>
      </c>
      <c r="B6" s="34" t="s">
        <v>17</v>
      </c>
      <c r="C6" s="35" t="str">
        <f>IFERROR(IF(INDEX(LevelDepth!$C:$C,MATCH($A6,LevelDepth!$A:$A,0))="○","L1",IF(INDEX(LevelDepth!$D:$D,MATCH($A6,LevelDepth!$A:$A,0))="○","L2",IF(INDEX(LevelDepth!$E:$E,MATCH($A6,LevelDepth!$A:$A,0))="○","L3",IF(INDEX(LevelDepth!$F:$F,MATCH($A6,LevelDepth!$A:$A,0))="○","L4",IF(INDEX(LevelDepth!$G:$G,MATCH($A6,LevelDepth!$A:$A,0))="○","L5",""))))),"")</f>
        <v>L2</v>
      </c>
      <c r="D6" s="34" t="s">
        <v>18</v>
      </c>
      <c r="E6" s="34" t="s">
        <v>19</v>
      </c>
      <c r="F6" s="34" t="s">
        <v>20</v>
      </c>
      <c r="G6" s="34"/>
      <c r="H6" s="34" t="s">
        <v>21</v>
      </c>
      <c r="I6" s="34"/>
      <c r="J6" s="34"/>
    </row>
    <row r="7" spans="1:10" x14ac:dyDescent="0.35">
      <c r="A7" s="34" t="s">
        <v>22</v>
      </c>
      <c r="B7" s="34" t="s">
        <v>23</v>
      </c>
      <c r="C7" s="35" t="str">
        <f>IFERROR(IF(INDEX(LevelDepth!$C:$C,MATCH($A7,LevelDepth!$A:$A,0))="○","L1",IF(INDEX(LevelDepth!$D:$D,MATCH($A7,LevelDepth!$A:$A,0))="○","L2",IF(INDEX(LevelDepth!$E:$E,MATCH($A7,LevelDepth!$A:$A,0))="○","L3",IF(INDEX(LevelDepth!$F:$F,MATCH($A7,LevelDepth!$A:$A,0))="○","L4",IF(INDEX(LevelDepth!$G:$G,MATCH($A7,LevelDepth!$A:$A,0))="○","L5",""))))),"")</f>
        <v>L1</v>
      </c>
      <c r="D7" s="34" t="s">
        <v>19</v>
      </c>
      <c r="E7" s="34" t="s">
        <v>19</v>
      </c>
      <c r="F7" s="34" t="s">
        <v>24</v>
      </c>
      <c r="G7" s="34"/>
      <c r="H7" s="34"/>
      <c r="I7" s="34"/>
      <c r="J7" s="34"/>
    </row>
    <row r="8" spans="1:10" x14ac:dyDescent="0.35">
      <c r="A8" s="34" t="s">
        <v>25</v>
      </c>
      <c r="B8" s="34" t="s">
        <v>26</v>
      </c>
      <c r="C8" s="35" t="str">
        <f>IFERROR(IF(INDEX(LevelDepth!$C:$C,MATCH($A8,LevelDepth!$A:$A,0))="○","L1",IF(INDEX(LevelDepth!$D:$D,MATCH($A8,LevelDepth!$A:$A,0))="○","L2",IF(INDEX(LevelDepth!$E:$E,MATCH($A8,LevelDepth!$A:$A,0))="○","L3",IF(INDEX(LevelDepth!$F:$F,MATCH($A8,LevelDepth!$A:$A,0))="○","L4",IF(INDEX(LevelDepth!$G:$G,MATCH($A8,LevelDepth!$A:$A,0))="○","L5",""))))),"")</f>
        <v>L2</v>
      </c>
      <c r="D8" s="34" t="s">
        <v>19</v>
      </c>
      <c r="E8" s="34" t="s">
        <v>19</v>
      </c>
      <c r="F8" s="34" t="s">
        <v>24</v>
      </c>
      <c r="G8" s="34"/>
      <c r="H8" s="34"/>
      <c r="I8" s="34"/>
      <c r="J8" s="34" t="s">
        <v>27</v>
      </c>
    </row>
    <row r="9" spans="1:10" x14ac:dyDescent="0.35">
      <c r="A9" s="34" t="s">
        <v>28</v>
      </c>
      <c r="B9" s="34" t="s">
        <v>29</v>
      </c>
      <c r="C9" s="35" t="str">
        <f>IFERROR(IF(INDEX(LevelDepth!$C:$C,MATCH($A9,LevelDepth!$A:$A,0))="○","L1",IF(INDEX(LevelDepth!$D:$D,MATCH($A9,LevelDepth!$A:$A,0))="○","L2",IF(INDEX(LevelDepth!$E:$E,MATCH($A9,LevelDepth!$A:$A,0))="○","L3",IF(INDEX(LevelDepth!$F:$F,MATCH($A9,LevelDepth!$A:$A,0))="○","L4",IF(INDEX(LevelDepth!$G:$G,MATCH($A9,LevelDepth!$A:$A,0))="○","L5",""))))),"")</f>
        <v>L3</v>
      </c>
      <c r="D9" s="34" t="s">
        <v>19</v>
      </c>
      <c r="E9" s="34" t="s">
        <v>19</v>
      </c>
      <c r="F9" s="34" t="s">
        <v>24</v>
      </c>
      <c r="G9" s="34"/>
      <c r="H9" s="34"/>
      <c r="I9" s="34"/>
      <c r="J9" s="34"/>
    </row>
    <row r="10" spans="1:10" x14ac:dyDescent="0.35">
      <c r="A10" s="34" t="s">
        <v>30</v>
      </c>
      <c r="B10" s="34" t="s">
        <v>31</v>
      </c>
      <c r="C10" s="35" t="str">
        <f>IFERROR(IF(INDEX(LevelDepth!$C:$C,MATCH($A10,LevelDepth!$A:$A,0))="○","L1",IF(INDEX(LevelDepth!$D:$D,MATCH($A10,LevelDepth!$A:$A,0))="○","L2",IF(INDEX(LevelDepth!$E:$E,MATCH($A10,LevelDepth!$A:$A,0))="○","L3",IF(INDEX(LevelDepth!$F:$F,MATCH($A10,LevelDepth!$A:$A,0))="○","L4",IF(INDEX(LevelDepth!$G:$G,MATCH($A10,LevelDepth!$A:$A,0))="○","L5",""))))),"")</f>
        <v>L1</v>
      </c>
      <c r="D10" s="34" t="s">
        <v>32</v>
      </c>
      <c r="E10" s="34" t="s">
        <v>33</v>
      </c>
      <c r="F10" s="34" t="s">
        <v>34</v>
      </c>
      <c r="G10" s="34" t="s">
        <v>35</v>
      </c>
      <c r="H10" s="34"/>
      <c r="I10" s="34"/>
      <c r="J10" s="34"/>
    </row>
    <row r="11" spans="1:10" x14ac:dyDescent="0.35">
      <c r="A11" s="34" t="s">
        <v>36</v>
      </c>
      <c r="B11" s="34" t="s">
        <v>37</v>
      </c>
      <c r="C11" s="35" t="str">
        <f>IFERROR(IF(INDEX(LevelDepth!$C:$C,MATCH($A11,LevelDepth!$A:$A,0))="○","L1",IF(INDEX(LevelDepth!$D:$D,MATCH($A11,LevelDepth!$A:$A,0))="○","L2",IF(INDEX(LevelDepth!$E:$E,MATCH($A11,LevelDepth!$A:$A,0))="○","L3",IF(INDEX(LevelDepth!$F:$F,MATCH($A11,LevelDepth!$A:$A,0))="○","L4",IF(INDEX(LevelDepth!$G:$G,MATCH($A11,LevelDepth!$A:$A,0))="○","L5",""))))),"")</f>
        <v>L2</v>
      </c>
      <c r="D11" s="34" t="s">
        <v>19</v>
      </c>
      <c r="E11" s="34" t="s">
        <v>19</v>
      </c>
      <c r="F11" s="34" t="s">
        <v>24</v>
      </c>
      <c r="G11" s="34"/>
      <c r="H11" s="34"/>
      <c r="I11" s="34"/>
      <c r="J11" s="34"/>
    </row>
    <row r="12" spans="1:10" x14ac:dyDescent="0.35">
      <c r="A12" s="32"/>
      <c r="B12" s="32"/>
      <c r="C12" s="32"/>
      <c r="D12" s="32"/>
      <c r="E12" s="32"/>
      <c r="F12" s="32"/>
      <c r="G12" s="32"/>
      <c r="H12" s="32"/>
      <c r="I12" s="32"/>
      <c r="J12" s="32"/>
    </row>
    <row r="13" spans="1:10" ht="15" customHeight="1" x14ac:dyDescent="0.35">
      <c r="A13" s="32"/>
      <c r="B13" s="32"/>
      <c r="C13" s="32"/>
      <c r="D13" s="32"/>
      <c r="E13" s="32"/>
      <c r="F13" s="32"/>
      <c r="G13" s="32"/>
      <c r="H13" s="32"/>
      <c r="I13" s="32"/>
      <c r="J13" s="32"/>
    </row>
  </sheetData>
  <mergeCells count="1">
    <mergeCell ref="A3:J3"/>
  </mergeCells>
  <phoneticPr fontId="2" type="noConversion"/>
  <dataValidations count="1">
    <dataValidation type="list" allowBlank="1" sqref="D5:D12 D14:D303 D3">
      <formula1>"self,OSS,third-party,self-modified-OSS"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G13"/>
  <sheetViews>
    <sheetView showGridLines="0" zoomScaleNormal="100" workbookViewId="0">
      <pane xSplit="2" ySplit="4" topLeftCell="C5" activePane="bottomRight" state="frozen"/>
      <selection activeCell="A40" sqref="A40"/>
      <selection pane="topRight" activeCell="A40" sqref="A40"/>
      <selection pane="bottomLeft" activeCell="A40" sqref="A40"/>
      <selection pane="bottomRight"/>
    </sheetView>
  </sheetViews>
  <sheetFormatPr defaultColWidth="8.6328125" defaultRowHeight="14.5" x14ac:dyDescent="0.35"/>
  <cols>
    <col min="1" max="2" width="24" customWidth="1"/>
    <col min="3" max="7" width="8" customWidth="1"/>
  </cols>
  <sheetData>
    <row r="3" spans="1:7" ht="28" customHeight="1" x14ac:dyDescent="0.35">
      <c r="A3" s="173" t="s">
        <v>269</v>
      </c>
      <c r="B3" s="173"/>
      <c r="C3" s="173"/>
      <c r="D3" s="173"/>
      <c r="E3" s="173"/>
      <c r="F3" s="173"/>
      <c r="G3" s="173"/>
    </row>
    <row r="4" spans="1:7" x14ac:dyDescent="0.35">
      <c r="A4" s="33" t="s">
        <v>0</v>
      </c>
      <c r="B4" s="33" t="s">
        <v>1</v>
      </c>
      <c r="C4" s="33" t="s">
        <v>38</v>
      </c>
      <c r="D4" s="33" t="s">
        <v>39</v>
      </c>
      <c r="E4" s="33" t="s">
        <v>40</v>
      </c>
      <c r="F4" s="33" t="s">
        <v>41</v>
      </c>
      <c r="G4" s="33" t="s">
        <v>42</v>
      </c>
    </row>
    <row r="5" spans="1:7" x14ac:dyDescent="0.35">
      <c r="A5" s="34" t="s">
        <v>10</v>
      </c>
      <c r="B5" s="35" t="str">
        <f>IFERROR(INDEX(SSoT!$B:$B,MATCH($A5,SSoT!$A:$A,0)),"")</f>
        <v>mbedTLS</v>
      </c>
      <c r="C5" s="36" t="s">
        <v>268</v>
      </c>
      <c r="D5" s="36"/>
      <c r="E5" s="36"/>
      <c r="F5" s="36"/>
      <c r="G5" s="36"/>
    </row>
    <row r="6" spans="1:7" x14ac:dyDescent="0.35">
      <c r="A6" s="34" t="s">
        <v>16</v>
      </c>
      <c r="B6" s="35" t="str">
        <f>IFERROR(INDEX(SSoT!$B:$B,MATCH($A6,SSoT!$A:$A,0)),"")</f>
        <v>mbedTLS Entropy Patch</v>
      </c>
      <c r="C6" s="36"/>
      <c r="D6" s="36" t="s">
        <v>268</v>
      </c>
      <c r="E6" s="36"/>
      <c r="F6" s="36"/>
      <c r="G6" s="36"/>
    </row>
    <row r="7" spans="1:7" x14ac:dyDescent="0.35">
      <c r="A7" s="34" t="s">
        <v>22</v>
      </c>
      <c r="B7" s="35" t="str">
        <f>IFERROR(INDEX(SSoT!$B:$B,MATCH($A7,SSoT!$A:$A,0)),"")</f>
        <v>VCU Application</v>
      </c>
      <c r="C7" s="36" t="s">
        <v>268</v>
      </c>
      <c r="D7" s="36"/>
      <c r="E7" s="36"/>
      <c r="F7" s="36"/>
      <c r="G7" s="36"/>
    </row>
    <row r="8" spans="1:7" x14ac:dyDescent="0.35">
      <c r="A8" s="34" t="s">
        <v>25</v>
      </c>
      <c r="B8" s="35" t="str">
        <f>IFERROR(INDEX(SSoT!$B:$B,MATCH($A8,SSoT!$A:$A,0)),"")</f>
        <v>Torque Control Function</v>
      </c>
      <c r="C8" s="36"/>
      <c r="D8" s="36" t="s">
        <v>268</v>
      </c>
      <c r="E8" s="36"/>
      <c r="F8" s="36"/>
      <c r="G8" s="36"/>
    </row>
    <row r="9" spans="1:7" x14ac:dyDescent="0.35">
      <c r="A9" s="34" t="s">
        <v>28</v>
      </c>
      <c r="B9" s="35" t="str">
        <f>IFERROR(INDEX(SSoT!$B:$B,MATCH($A9,SSoT!$A:$A,0)),"")</f>
        <v>Torque Control Sub-Function</v>
      </c>
      <c r="C9" s="36"/>
      <c r="D9" s="36"/>
      <c r="E9" s="36" t="s">
        <v>268</v>
      </c>
      <c r="F9" s="36"/>
      <c r="G9" s="36"/>
    </row>
    <row r="10" spans="1:7" x14ac:dyDescent="0.35">
      <c r="A10" s="34" t="s">
        <v>30</v>
      </c>
      <c r="B10" s="35" t="str">
        <f>IFERROR(INDEX(SSoT!$B:$B,MATCH($A10,SSoT!$A:$A,0)),"")</f>
        <v>Vector CANstack</v>
      </c>
      <c r="C10" s="36" t="s">
        <v>268</v>
      </c>
      <c r="D10" s="36"/>
      <c r="E10" s="36"/>
      <c r="F10" s="36"/>
      <c r="G10" s="36"/>
    </row>
    <row r="11" spans="1:7" x14ac:dyDescent="0.35">
      <c r="A11" s="34" t="s">
        <v>36</v>
      </c>
      <c r="B11" s="35" t="str">
        <f>IFERROR(INDEX(SSoT!$B:$B,MATCH($A11,SSoT!$A:$A,0)),"")</f>
        <v>Watchdog Hotfix Function</v>
      </c>
      <c r="C11" s="36"/>
      <c r="D11" s="36" t="s">
        <v>268</v>
      </c>
      <c r="E11" s="36"/>
      <c r="F11" s="36"/>
      <c r="G11" s="36"/>
    </row>
    <row r="12" spans="1:7" x14ac:dyDescent="0.35">
      <c r="A12" s="32"/>
      <c r="B12" s="32"/>
      <c r="C12" s="32"/>
      <c r="D12" s="32"/>
      <c r="E12" s="32"/>
      <c r="F12" s="32"/>
      <c r="G12" s="32"/>
    </row>
    <row r="13" spans="1:7" ht="26.9" customHeight="1" x14ac:dyDescent="0.35">
      <c r="A13" s="32"/>
      <c r="B13" s="32"/>
      <c r="C13" s="32"/>
      <c r="D13" s="32"/>
      <c r="E13" s="32"/>
      <c r="F13" s="32"/>
      <c r="G13" s="32"/>
    </row>
  </sheetData>
  <mergeCells count="1">
    <mergeCell ref="A3:G3"/>
  </mergeCells>
  <phoneticPr fontId="2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13"/>
  <sheetViews>
    <sheetView showGridLines="0" zoomScaleNormal="100" workbookViewId="0">
      <pane xSplit="2" ySplit="4" topLeftCell="C5" activePane="bottomRight" state="frozen"/>
      <selection activeCell="I10" sqref="I10"/>
      <selection pane="topRight" activeCell="I10" sqref="I10"/>
      <selection pane="bottomLeft" activeCell="I10" sqref="I10"/>
      <selection pane="bottomRight"/>
    </sheetView>
  </sheetViews>
  <sheetFormatPr defaultColWidth="8.6328125" defaultRowHeight="14.5" x14ac:dyDescent="0.35"/>
  <cols>
    <col min="1" max="2" width="24" customWidth="1"/>
    <col min="3" max="7" width="22" customWidth="1"/>
  </cols>
  <sheetData>
    <row r="3" spans="1:7" x14ac:dyDescent="0.35">
      <c r="A3" s="173" t="s">
        <v>270</v>
      </c>
      <c r="B3" s="173"/>
      <c r="C3" s="173"/>
      <c r="D3" s="173"/>
      <c r="E3" s="173"/>
      <c r="F3" s="173"/>
      <c r="G3" s="173"/>
    </row>
    <row r="4" spans="1:7" x14ac:dyDescent="0.35">
      <c r="A4" s="33" t="s">
        <v>0</v>
      </c>
      <c r="B4" s="33" t="s">
        <v>1</v>
      </c>
      <c r="C4" s="33" t="s">
        <v>38</v>
      </c>
      <c r="D4" s="33" t="s">
        <v>39</v>
      </c>
      <c r="E4" s="33" t="s">
        <v>40</v>
      </c>
      <c r="F4" s="33" t="s">
        <v>41</v>
      </c>
      <c r="G4" s="33" t="s">
        <v>42</v>
      </c>
    </row>
    <row r="5" spans="1:7" x14ac:dyDescent="0.35">
      <c r="A5" s="35" t="str">
        <f>LevelDepth!A5</f>
        <v>SWC_mbedtls</v>
      </c>
      <c r="B5" s="35" t="str">
        <f>LevelDepth!B5</f>
        <v>mbedTLS</v>
      </c>
      <c r="C5" s="35" t="str">
        <f>IF(LevelDepth!C5="○",$B5,"")</f>
        <v>mbedTLS</v>
      </c>
      <c r="D5" s="35" t="str">
        <f>IF(LevelDepth!D5="○",$B5,"")</f>
        <v/>
      </c>
      <c r="E5" s="35" t="str">
        <f>IF(LevelDepth!E5="○",$B5,"")</f>
        <v/>
      </c>
      <c r="F5" s="35" t="str">
        <f>IF(LevelDepth!F5="○",$B5,"")</f>
        <v/>
      </c>
      <c r="G5" s="35" t="str">
        <f>IF(LevelDepth!G5="○",$B5,"")</f>
        <v/>
      </c>
    </row>
    <row r="6" spans="1:7" x14ac:dyDescent="0.35">
      <c r="A6" s="35" t="str">
        <f>LevelDepth!A6</f>
        <v>SWU_mbedtls_entropy_patch</v>
      </c>
      <c r="B6" s="35" t="str">
        <f>LevelDepth!B6</f>
        <v>mbedTLS Entropy Patch</v>
      </c>
      <c r="C6" s="35" t="str">
        <f>IF(LevelDepth!C6="○",$B6,"")</f>
        <v/>
      </c>
      <c r="D6" s="35" t="str">
        <f>IF(LevelDepth!D6="○",$B6,"")</f>
        <v>mbedTLS Entropy Patch</v>
      </c>
      <c r="E6" s="35" t="str">
        <f>IF(LevelDepth!E6="○",$B6,"")</f>
        <v/>
      </c>
      <c r="F6" s="35" t="str">
        <f>IF(LevelDepth!F6="○",$B6,"")</f>
        <v/>
      </c>
      <c r="G6" s="35" t="str">
        <f>IF(LevelDepth!G6="○",$B6,"")</f>
        <v/>
      </c>
    </row>
    <row r="7" spans="1:7" x14ac:dyDescent="0.35">
      <c r="A7" s="35" t="str">
        <f>LevelDepth!A7</f>
        <v>SWC_vcu_app</v>
      </c>
      <c r="B7" s="35" t="str">
        <f>LevelDepth!B7</f>
        <v>VCU Application</v>
      </c>
      <c r="C7" s="35" t="str">
        <f>IF(LevelDepth!C7="○",$B7,"")</f>
        <v>VCU Application</v>
      </c>
      <c r="D7" s="35" t="str">
        <f>IF(LevelDepth!D7="○",$B7,"")</f>
        <v/>
      </c>
      <c r="E7" s="35" t="str">
        <f>IF(LevelDepth!E7="○",$B7,"")</f>
        <v/>
      </c>
      <c r="F7" s="35" t="str">
        <f>IF(LevelDepth!F7="○",$B7,"")</f>
        <v/>
      </c>
      <c r="G7" s="35" t="str">
        <f>IF(LevelDepth!G7="○",$B7,"")</f>
        <v/>
      </c>
    </row>
    <row r="8" spans="1:7" x14ac:dyDescent="0.35">
      <c r="A8" s="35" t="str">
        <f>LevelDepth!A8</f>
        <v>SWU_torque_ctrl</v>
      </c>
      <c r="B8" s="35" t="str">
        <f>LevelDepth!B8</f>
        <v>Torque Control Function</v>
      </c>
      <c r="C8" s="35" t="str">
        <f>IF(LevelDepth!C8="○",$B8,"")</f>
        <v/>
      </c>
      <c r="D8" s="35" t="str">
        <f>IF(LevelDepth!D8="○",$B8,"")</f>
        <v>Torque Control Function</v>
      </c>
      <c r="E8" s="35" t="str">
        <f>IF(LevelDepth!E8="○",$B8,"")</f>
        <v/>
      </c>
      <c r="F8" s="35" t="str">
        <f>IF(LevelDepth!F8="○",$B8,"")</f>
        <v/>
      </c>
      <c r="G8" s="35" t="str">
        <f>IF(LevelDepth!G8="○",$B8,"")</f>
        <v/>
      </c>
    </row>
    <row r="9" spans="1:7" x14ac:dyDescent="0.35">
      <c r="A9" s="35" t="str">
        <f>LevelDepth!A9</f>
        <v>SWU_torque_ctrl_subfunc</v>
      </c>
      <c r="B9" s="35" t="str">
        <f>LevelDepth!B9</f>
        <v>Torque Control Sub-Function</v>
      </c>
      <c r="C9" s="35" t="str">
        <f>IF(LevelDepth!C9="○",$B9,"")</f>
        <v/>
      </c>
      <c r="D9" s="35" t="str">
        <f>IF(LevelDepth!D9="○",$B9,"")</f>
        <v/>
      </c>
      <c r="E9" s="35" t="str">
        <f>IF(LevelDepth!E9="○",$B9,"")</f>
        <v>Torque Control Sub-Function</v>
      </c>
      <c r="F9" s="35" t="str">
        <f>IF(LevelDepth!F9="○",$B9,"")</f>
        <v/>
      </c>
      <c r="G9" s="35" t="str">
        <f>IF(LevelDepth!G9="○",$B9,"")</f>
        <v/>
      </c>
    </row>
    <row r="10" spans="1:7" x14ac:dyDescent="0.35">
      <c r="A10" s="35" t="str">
        <f>LevelDepth!A10</f>
        <v>SWC_can_stack</v>
      </c>
      <c r="B10" s="35" t="str">
        <f>LevelDepth!B10</f>
        <v>Vector CANstack</v>
      </c>
      <c r="C10" s="35" t="str">
        <f>IF(LevelDepth!C10="○",$B10,"")</f>
        <v>Vector CANstack</v>
      </c>
      <c r="D10" s="35" t="str">
        <f>IF(LevelDepth!D10="○",$B10,"")</f>
        <v/>
      </c>
      <c r="E10" s="35" t="str">
        <f>IF(LevelDepth!E10="○",$B10,"")</f>
        <v/>
      </c>
      <c r="F10" s="35" t="str">
        <f>IF(LevelDepth!F10="○",$B10,"")</f>
        <v/>
      </c>
      <c r="G10" s="35" t="str">
        <f>IF(LevelDepth!G10="○",$B10,"")</f>
        <v/>
      </c>
    </row>
    <row r="11" spans="1:7" x14ac:dyDescent="0.35">
      <c r="A11" s="35" t="str">
        <f>LevelDepth!A11</f>
        <v>SWU_watchdog_hotfix</v>
      </c>
      <c r="B11" s="35" t="str">
        <f>LevelDepth!B11</f>
        <v>Watchdog Hotfix Function</v>
      </c>
      <c r="C11" s="35" t="str">
        <f>IF(LevelDepth!C11="○",$B11,"")</f>
        <v/>
      </c>
      <c r="D11" s="35" t="str">
        <f>IF(LevelDepth!D11="○",$B11,"")</f>
        <v>Watchdog Hotfix Function</v>
      </c>
      <c r="E11" s="35" t="str">
        <f>IF(LevelDepth!E11="○",$B11,"")</f>
        <v/>
      </c>
      <c r="F11" s="35" t="str">
        <f>IF(LevelDepth!F11="○",$B11,"")</f>
        <v/>
      </c>
      <c r="G11" s="35" t="str">
        <f>IF(LevelDepth!G11="○",$B11,"")</f>
        <v/>
      </c>
    </row>
    <row r="12" spans="1:7" x14ac:dyDescent="0.35">
      <c r="A12" s="32"/>
      <c r="B12" s="32"/>
      <c r="C12" s="32"/>
      <c r="D12" s="32"/>
      <c r="E12" s="32"/>
      <c r="F12" s="32"/>
      <c r="G12" s="32"/>
    </row>
    <row r="13" spans="1:7" ht="15" customHeight="1" x14ac:dyDescent="0.35">
      <c r="A13" s="32"/>
      <c r="B13" s="32"/>
      <c r="C13" s="32"/>
      <c r="D13" s="32"/>
      <c r="E13" s="32"/>
      <c r="F13" s="32"/>
      <c r="G13" s="32"/>
    </row>
  </sheetData>
  <mergeCells count="1">
    <mergeCell ref="A3:G3"/>
  </mergeCells>
  <phoneticPr fontId="2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H7"/>
  <sheetViews>
    <sheetView showGridLines="0" zoomScaleNormal="100" workbookViewId="0">
      <pane ySplit="4" topLeftCell="A5" activePane="bottomLeft" state="frozen"/>
      <selection activeCell="A40" sqref="A40"/>
      <selection pane="bottomLeft"/>
    </sheetView>
  </sheetViews>
  <sheetFormatPr defaultColWidth="8.6328125" defaultRowHeight="14.5" x14ac:dyDescent="0.35"/>
  <cols>
    <col min="1" max="2" width="24" customWidth="1"/>
    <col min="3" max="3" width="11" customWidth="1"/>
    <col min="4" max="4" width="14" customWidth="1"/>
    <col min="5" max="5" width="20" customWidth="1"/>
    <col min="6" max="6" width="24" customWidth="1"/>
    <col min="7" max="7" width="12" customWidth="1"/>
    <col min="8" max="8" width="30" customWidth="1"/>
  </cols>
  <sheetData>
    <row r="3" spans="1:8" ht="27.5" customHeight="1" x14ac:dyDescent="0.35">
      <c r="A3" s="174" t="s">
        <v>280</v>
      </c>
      <c r="B3" s="174"/>
      <c r="C3" s="174"/>
      <c r="D3" s="174"/>
      <c r="E3" s="174"/>
      <c r="F3" s="174"/>
      <c r="G3" s="174"/>
      <c r="H3" s="174"/>
    </row>
    <row r="4" spans="1:8" x14ac:dyDescent="0.35">
      <c r="A4" s="37" t="s">
        <v>0</v>
      </c>
      <c r="B4" s="37" t="s">
        <v>1</v>
      </c>
      <c r="C4" s="37" t="s">
        <v>2</v>
      </c>
      <c r="D4" s="37" t="s">
        <v>271</v>
      </c>
      <c r="E4" s="37" t="s">
        <v>272</v>
      </c>
      <c r="F4" s="37" t="s">
        <v>273</v>
      </c>
      <c r="G4" s="37" t="s">
        <v>274</v>
      </c>
      <c r="H4" s="37" t="s">
        <v>275</v>
      </c>
    </row>
    <row r="5" spans="1:8" x14ac:dyDescent="0.35">
      <c r="A5" s="34" t="s">
        <v>10</v>
      </c>
      <c r="B5" s="35" t="str">
        <f>IFERROR(INDEX(SSoT!$B:$B,MATCH($A5,SSoT!$A:$A,0)),"")</f>
        <v>mbedTLS</v>
      </c>
      <c r="C5" s="35" t="str">
        <f>IFERROR(INDEX(SSoT!$C:$C,MATCH($A5,SSoT!$A:$A,0)),"")</f>
        <v>L1</v>
      </c>
      <c r="D5" s="34" t="s">
        <v>5</v>
      </c>
      <c r="E5" s="34" t="s">
        <v>276</v>
      </c>
      <c r="F5" s="34" t="s">
        <v>14</v>
      </c>
      <c r="G5" s="34" t="s">
        <v>43</v>
      </c>
      <c r="H5" s="34" t="s">
        <v>277</v>
      </c>
    </row>
    <row r="6" spans="1:8" x14ac:dyDescent="0.35">
      <c r="A6" s="34" t="s">
        <v>10</v>
      </c>
      <c r="B6" s="35" t="str">
        <f>IFERROR(INDEX(SSoT!$B:$B,MATCH($A6,SSoT!$A:$A,0)),"")</f>
        <v>mbedTLS</v>
      </c>
      <c r="C6" s="35" t="str">
        <f>IFERROR(INDEX(SSoT!$C:$C,MATCH($A6,SSoT!$A:$A,0)),"")</f>
        <v>L1</v>
      </c>
      <c r="D6" s="34" t="s">
        <v>8</v>
      </c>
      <c r="E6" s="34"/>
      <c r="F6" s="34" t="s">
        <v>278</v>
      </c>
      <c r="G6" s="34" t="s">
        <v>44</v>
      </c>
      <c r="H6" s="34" t="s">
        <v>279</v>
      </c>
    </row>
    <row r="7" spans="1:8" x14ac:dyDescent="0.35">
      <c r="A7" s="32"/>
      <c r="B7" s="32"/>
      <c r="C7" s="32"/>
      <c r="D7" s="32"/>
      <c r="E7" s="32"/>
      <c r="F7" s="32"/>
      <c r="G7" s="32"/>
      <c r="H7" s="32"/>
    </row>
  </sheetData>
  <mergeCells count="1">
    <mergeCell ref="A3:H3"/>
  </mergeCells>
  <phoneticPr fontId="2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X13"/>
  <sheetViews>
    <sheetView showGridLines="0" zoomScaleNormal="100" workbookViewId="0">
      <pane ySplit="4" topLeftCell="A5" activePane="bottomLeft" state="frozen"/>
      <selection activeCell="A40" sqref="A40"/>
      <selection pane="bottomLeft" activeCell="C32" sqref="C32"/>
    </sheetView>
  </sheetViews>
  <sheetFormatPr defaultColWidth="8.6328125" defaultRowHeight="14.5" x14ac:dyDescent="0.35"/>
  <cols>
    <col min="1" max="1" width="24" style="87" customWidth="1"/>
    <col min="2" max="2" width="12" style="87" customWidth="1"/>
    <col min="3" max="3" width="14" style="87" customWidth="1"/>
    <col min="4" max="4" width="16" style="87" customWidth="1"/>
    <col min="5" max="5" width="20" style="87" customWidth="1"/>
    <col min="6" max="6" width="10" style="87" customWidth="1"/>
    <col min="7" max="7" width="16" style="87" customWidth="1"/>
    <col min="8" max="8" width="16.81640625" style="87" bestFit="1" customWidth="1"/>
    <col min="9" max="9" width="12.36328125" style="87" bestFit="1" customWidth="1"/>
    <col min="10" max="10" width="15.1796875" style="87" bestFit="1" customWidth="1"/>
    <col min="11" max="11" width="14.453125" style="87" bestFit="1" customWidth="1"/>
    <col min="12" max="12" width="47.26953125" style="87" bestFit="1" customWidth="1"/>
    <col min="13" max="13" width="15" style="87" bestFit="1" customWidth="1"/>
    <col min="14" max="14" width="26.6328125" style="87" customWidth="1"/>
    <col min="15" max="15" width="14" style="87" customWidth="1"/>
    <col min="16" max="16" width="16" style="87" customWidth="1"/>
    <col min="17" max="18" width="14" style="87" customWidth="1"/>
    <col min="19" max="19" width="9.90625" style="87" bestFit="1" customWidth="1"/>
    <col min="20" max="20" width="14.6328125" style="87" bestFit="1" customWidth="1"/>
    <col min="21" max="21" width="17.90625" style="87" bestFit="1" customWidth="1"/>
    <col min="22" max="22" width="17" style="87" bestFit="1" customWidth="1"/>
    <col min="23" max="23" width="16.7265625" style="87" bestFit="1" customWidth="1"/>
    <col min="24" max="24" width="23.81640625" bestFit="1" customWidth="1"/>
  </cols>
  <sheetData>
    <row r="1" spans="1:24" ht="15" x14ac:dyDescent="0.35">
      <c r="H1" s="157" t="s">
        <v>1107</v>
      </c>
    </row>
    <row r="3" spans="1:24" x14ac:dyDescent="0.35">
      <c r="A3" s="175" t="s">
        <v>649</v>
      </c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95"/>
      <c r="V3" s="95"/>
      <c r="W3" s="95"/>
      <c r="X3" s="32"/>
    </row>
    <row r="4" spans="1:24" ht="25.5" customHeight="1" x14ac:dyDescent="0.35">
      <c r="A4" s="92" t="s">
        <v>0</v>
      </c>
      <c r="B4" s="92" t="s">
        <v>45</v>
      </c>
      <c r="C4" s="65" t="s">
        <v>645</v>
      </c>
      <c r="D4" s="92" t="s">
        <v>46</v>
      </c>
      <c r="E4" s="92" t="s">
        <v>47</v>
      </c>
      <c r="F4" s="92" t="s">
        <v>48</v>
      </c>
      <c r="G4" s="92" t="s">
        <v>49</v>
      </c>
      <c r="H4" s="92" t="s">
        <v>50</v>
      </c>
      <c r="I4" s="92" t="s">
        <v>51</v>
      </c>
      <c r="J4" s="92" t="s">
        <v>52</v>
      </c>
      <c r="K4" s="92" t="s">
        <v>53</v>
      </c>
      <c r="L4" s="92" t="s">
        <v>54</v>
      </c>
      <c r="M4" s="92" t="s">
        <v>55</v>
      </c>
      <c r="N4" s="92" t="s">
        <v>56</v>
      </c>
      <c r="O4" s="92" t="s">
        <v>57</v>
      </c>
      <c r="P4" s="92" t="s">
        <v>58</v>
      </c>
      <c r="Q4" s="92" t="s">
        <v>59</v>
      </c>
      <c r="R4" s="92" t="s">
        <v>60</v>
      </c>
      <c r="S4" s="92" t="s">
        <v>718</v>
      </c>
      <c r="T4" s="92" t="s">
        <v>62</v>
      </c>
      <c r="U4" s="92" t="s">
        <v>63</v>
      </c>
      <c r="V4" s="65" t="s">
        <v>636</v>
      </c>
      <c r="W4" s="65" t="s">
        <v>517</v>
      </c>
      <c r="X4" s="65" t="s">
        <v>637</v>
      </c>
    </row>
    <row r="5" spans="1:24" ht="14.25" customHeight="1" x14ac:dyDescent="0.35">
      <c r="A5" s="93" t="s">
        <v>10</v>
      </c>
      <c r="B5" s="93" t="s">
        <v>64</v>
      </c>
      <c r="C5" s="64" t="s">
        <v>646</v>
      </c>
      <c r="D5" s="93" t="s">
        <v>281</v>
      </c>
      <c r="E5" s="93" t="s">
        <v>65</v>
      </c>
      <c r="F5" s="93" t="s">
        <v>66</v>
      </c>
      <c r="G5" s="93" t="s">
        <v>67</v>
      </c>
      <c r="H5" s="93" t="s">
        <v>68</v>
      </c>
      <c r="I5" s="93"/>
      <c r="J5" s="93" t="s">
        <v>69</v>
      </c>
      <c r="K5" s="93" t="s">
        <v>282</v>
      </c>
      <c r="L5" s="93"/>
      <c r="M5" s="93"/>
      <c r="N5" s="93" t="s">
        <v>70</v>
      </c>
      <c r="O5" s="93" t="s">
        <v>71</v>
      </c>
      <c r="P5" s="93" t="s">
        <v>72</v>
      </c>
      <c r="Q5" s="93" t="s">
        <v>73</v>
      </c>
      <c r="R5" s="113"/>
      <c r="S5" s="115" t="s">
        <v>283</v>
      </c>
      <c r="T5" s="93" t="s">
        <v>74</v>
      </c>
      <c r="U5" s="93" t="s">
        <v>75</v>
      </c>
      <c r="V5" s="94" t="s">
        <v>638</v>
      </c>
      <c r="W5" s="94" t="s">
        <v>518</v>
      </c>
      <c r="X5" s="94">
        <v>0</v>
      </c>
    </row>
    <row r="6" spans="1:24" ht="14.25" customHeight="1" x14ac:dyDescent="0.35">
      <c r="A6" s="93" t="s">
        <v>16</v>
      </c>
      <c r="B6" s="93" t="s">
        <v>64</v>
      </c>
      <c r="C6" s="64" t="s">
        <v>646</v>
      </c>
      <c r="D6" s="93" t="s">
        <v>281</v>
      </c>
      <c r="E6" s="93" t="s">
        <v>65</v>
      </c>
      <c r="F6" s="93" t="s">
        <v>66</v>
      </c>
      <c r="G6" s="93" t="s">
        <v>76</v>
      </c>
      <c r="H6" s="93" t="s">
        <v>77</v>
      </c>
      <c r="I6" s="93" t="s">
        <v>78</v>
      </c>
      <c r="J6" s="93" t="s">
        <v>79</v>
      </c>
      <c r="K6" s="93" t="s">
        <v>282</v>
      </c>
      <c r="L6" s="93"/>
      <c r="M6" s="93"/>
      <c r="N6" s="93" t="s">
        <v>80</v>
      </c>
      <c r="O6" s="93" t="s">
        <v>81</v>
      </c>
      <c r="P6" s="93" t="s">
        <v>72</v>
      </c>
      <c r="Q6" s="93" t="s">
        <v>82</v>
      </c>
      <c r="R6" s="113" t="s">
        <v>83</v>
      </c>
      <c r="S6" s="115" t="s">
        <v>284</v>
      </c>
      <c r="T6" s="93" t="s">
        <v>74</v>
      </c>
      <c r="U6" s="93" t="s">
        <v>75</v>
      </c>
      <c r="V6" s="114"/>
      <c r="W6" s="94"/>
      <c r="X6" s="94">
        <v>0</v>
      </c>
    </row>
    <row r="7" spans="1:24" ht="14.25" customHeight="1" x14ac:dyDescent="0.35">
      <c r="A7" s="93" t="s">
        <v>22</v>
      </c>
      <c r="B7" s="93" t="s">
        <v>84</v>
      </c>
      <c r="C7" s="64" t="s">
        <v>647</v>
      </c>
      <c r="D7" s="93" t="s">
        <v>281</v>
      </c>
      <c r="E7" s="93" t="s">
        <v>85</v>
      </c>
      <c r="F7" s="93" t="s">
        <v>66</v>
      </c>
      <c r="G7" s="93" t="s">
        <v>86</v>
      </c>
      <c r="H7" s="93" t="s">
        <v>87</v>
      </c>
      <c r="I7" s="93"/>
      <c r="J7" s="93" t="s">
        <v>88</v>
      </c>
      <c r="K7" s="93" t="s">
        <v>282</v>
      </c>
      <c r="L7" s="93"/>
      <c r="M7" s="93"/>
      <c r="N7" s="93" t="s">
        <v>89</v>
      </c>
      <c r="O7" s="93" t="s">
        <v>81</v>
      </c>
      <c r="P7" s="93" t="s">
        <v>72</v>
      </c>
      <c r="Q7" s="93" t="s">
        <v>73</v>
      </c>
      <c r="R7" s="93"/>
      <c r="S7" s="93"/>
      <c r="T7" s="93"/>
      <c r="U7" s="93"/>
      <c r="V7" s="114"/>
      <c r="W7" s="94"/>
      <c r="X7" s="94">
        <v>0</v>
      </c>
    </row>
    <row r="8" spans="1:24" ht="14.25" customHeight="1" x14ac:dyDescent="0.35">
      <c r="A8" s="93" t="s">
        <v>25</v>
      </c>
      <c r="B8" s="93" t="s">
        <v>84</v>
      </c>
      <c r="C8" s="64" t="s">
        <v>647</v>
      </c>
      <c r="D8" s="93" t="s">
        <v>281</v>
      </c>
      <c r="E8" s="93" t="s">
        <v>85</v>
      </c>
      <c r="F8" s="93" t="s">
        <v>66</v>
      </c>
      <c r="G8" s="93" t="s">
        <v>90</v>
      </c>
      <c r="H8" s="93" t="s">
        <v>91</v>
      </c>
      <c r="I8" s="93" t="s">
        <v>92</v>
      </c>
      <c r="J8" s="93" t="s">
        <v>93</v>
      </c>
      <c r="K8" s="93" t="s">
        <v>282</v>
      </c>
      <c r="L8" s="93"/>
      <c r="M8" s="93"/>
      <c r="N8" s="93" t="s">
        <v>94</v>
      </c>
      <c r="O8" s="93" t="s">
        <v>81</v>
      </c>
      <c r="P8" s="93" t="s">
        <v>72</v>
      </c>
      <c r="Q8" s="93" t="s">
        <v>82</v>
      </c>
      <c r="R8" s="93" t="s">
        <v>95</v>
      </c>
      <c r="S8" s="93" t="s">
        <v>285</v>
      </c>
      <c r="T8" s="93"/>
      <c r="U8" s="93"/>
      <c r="V8" s="94" t="s">
        <v>639</v>
      </c>
      <c r="W8" s="94" t="s">
        <v>520</v>
      </c>
      <c r="X8" s="114">
        <v>0</v>
      </c>
    </row>
    <row r="9" spans="1:24" ht="14.25" customHeight="1" x14ac:dyDescent="0.35">
      <c r="A9" s="93" t="s">
        <v>30</v>
      </c>
      <c r="B9" s="93" t="s">
        <v>84</v>
      </c>
      <c r="C9" s="64" t="s">
        <v>647</v>
      </c>
      <c r="D9" s="93" t="s">
        <v>281</v>
      </c>
      <c r="E9" s="93" t="s">
        <v>85</v>
      </c>
      <c r="F9" s="93" t="s">
        <v>66</v>
      </c>
      <c r="G9" s="93" t="s">
        <v>96</v>
      </c>
      <c r="H9" s="93"/>
      <c r="I9" s="93"/>
      <c r="J9" s="93"/>
      <c r="K9" s="93"/>
      <c r="L9" s="93"/>
      <c r="M9" s="93"/>
      <c r="N9" s="93" t="s">
        <v>97</v>
      </c>
      <c r="O9" s="93" t="s">
        <v>71</v>
      </c>
      <c r="P9" s="93" t="s">
        <v>72</v>
      </c>
      <c r="Q9" s="93" t="s">
        <v>73</v>
      </c>
      <c r="R9" s="93"/>
      <c r="S9" s="93"/>
      <c r="T9" s="93"/>
      <c r="U9" s="93"/>
      <c r="V9" s="94"/>
      <c r="W9" s="94"/>
      <c r="X9" s="94">
        <v>0</v>
      </c>
    </row>
    <row r="10" spans="1:24" ht="15" customHeight="1" x14ac:dyDescent="0.35">
      <c r="A10" s="93" t="s">
        <v>36</v>
      </c>
      <c r="B10" s="93" t="s">
        <v>84</v>
      </c>
      <c r="C10" s="64" t="s">
        <v>647</v>
      </c>
      <c r="D10" s="93" t="s">
        <v>281</v>
      </c>
      <c r="E10" s="93" t="s">
        <v>98</v>
      </c>
      <c r="F10" s="93" t="s">
        <v>99</v>
      </c>
      <c r="G10" s="93" t="s">
        <v>100</v>
      </c>
      <c r="H10" s="93" t="s">
        <v>101</v>
      </c>
      <c r="I10" s="93"/>
      <c r="J10" s="93"/>
      <c r="K10" s="93" t="s">
        <v>286</v>
      </c>
      <c r="L10" s="93" t="s">
        <v>287</v>
      </c>
      <c r="M10" s="93" t="s">
        <v>102</v>
      </c>
      <c r="N10" s="93" t="s">
        <v>103</v>
      </c>
      <c r="O10" s="93" t="s">
        <v>81</v>
      </c>
      <c r="P10" s="93" t="s">
        <v>104</v>
      </c>
      <c r="Q10" s="93" t="s">
        <v>82</v>
      </c>
      <c r="R10" s="113"/>
      <c r="S10" s="115" t="s">
        <v>283</v>
      </c>
      <c r="T10" s="93" t="s">
        <v>104</v>
      </c>
      <c r="U10" s="93"/>
      <c r="V10" s="94"/>
      <c r="W10" s="94"/>
      <c r="X10" s="114">
        <v>1</v>
      </c>
    </row>
    <row r="11" spans="1:24" ht="14.25" customHeight="1" x14ac:dyDescent="0.35">
      <c r="A11" s="93" t="s">
        <v>10</v>
      </c>
      <c r="B11" s="93" t="s">
        <v>105</v>
      </c>
      <c r="C11" s="64" t="s">
        <v>648</v>
      </c>
      <c r="D11" s="93" t="s">
        <v>106</v>
      </c>
      <c r="E11" s="93" t="s">
        <v>288</v>
      </c>
      <c r="F11" s="93" t="s">
        <v>99</v>
      </c>
      <c r="G11" s="93" t="s">
        <v>107</v>
      </c>
      <c r="H11" s="93" t="s">
        <v>108</v>
      </c>
      <c r="I11" s="93"/>
      <c r="J11" s="93"/>
      <c r="K11" s="93"/>
      <c r="L11" s="93"/>
      <c r="M11" s="93"/>
      <c r="N11" s="93" t="s">
        <v>109</v>
      </c>
      <c r="O11" s="93" t="s">
        <v>81</v>
      </c>
      <c r="P11" s="93" t="s">
        <v>110</v>
      </c>
      <c r="Q11" s="93" t="s">
        <v>73</v>
      </c>
      <c r="R11" s="113"/>
      <c r="S11" s="115" t="s">
        <v>289</v>
      </c>
      <c r="T11" s="93"/>
      <c r="U11" s="93"/>
      <c r="V11" s="94"/>
      <c r="W11" s="94"/>
      <c r="X11" s="94">
        <v>0</v>
      </c>
    </row>
    <row r="12" spans="1:24" ht="14.25" customHeight="1" x14ac:dyDescent="0.35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32"/>
    </row>
    <row r="13" spans="1:24" ht="15" customHeight="1" x14ac:dyDescent="0.35">
      <c r="A13" s="95"/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32"/>
    </row>
  </sheetData>
  <mergeCells count="1">
    <mergeCell ref="A3:T3"/>
  </mergeCells>
  <phoneticPr fontId="2" type="noConversion"/>
  <dataValidations count="6">
    <dataValidation type="list" allowBlank="1" sqref="C5:C12 C14:C303 C3">
      <formula1>"R&amp;D,생산"</formula1>
      <formula2>0</formula2>
    </dataValidation>
    <dataValidation type="list" allowBlank="1" sqref="E5:E12 E14:E303 E3">
      <formula1>"formally_baselined,pending_retro_approval"</formula1>
      <formula2>0</formula2>
    </dataValidation>
    <dataValidation type="list" allowBlank="1" sqref="J5:J12 J14:J303 J3">
      <formula1>"반영완료,미반영,부분반영"</formula1>
      <formula2>0</formula2>
    </dataValidation>
    <dataValidation type="list" allowBlank="1" sqref="N5:N12 N14:N303 N3">
      <formula1>"declared,sca_detected,both"</formula1>
      <formula2>0</formula2>
    </dataValidation>
    <dataValidation type="list" allowBlank="1" sqref="P5:P12 P14:P303 P3">
      <formula1>"TRUE,FALSE"</formula1>
      <formula2>0</formula2>
    </dataValidation>
    <dataValidation type="list" allowBlank="1" sqref="R5:R12 R14:R303 R3">
      <formula1>"미조치,조치중,조치완료,검증완료"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13"/>
  <sheetViews>
    <sheetView showGridLines="0" zoomScaleNormal="100" workbookViewId="0">
      <pane ySplit="4" topLeftCell="A5" activePane="bottomLeft" state="frozen"/>
      <selection activeCell="A40" sqref="A40"/>
      <selection pane="bottomLeft" activeCell="E21" sqref="E21"/>
    </sheetView>
  </sheetViews>
  <sheetFormatPr defaultColWidth="8.6328125" defaultRowHeight="14.5" x14ac:dyDescent="0.35"/>
  <cols>
    <col min="1" max="1" width="24" style="87" customWidth="1"/>
    <col min="2" max="2" width="12" style="87" customWidth="1"/>
    <col min="3" max="3" width="14" style="87" customWidth="1"/>
    <col min="4" max="4" width="16" style="87" customWidth="1"/>
    <col min="5" max="5" width="20" style="87" customWidth="1"/>
    <col min="6" max="6" width="10" style="87" customWidth="1"/>
    <col min="7" max="7" width="16" style="87" customWidth="1"/>
    <col min="8" max="8" width="16.81640625" style="87" bestFit="1" customWidth="1"/>
    <col min="9" max="9" width="12.36328125" style="87" bestFit="1" customWidth="1"/>
    <col min="10" max="10" width="15.1796875" style="87" bestFit="1" customWidth="1"/>
    <col min="11" max="11" width="14.453125" style="87" bestFit="1" customWidth="1"/>
    <col min="12" max="12" width="47.26953125" style="87" bestFit="1" customWidth="1"/>
    <col min="13" max="13" width="15" style="87" bestFit="1" customWidth="1"/>
    <col min="14" max="14" width="26.6328125" style="87" customWidth="1"/>
    <col min="15" max="15" width="14" style="87" customWidth="1"/>
    <col min="16" max="16" width="16" style="87" customWidth="1"/>
    <col min="17" max="18" width="14" style="87" customWidth="1"/>
    <col min="19" max="19" width="9.90625" style="87" bestFit="1" customWidth="1"/>
    <col min="20" max="20" width="14.6328125" style="87" bestFit="1" customWidth="1"/>
    <col min="21" max="21" width="17.90625" style="87" bestFit="1" customWidth="1"/>
    <col min="22" max="22" width="17" style="87" bestFit="1" customWidth="1"/>
    <col min="23" max="23" width="16.7265625" style="87" bestFit="1" customWidth="1"/>
    <col min="24" max="24" width="23.81640625" bestFit="1" customWidth="1"/>
  </cols>
  <sheetData>
    <row r="1" spans="1:24" ht="15" x14ac:dyDescent="0.35">
      <c r="H1" s="157" t="s">
        <v>1107</v>
      </c>
    </row>
    <row r="3" spans="1:24" x14ac:dyDescent="0.35">
      <c r="A3" s="175" t="s">
        <v>649</v>
      </c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95"/>
      <c r="V3" s="95"/>
      <c r="W3" s="95"/>
      <c r="X3" s="32"/>
    </row>
    <row r="4" spans="1:24" ht="25.5" customHeight="1" x14ac:dyDescent="0.35">
      <c r="A4" s="92" t="s">
        <v>0</v>
      </c>
      <c r="B4" s="92" t="s">
        <v>45</v>
      </c>
      <c r="C4" s="65" t="s">
        <v>645</v>
      </c>
      <c r="D4" s="92" t="s">
        <v>46</v>
      </c>
      <c r="E4" s="92" t="s">
        <v>47</v>
      </c>
      <c r="F4" s="92" t="s">
        <v>48</v>
      </c>
      <c r="G4" s="92" t="s">
        <v>49</v>
      </c>
      <c r="H4" s="92" t="s">
        <v>50</v>
      </c>
      <c r="I4" s="92" t="s">
        <v>51</v>
      </c>
      <c r="J4" s="92" t="s">
        <v>52</v>
      </c>
      <c r="K4" s="92" t="s">
        <v>53</v>
      </c>
      <c r="L4" s="92" t="s">
        <v>54</v>
      </c>
      <c r="M4" s="92" t="s">
        <v>55</v>
      </c>
      <c r="N4" s="92" t="s">
        <v>56</v>
      </c>
      <c r="O4" s="92" t="s">
        <v>57</v>
      </c>
      <c r="P4" s="92" t="s">
        <v>58</v>
      </c>
      <c r="Q4" s="92" t="s">
        <v>59</v>
      </c>
      <c r="R4" s="92" t="s">
        <v>60</v>
      </c>
      <c r="S4" s="92" t="s">
        <v>718</v>
      </c>
      <c r="T4" s="92" t="s">
        <v>62</v>
      </c>
      <c r="U4" s="92" t="s">
        <v>63</v>
      </c>
      <c r="V4" s="65" t="s">
        <v>636</v>
      </c>
      <c r="W4" s="65" t="s">
        <v>517</v>
      </c>
      <c r="X4" s="65" t="s">
        <v>637</v>
      </c>
    </row>
    <row r="5" spans="1:24" ht="14.25" customHeight="1" x14ac:dyDescent="0.35">
      <c r="A5" s="93" t="s">
        <v>10</v>
      </c>
      <c r="B5" s="93" t="s">
        <v>64</v>
      </c>
      <c r="C5" s="64" t="s">
        <v>646</v>
      </c>
      <c r="D5" s="93" t="s">
        <v>281</v>
      </c>
      <c r="E5" s="93" t="s">
        <v>65</v>
      </c>
      <c r="F5" s="93" t="s">
        <v>66</v>
      </c>
      <c r="G5" s="93" t="s">
        <v>67</v>
      </c>
      <c r="H5" s="93" t="s">
        <v>68</v>
      </c>
      <c r="I5" s="93"/>
      <c r="J5" s="93" t="s">
        <v>69</v>
      </c>
      <c r="K5" s="93" t="s">
        <v>282</v>
      </c>
      <c r="L5" s="93"/>
      <c r="M5" s="93"/>
      <c r="N5" s="93" t="s">
        <v>70</v>
      </c>
      <c r="O5" s="93" t="s">
        <v>71</v>
      </c>
      <c r="P5" s="93" t="s">
        <v>72</v>
      </c>
      <c r="Q5" s="93" t="s">
        <v>73</v>
      </c>
      <c r="R5" s="113"/>
      <c r="S5" s="115" t="s">
        <v>283</v>
      </c>
      <c r="T5" s="93" t="s">
        <v>74</v>
      </c>
      <c r="U5" s="93" t="s">
        <v>75</v>
      </c>
      <c r="V5" s="94" t="s">
        <v>638</v>
      </c>
      <c r="W5" s="94" t="s">
        <v>518</v>
      </c>
      <c r="X5" s="94">
        <v>0</v>
      </c>
    </row>
    <row r="6" spans="1:24" ht="14.25" customHeight="1" x14ac:dyDescent="0.35">
      <c r="A6" s="93" t="s">
        <v>16</v>
      </c>
      <c r="B6" s="93" t="s">
        <v>1108</v>
      </c>
      <c r="C6" s="64" t="s">
        <v>646</v>
      </c>
      <c r="D6" s="93" t="s">
        <v>281</v>
      </c>
      <c r="E6" s="93" t="s">
        <v>65</v>
      </c>
      <c r="F6" s="93" t="s">
        <v>66</v>
      </c>
      <c r="G6" s="93" t="s">
        <v>76</v>
      </c>
      <c r="H6" s="93" t="s">
        <v>77</v>
      </c>
      <c r="I6" s="93" t="s">
        <v>78</v>
      </c>
      <c r="J6" s="93" t="s">
        <v>79</v>
      </c>
      <c r="K6" s="93" t="s">
        <v>282</v>
      </c>
      <c r="L6" s="93"/>
      <c r="M6" s="93"/>
      <c r="N6" s="93" t="s">
        <v>80</v>
      </c>
      <c r="O6" s="93" t="s">
        <v>81</v>
      </c>
      <c r="P6" s="93" t="s">
        <v>72</v>
      </c>
      <c r="Q6" s="93" t="s">
        <v>82</v>
      </c>
      <c r="R6" s="113" t="s">
        <v>83</v>
      </c>
      <c r="S6" s="115" t="s">
        <v>284</v>
      </c>
      <c r="T6" s="93" t="s">
        <v>74</v>
      </c>
      <c r="U6" s="93" t="s">
        <v>75</v>
      </c>
      <c r="V6" s="114"/>
      <c r="W6" s="94"/>
      <c r="X6" s="94">
        <v>0</v>
      </c>
    </row>
    <row r="7" spans="1:24" ht="14.25" customHeight="1" x14ac:dyDescent="0.35">
      <c r="A7" s="93" t="s">
        <v>22</v>
      </c>
      <c r="B7" s="93" t="s">
        <v>84</v>
      </c>
      <c r="C7" s="64" t="s">
        <v>647</v>
      </c>
      <c r="D7" s="93" t="s">
        <v>281</v>
      </c>
      <c r="E7" s="93" t="s">
        <v>85</v>
      </c>
      <c r="F7" s="93" t="s">
        <v>66</v>
      </c>
      <c r="G7" s="93" t="s">
        <v>86</v>
      </c>
      <c r="H7" s="93" t="s">
        <v>87</v>
      </c>
      <c r="I7" s="93"/>
      <c r="J7" s="93" t="s">
        <v>88</v>
      </c>
      <c r="K7" s="93" t="s">
        <v>282</v>
      </c>
      <c r="L7" s="93"/>
      <c r="M7" s="93"/>
      <c r="N7" s="93" t="s">
        <v>89</v>
      </c>
      <c r="O7" s="93" t="s">
        <v>81</v>
      </c>
      <c r="P7" s="93" t="s">
        <v>72</v>
      </c>
      <c r="Q7" s="93" t="s">
        <v>73</v>
      </c>
      <c r="R7" s="93"/>
      <c r="S7" s="93"/>
      <c r="T7" s="93"/>
      <c r="U7" s="93"/>
      <c r="V7" s="114"/>
      <c r="W7" s="94"/>
      <c r="X7" s="94">
        <v>0</v>
      </c>
    </row>
    <row r="8" spans="1:24" ht="14.25" customHeight="1" x14ac:dyDescent="0.35">
      <c r="A8" s="93" t="s">
        <v>25</v>
      </c>
      <c r="B8" s="93" t="s">
        <v>84</v>
      </c>
      <c r="C8" s="64" t="s">
        <v>647</v>
      </c>
      <c r="D8" s="93" t="s">
        <v>281</v>
      </c>
      <c r="E8" s="93" t="s">
        <v>85</v>
      </c>
      <c r="F8" s="93" t="s">
        <v>66</v>
      </c>
      <c r="G8" s="93" t="s">
        <v>90</v>
      </c>
      <c r="H8" s="93" t="s">
        <v>91</v>
      </c>
      <c r="I8" s="93" t="s">
        <v>92</v>
      </c>
      <c r="J8" s="93" t="s">
        <v>93</v>
      </c>
      <c r="K8" s="93" t="s">
        <v>282</v>
      </c>
      <c r="L8" s="93"/>
      <c r="M8" s="93"/>
      <c r="N8" s="93" t="s">
        <v>94</v>
      </c>
      <c r="O8" s="93" t="s">
        <v>81</v>
      </c>
      <c r="P8" s="93" t="s">
        <v>72</v>
      </c>
      <c r="Q8" s="93" t="s">
        <v>82</v>
      </c>
      <c r="R8" s="93" t="s">
        <v>95</v>
      </c>
      <c r="S8" s="93" t="s">
        <v>285</v>
      </c>
      <c r="T8" s="93"/>
      <c r="U8" s="93"/>
      <c r="V8" s="94" t="s">
        <v>639</v>
      </c>
      <c r="W8" s="94" t="s">
        <v>520</v>
      </c>
      <c r="X8" s="114">
        <v>0</v>
      </c>
    </row>
    <row r="9" spans="1:24" ht="14.25" customHeight="1" x14ac:dyDescent="0.35">
      <c r="A9" s="93" t="s">
        <v>30</v>
      </c>
      <c r="B9" s="93" t="s">
        <v>84</v>
      </c>
      <c r="C9" s="64" t="s">
        <v>647</v>
      </c>
      <c r="D9" s="93" t="s">
        <v>281</v>
      </c>
      <c r="E9" s="93" t="s">
        <v>85</v>
      </c>
      <c r="F9" s="93" t="s">
        <v>66</v>
      </c>
      <c r="G9" s="93" t="s">
        <v>96</v>
      </c>
      <c r="H9" s="93"/>
      <c r="I9" s="93"/>
      <c r="J9" s="93"/>
      <c r="K9" s="93"/>
      <c r="L9" s="93"/>
      <c r="M9" s="93"/>
      <c r="N9" s="93" t="s">
        <v>97</v>
      </c>
      <c r="O9" s="93" t="s">
        <v>71</v>
      </c>
      <c r="P9" s="93" t="s">
        <v>72</v>
      </c>
      <c r="Q9" s="93" t="s">
        <v>73</v>
      </c>
      <c r="R9" s="93"/>
      <c r="S9" s="93"/>
      <c r="T9" s="93"/>
      <c r="U9" s="93"/>
      <c r="V9" s="94"/>
      <c r="W9" s="94"/>
      <c r="X9" s="94">
        <v>0</v>
      </c>
    </row>
    <row r="10" spans="1:24" ht="15" customHeight="1" x14ac:dyDescent="0.35">
      <c r="A10" s="93" t="s">
        <v>36</v>
      </c>
      <c r="B10" s="93" t="s">
        <v>84</v>
      </c>
      <c r="C10" s="64" t="s">
        <v>647</v>
      </c>
      <c r="D10" s="93" t="s">
        <v>281</v>
      </c>
      <c r="E10" s="93" t="s">
        <v>98</v>
      </c>
      <c r="F10" s="93" t="s">
        <v>99</v>
      </c>
      <c r="G10" s="93" t="s">
        <v>100</v>
      </c>
      <c r="H10" s="93" t="s">
        <v>101</v>
      </c>
      <c r="I10" s="93"/>
      <c r="J10" s="93"/>
      <c r="K10" s="93" t="s">
        <v>286</v>
      </c>
      <c r="L10" s="93" t="s">
        <v>287</v>
      </c>
      <c r="M10" s="93" t="s">
        <v>102</v>
      </c>
      <c r="N10" s="93" t="s">
        <v>103</v>
      </c>
      <c r="O10" s="93" t="s">
        <v>81</v>
      </c>
      <c r="P10" s="93" t="s">
        <v>104</v>
      </c>
      <c r="Q10" s="93" t="s">
        <v>82</v>
      </c>
      <c r="R10" s="113"/>
      <c r="S10" s="115" t="s">
        <v>283</v>
      </c>
      <c r="T10" s="93" t="s">
        <v>104</v>
      </c>
      <c r="U10" s="93"/>
      <c r="V10" s="94"/>
      <c r="W10" s="94"/>
      <c r="X10" s="114">
        <v>1</v>
      </c>
    </row>
    <row r="11" spans="1:24" ht="14.25" customHeight="1" x14ac:dyDescent="0.35">
      <c r="A11" s="93" t="s">
        <v>10</v>
      </c>
      <c r="B11" s="93" t="s">
        <v>105</v>
      </c>
      <c r="C11" s="64" t="s">
        <v>648</v>
      </c>
      <c r="D11" s="93" t="s">
        <v>106</v>
      </c>
      <c r="E11" s="93" t="s">
        <v>288</v>
      </c>
      <c r="F11" s="93" t="s">
        <v>99</v>
      </c>
      <c r="G11" s="93" t="s">
        <v>107</v>
      </c>
      <c r="H11" s="93" t="s">
        <v>108</v>
      </c>
      <c r="I11" s="93"/>
      <c r="J11" s="93"/>
      <c r="K11" s="93"/>
      <c r="L11" s="93"/>
      <c r="M11" s="93"/>
      <c r="N11" s="93" t="s">
        <v>109</v>
      </c>
      <c r="O11" s="93" t="s">
        <v>81</v>
      </c>
      <c r="P11" s="93" t="s">
        <v>110</v>
      </c>
      <c r="Q11" s="93" t="s">
        <v>73</v>
      </c>
      <c r="R11" s="113"/>
      <c r="S11" s="115" t="s">
        <v>289</v>
      </c>
      <c r="T11" s="93"/>
      <c r="U11" s="93"/>
      <c r="V11" s="94"/>
      <c r="W11" s="94"/>
      <c r="X11" s="94">
        <v>0</v>
      </c>
    </row>
    <row r="12" spans="1:24" ht="14.25" customHeight="1" x14ac:dyDescent="0.35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32"/>
    </row>
    <row r="13" spans="1:24" ht="15" customHeight="1" x14ac:dyDescent="0.35">
      <c r="A13" s="95"/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32"/>
    </row>
  </sheetData>
  <mergeCells count="1">
    <mergeCell ref="A3:T3"/>
  </mergeCells>
  <phoneticPr fontId="2" type="noConversion"/>
  <dataValidations count="6">
    <dataValidation type="list" allowBlank="1" sqref="R5:R12 R14:R303 R3">
      <formula1>"미조치,조치중,조치완료,검증완료"</formula1>
      <formula2>0</formula2>
    </dataValidation>
    <dataValidation type="list" allowBlank="1" sqref="P5:P12 P14:P303 P3">
      <formula1>"TRUE,FALSE"</formula1>
      <formula2>0</formula2>
    </dataValidation>
    <dataValidation type="list" allowBlank="1" sqref="N5:N12 N14:N303 N3">
      <formula1>"declared,sca_detected,both"</formula1>
      <formula2>0</formula2>
    </dataValidation>
    <dataValidation type="list" allowBlank="1" sqref="J5:J12 J14:J303 J3">
      <formula1>"반영완료,미반영,부분반영"</formula1>
      <formula2>0</formula2>
    </dataValidation>
    <dataValidation type="list" allowBlank="1" sqref="E5:E12 E14:E303 E3">
      <formula1>"formally_baselined,pending_retro_approval"</formula1>
      <formula2>0</formula2>
    </dataValidation>
    <dataValidation type="list" allowBlank="1" sqref="C5:C12 C14:C303 C3">
      <formula1>"R&amp;D,생산"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F13"/>
  <sheetViews>
    <sheetView showGridLines="0" zoomScaleNormal="100" workbookViewId="0">
      <pane xSplit="3" ySplit="4" topLeftCell="D5" activePane="bottomRight" state="frozen"/>
      <selection activeCell="I10" sqref="I10"/>
      <selection pane="topRight" activeCell="I10" sqref="I10"/>
      <selection pane="bottomLeft" activeCell="I10" sqref="I10"/>
      <selection pane="bottomRight"/>
    </sheetView>
  </sheetViews>
  <sheetFormatPr defaultColWidth="8.6328125" defaultRowHeight="14.5" x14ac:dyDescent="0.35"/>
  <cols>
    <col min="1" max="2" width="24" customWidth="1"/>
    <col min="3" max="3" width="11" customWidth="1"/>
    <col min="4" max="6" width="10" customWidth="1"/>
  </cols>
  <sheetData>
    <row r="3" spans="1:6" ht="30" customHeight="1" x14ac:dyDescent="0.35">
      <c r="A3" s="174" t="s">
        <v>290</v>
      </c>
      <c r="B3" s="174"/>
      <c r="C3" s="174"/>
      <c r="D3" s="174"/>
      <c r="E3" s="174"/>
      <c r="F3" s="174"/>
    </row>
    <row r="4" spans="1:6" x14ac:dyDescent="0.35">
      <c r="A4" s="39" t="s">
        <v>0</v>
      </c>
      <c r="B4" s="39" t="s">
        <v>1</v>
      </c>
      <c r="C4" s="39" t="s">
        <v>2</v>
      </c>
      <c r="D4" s="39" t="s">
        <v>64</v>
      </c>
      <c r="E4" s="39" t="s">
        <v>84</v>
      </c>
      <c r="F4" s="39" t="s">
        <v>105</v>
      </c>
    </row>
    <row r="5" spans="1:6" x14ac:dyDescent="0.35">
      <c r="A5" s="35" t="s">
        <v>10</v>
      </c>
      <c r="B5" s="35" t="str">
        <f>IFERROR(INDEX(SSoT!$B:$B,MATCH($A5,SSoT!$A:$A,0)),"")</f>
        <v>mbedTLS</v>
      </c>
      <c r="C5" s="35" t="str">
        <f>IFERROR(INDEX(SSoT!$C:$C,MATCH($A5,SSoT!$A:$A,0)),"")</f>
        <v>L1</v>
      </c>
      <c r="D5" s="40" t="str">
        <f>IF(COUNTIFS(인스턴스_통합!$A:$A,$A5,인스턴스_통합!$B:$B,D$4)&gt;0,"○","×")</f>
        <v>○</v>
      </c>
      <c r="E5" s="40" t="str">
        <f>IF(COUNTIFS(인스턴스_통합!$A:$A,$A5,인스턴스_통합!$B:$B,E$4)&gt;0,"○","×")</f>
        <v>×</v>
      </c>
      <c r="F5" s="40" t="str">
        <f>IF(COUNTIFS(인스턴스_통합!$A:$A,$A5,인스턴스_통합!$B:$B,F$4)&gt;0,"○","×")</f>
        <v>○</v>
      </c>
    </row>
    <row r="6" spans="1:6" x14ac:dyDescent="0.35">
      <c r="A6" s="35" t="s">
        <v>16</v>
      </c>
      <c r="B6" s="35" t="str">
        <f>IFERROR(INDEX(SSoT!$B:$B,MATCH($A6,SSoT!$A:$A,0)),"")</f>
        <v>mbedTLS Entropy Patch</v>
      </c>
      <c r="C6" s="35" t="str">
        <f>IFERROR(INDEX(SSoT!$C:$C,MATCH($A6,SSoT!$A:$A,0)),"")</f>
        <v>L2</v>
      </c>
      <c r="D6" s="40" t="str">
        <f>IF(COUNTIFS(인스턴스_통합!$A:$A,$A6,인스턴스_통합!$B:$B,D$4)&gt;0,"○","×")</f>
        <v>○</v>
      </c>
      <c r="E6" s="40" t="str">
        <f>IF(COUNTIFS(인스턴스_통합!$A:$A,$A6,인스턴스_통합!$B:$B,E$4)&gt;0,"○","×")</f>
        <v>×</v>
      </c>
      <c r="F6" s="40" t="str">
        <f>IF(COUNTIFS(인스턴스_통합!$A:$A,$A6,인스턴스_통합!$B:$B,F$4)&gt;0,"○","×")</f>
        <v>×</v>
      </c>
    </row>
    <row r="7" spans="1:6" x14ac:dyDescent="0.35">
      <c r="A7" s="35" t="s">
        <v>22</v>
      </c>
      <c r="B7" s="35" t="str">
        <f>IFERROR(INDEX(SSoT!$B:$B,MATCH($A7,SSoT!$A:$A,0)),"")</f>
        <v>VCU Application</v>
      </c>
      <c r="C7" s="35" t="str">
        <f>IFERROR(INDEX(SSoT!$C:$C,MATCH($A7,SSoT!$A:$A,0)),"")</f>
        <v>L1</v>
      </c>
      <c r="D7" s="40" t="str">
        <f>IF(COUNTIFS(인스턴스_통합!$A:$A,$A7,인스턴스_통합!$B:$B,D$4)&gt;0,"○","×")</f>
        <v>×</v>
      </c>
      <c r="E7" s="40" t="str">
        <f>IF(COUNTIFS(인스턴스_통합!$A:$A,$A7,인스턴스_통합!$B:$B,E$4)&gt;0,"○","×")</f>
        <v>○</v>
      </c>
      <c r="F7" s="40" t="str">
        <f>IF(COUNTIFS(인스턴스_통합!$A:$A,$A7,인스턴스_통합!$B:$B,F$4)&gt;0,"○","×")</f>
        <v>×</v>
      </c>
    </row>
    <row r="8" spans="1:6" x14ac:dyDescent="0.35">
      <c r="A8" s="35" t="s">
        <v>25</v>
      </c>
      <c r="B8" s="35" t="str">
        <f>IFERROR(INDEX(SSoT!$B:$B,MATCH($A8,SSoT!$A:$A,0)),"")</f>
        <v>Torque Control Function</v>
      </c>
      <c r="C8" s="35" t="str">
        <f>IFERROR(INDEX(SSoT!$C:$C,MATCH($A8,SSoT!$A:$A,0)),"")</f>
        <v>L2</v>
      </c>
      <c r="D8" s="40" t="str">
        <f>IF(COUNTIFS(인스턴스_통합!$A:$A,$A8,인스턴스_통합!$B:$B,D$4)&gt;0,"○","×")</f>
        <v>×</v>
      </c>
      <c r="E8" s="40" t="str">
        <f>IF(COUNTIFS(인스턴스_통합!$A:$A,$A8,인스턴스_통합!$B:$B,E$4)&gt;0,"○","×")</f>
        <v>○</v>
      </c>
      <c r="F8" s="40" t="str">
        <f>IF(COUNTIFS(인스턴스_통합!$A:$A,$A8,인스턴스_통합!$B:$B,F$4)&gt;0,"○","×")</f>
        <v>×</v>
      </c>
    </row>
    <row r="9" spans="1:6" x14ac:dyDescent="0.35">
      <c r="A9" s="35" t="s">
        <v>28</v>
      </c>
      <c r="B9" s="35" t="str">
        <f>IFERROR(INDEX(SSoT!$B:$B,MATCH($A9,SSoT!$A:$A,0)),"")</f>
        <v>Torque Control Sub-Function</v>
      </c>
      <c r="C9" s="35" t="str">
        <f>IFERROR(INDEX(SSoT!$C:$C,MATCH($A9,SSoT!$A:$A,0)),"")</f>
        <v>L3</v>
      </c>
      <c r="D9" s="40" t="str">
        <f>IF(COUNTIFS(인스턴스_통합!$A:$A,$A9,인스턴스_통합!$B:$B,D$4)&gt;0,"○","×")</f>
        <v>×</v>
      </c>
      <c r="E9" s="40" t="str">
        <f>IF(COUNTIFS(인스턴스_통합!$A:$A,$A9,인스턴스_통합!$B:$B,E$4)&gt;0,"○","×")</f>
        <v>×</v>
      </c>
      <c r="F9" s="40" t="str">
        <f>IF(COUNTIFS(인스턴스_통합!$A:$A,$A9,인스턴스_통합!$B:$B,F$4)&gt;0,"○","×")</f>
        <v>×</v>
      </c>
    </row>
    <row r="10" spans="1:6" x14ac:dyDescent="0.35">
      <c r="A10" s="35" t="s">
        <v>30</v>
      </c>
      <c r="B10" s="35" t="str">
        <f>IFERROR(INDEX(SSoT!$B:$B,MATCH($A10,SSoT!$A:$A,0)),"")</f>
        <v>Vector CANstack</v>
      </c>
      <c r="C10" s="35" t="str">
        <f>IFERROR(INDEX(SSoT!$C:$C,MATCH($A10,SSoT!$A:$A,0)),"")</f>
        <v>L1</v>
      </c>
      <c r="D10" s="40" t="str">
        <f>IF(COUNTIFS(인스턴스_통합!$A:$A,$A10,인스턴스_통합!$B:$B,D$4)&gt;0,"○","×")</f>
        <v>×</v>
      </c>
      <c r="E10" s="40" t="str">
        <f>IF(COUNTIFS(인스턴스_통합!$A:$A,$A10,인스턴스_통합!$B:$B,E$4)&gt;0,"○","×")</f>
        <v>○</v>
      </c>
      <c r="F10" s="40" t="str">
        <f>IF(COUNTIFS(인스턴스_통합!$A:$A,$A10,인스턴스_통합!$B:$B,F$4)&gt;0,"○","×")</f>
        <v>×</v>
      </c>
    </row>
    <row r="11" spans="1:6" x14ac:dyDescent="0.35">
      <c r="A11" s="35" t="s">
        <v>36</v>
      </c>
      <c r="B11" s="35" t="str">
        <f>IFERROR(INDEX(SSoT!$B:$B,MATCH($A11,SSoT!$A:$A,0)),"")</f>
        <v>Watchdog Hotfix Function</v>
      </c>
      <c r="C11" s="35" t="str">
        <f>IFERROR(INDEX(SSoT!$C:$C,MATCH($A11,SSoT!$A:$A,0)),"")</f>
        <v>L2</v>
      </c>
      <c r="D11" s="40" t="str">
        <f>IF(COUNTIFS(인스턴스_통합!$A:$A,$A11,인스턴스_통합!$B:$B,D$4)&gt;0,"○","×")</f>
        <v>×</v>
      </c>
      <c r="E11" s="40" t="str">
        <f>IF(COUNTIFS(인스턴스_통합!$A:$A,$A11,인스턴스_통합!$B:$B,E$4)&gt;0,"○","×")</f>
        <v>○</v>
      </c>
      <c r="F11" s="40" t="str">
        <f>IF(COUNTIFS(인스턴스_통합!$A:$A,$A11,인스턴스_통합!$B:$B,F$4)&gt;0,"○","×")</f>
        <v>×</v>
      </c>
    </row>
    <row r="12" spans="1:6" x14ac:dyDescent="0.35">
      <c r="A12" s="32"/>
      <c r="B12" s="32"/>
      <c r="C12" s="32"/>
      <c r="D12" s="32"/>
      <c r="E12" s="32"/>
      <c r="F12" s="32"/>
    </row>
    <row r="13" spans="1:6" ht="26.9" customHeight="1" x14ac:dyDescent="0.35">
      <c r="A13" s="32"/>
      <c r="B13" s="32"/>
      <c r="C13" s="32"/>
      <c r="D13" s="32"/>
      <c r="E13" s="32"/>
      <c r="F13" s="32"/>
    </row>
  </sheetData>
  <mergeCells count="1">
    <mergeCell ref="A3:F3"/>
  </mergeCells>
  <phoneticPr fontId="2" type="noConversion"/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O16"/>
  <sheetViews>
    <sheetView showGridLines="0" zoomScaleNormal="100" workbookViewId="0">
      <pane ySplit="4" topLeftCell="A5" activePane="bottomLeft" state="frozen"/>
      <selection activeCell="I10" sqref="I10"/>
      <selection pane="bottomLeft"/>
    </sheetView>
  </sheetViews>
  <sheetFormatPr defaultColWidth="8.6328125" defaultRowHeight="14.5" x14ac:dyDescent="0.35"/>
  <cols>
    <col min="1" max="1" width="24" customWidth="1"/>
    <col min="2" max="2" width="12" customWidth="1"/>
    <col min="3" max="3" width="10" customWidth="1"/>
    <col min="4" max="4" width="16" customWidth="1"/>
    <col min="5" max="5" width="20" customWidth="1"/>
    <col min="6" max="6" width="10" customWidth="1"/>
    <col min="7" max="7" width="16" customWidth="1"/>
    <col min="8" max="8" width="14" customWidth="1"/>
    <col min="9" max="10" width="16" customWidth="1"/>
    <col min="11" max="11" width="22" customWidth="1"/>
    <col min="12" max="12" width="16" customWidth="1"/>
    <col min="13" max="13" width="14" customWidth="1"/>
    <col min="14" max="14" width="16" customWidth="1"/>
    <col min="15" max="15" width="14" customWidth="1"/>
  </cols>
  <sheetData>
    <row r="2" spans="1:15" x14ac:dyDescent="0.35">
      <c r="A2" s="174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</row>
    <row r="3" spans="1:15" s="61" customFormat="1" ht="47" customHeight="1" x14ac:dyDescent="0.35">
      <c r="A3" s="176" t="s">
        <v>1099</v>
      </c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</row>
    <row r="4" spans="1:15" ht="26" x14ac:dyDescent="0.35">
      <c r="A4" s="38" t="s">
        <v>0</v>
      </c>
      <c r="B4" s="38" t="s">
        <v>45</v>
      </c>
      <c r="C4" s="38" t="s">
        <v>46</v>
      </c>
      <c r="D4" s="38" t="s">
        <v>47</v>
      </c>
      <c r="E4" s="38" t="s">
        <v>48</v>
      </c>
      <c r="F4" s="38" t="s">
        <v>49</v>
      </c>
      <c r="G4" s="38" t="s">
        <v>50</v>
      </c>
      <c r="H4" s="38" t="s">
        <v>51</v>
      </c>
      <c r="I4" s="38" t="s">
        <v>52</v>
      </c>
      <c r="J4" s="38" t="s">
        <v>55</v>
      </c>
      <c r="K4" s="38" t="s">
        <v>56</v>
      </c>
      <c r="L4" s="38" t="s">
        <v>57</v>
      </c>
      <c r="M4" s="38" t="s">
        <v>58</v>
      </c>
      <c r="N4" s="38" t="s">
        <v>59</v>
      </c>
      <c r="O4" s="38" t="s">
        <v>60</v>
      </c>
    </row>
    <row r="5" spans="1:15" x14ac:dyDescent="0.35">
      <c r="A5" s="34" t="s">
        <v>10</v>
      </c>
      <c r="B5" s="34" t="s">
        <v>149</v>
      </c>
      <c r="C5" s="34" t="s">
        <v>281</v>
      </c>
      <c r="D5" s="34" t="s">
        <v>65</v>
      </c>
      <c r="E5" s="34" t="s">
        <v>66</v>
      </c>
      <c r="F5" s="34" t="s">
        <v>67</v>
      </c>
      <c r="G5" s="34" t="s">
        <v>68</v>
      </c>
      <c r="H5" s="34"/>
      <c r="I5" s="34" t="s">
        <v>69</v>
      </c>
      <c r="J5" s="34"/>
      <c r="K5" s="34" t="s">
        <v>70</v>
      </c>
      <c r="L5" s="34" t="s">
        <v>71</v>
      </c>
      <c r="M5" s="34" t="s">
        <v>72</v>
      </c>
      <c r="N5" s="34" t="s">
        <v>73</v>
      </c>
      <c r="O5" s="34"/>
    </row>
    <row r="6" spans="1:15" x14ac:dyDescent="0.35">
      <c r="A6" s="34" t="s">
        <v>16</v>
      </c>
      <c r="B6" s="34" t="s">
        <v>150</v>
      </c>
      <c r="C6" s="34" t="s">
        <v>281</v>
      </c>
      <c r="D6" s="34" t="s">
        <v>65</v>
      </c>
      <c r="E6" s="34" t="s">
        <v>66</v>
      </c>
      <c r="F6" s="34" t="s">
        <v>76</v>
      </c>
      <c r="G6" s="34" t="s">
        <v>77</v>
      </c>
      <c r="H6" s="34" t="s">
        <v>78</v>
      </c>
      <c r="I6" s="34" t="s">
        <v>79</v>
      </c>
      <c r="J6" s="34"/>
      <c r="K6" s="34" t="s">
        <v>80</v>
      </c>
      <c r="L6" s="34" t="s">
        <v>81</v>
      </c>
      <c r="M6" s="34" t="s">
        <v>72</v>
      </c>
      <c r="N6" s="34" t="s">
        <v>82</v>
      </c>
      <c r="O6" s="34" t="s">
        <v>83</v>
      </c>
    </row>
    <row r="7" spans="1:15" x14ac:dyDescent="0.35">
      <c r="A7" s="34" t="s">
        <v>22</v>
      </c>
      <c r="B7" s="34" t="s">
        <v>151</v>
      </c>
      <c r="C7" s="34" t="s">
        <v>281</v>
      </c>
      <c r="D7" s="34" t="s">
        <v>85</v>
      </c>
      <c r="E7" s="34" t="s">
        <v>66</v>
      </c>
      <c r="F7" s="34" t="s">
        <v>86</v>
      </c>
      <c r="G7" s="34" t="s">
        <v>87</v>
      </c>
      <c r="H7" s="34"/>
      <c r="I7" s="34" t="s">
        <v>88</v>
      </c>
      <c r="J7" s="34"/>
      <c r="K7" s="34" t="s">
        <v>89</v>
      </c>
      <c r="L7" s="34" t="s">
        <v>81</v>
      </c>
      <c r="M7" s="34" t="s">
        <v>72</v>
      </c>
      <c r="N7" s="34" t="s">
        <v>73</v>
      </c>
      <c r="O7" s="34"/>
    </row>
    <row r="8" spans="1:15" x14ac:dyDescent="0.35">
      <c r="A8" s="34" t="s">
        <v>25</v>
      </c>
      <c r="B8" s="34" t="s">
        <v>151</v>
      </c>
      <c r="C8" s="34" t="s">
        <v>281</v>
      </c>
      <c r="D8" s="34" t="s">
        <v>85</v>
      </c>
      <c r="E8" s="34" t="s">
        <v>66</v>
      </c>
      <c r="F8" s="34" t="s">
        <v>90</v>
      </c>
      <c r="G8" s="34" t="s">
        <v>91</v>
      </c>
      <c r="H8" s="34" t="s">
        <v>92</v>
      </c>
      <c r="I8" s="34" t="s">
        <v>93</v>
      </c>
      <c r="J8" s="34"/>
      <c r="K8" s="34" t="s">
        <v>94</v>
      </c>
      <c r="L8" s="34" t="s">
        <v>81</v>
      </c>
      <c r="M8" s="34" t="s">
        <v>72</v>
      </c>
      <c r="N8" s="34" t="s">
        <v>82</v>
      </c>
      <c r="O8" s="34" t="s">
        <v>95</v>
      </c>
    </row>
    <row r="9" spans="1:15" x14ac:dyDescent="0.35">
      <c r="A9" s="34" t="s">
        <v>30</v>
      </c>
      <c r="B9" s="34" t="s">
        <v>151</v>
      </c>
      <c r="C9" s="34" t="s">
        <v>281</v>
      </c>
      <c r="D9" s="34" t="s">
        <v>85</v>
      </c>
      <c r="E9" s="34" t="s">
        <v>66</v>
      </c>
      <c r="F9" s="34" t="s">
        <v>96</v>
      </c>
      <c r="G9" s="34"/>
      <c r="H9" s="34"/>
      <c r="I9" s="34"/>
      <c r="J9" s="34"/>
      <c r="K9" s="34" t="s">
        <v>97</v>
      </c>
      <c r="L9" s="34" t="s">
        <v>71</v>
      </c>
      <c r="M9" s="34" t="s">
        <v>72</v>
      </c>
      <c r="N9" s="34" t="s">
        <v>73</v>
      </c>
      <c r="O9" s="34"/>
    </row>
    <row r="10" spans="1:15" x14ac:dyDescent="0.35">
      <c r="A10" s="34" t="s">
        <v>36</v>
      </c>
      <c r="B10" s="34" t="s">
        <v>151</v>
      </c>
      <c r="C10" s="34" t="s">
        <v>281</v>
      </c>
      <c r="D10" s="34" t="s">
        <v>98</v>
      </c>
      <c r="E10" s="34" t="s">
        <v>99</v>
      </c>
      <c r="F10" s="34" t="s">
        <v>100</v>
      </c>
      <c r="G10" s="34" t="s">
        <v>101</v>
      </c>
      <c r="H10" s="34"/>
      <c r="I10" s="34"/>
      <c r="J10" s="34" t="s">
        <v>102</v>
      </c>
      <c r="K10" s="34" t="s">
        <v>103</v>
      </c>
      <c r="L10" s="34" t="s">
        <v>81</v>
      </c>
      <c r="M10" s="34" t="s">
        <v>104</v>
      </c>
      <c r="N10" s="34" t="s">
        <v>82</v>
      </c>
      <c r="O10" s="34"/>
    </row>
    <row r="11" spans="1:15" x14ac:dyDescent="0.35">
      <c r="A11" s="34" t="s">
        <v>10</v>
      </c>
      <c r="B11" s="34" t="s">
        <v>151</v>
      </c>
      <c r="C11" s="34" t="s">
        <v>106</v>
      </c>
      <c r="D11" s="34" t="s">
        <v>288</v>
      </c>
      <c r="E11" s="34" t="s">
        <v>99</v>
      </c>
      <c r="F11" s="34" t="s">
        <v>107</v>
      </c>
      <c r="G11" s="34" t="s">
        <v>108</v>
      </c>
      <c r="H11" s="34"/>
      <c r="I11" s="34"/>
      <c r="J11" s="34"/>
      <c r="K11" s="34" t="s">
        <v>109</v>
      </c>
      <c r="L11" s="34" t="s">
        <v>81</v>
      </c>
      <c r="M11" s="34" t="s">
        <v>110</v>
      </c>
      <c r="N11" s="34" t="s">
        <v>73</v>
      </c>
      <c r="O11" s="34"/>
    </row>
    <row r="12" spans="1:15" x14ac:dyDescent="0.3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</row>
    <row r="13" spans="1:15" x14ac:dyDescent="0.3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1:15" ht="15" customHeight="1" x14ac:dyDescent="0.3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</row>
    <row r="15" spans="1:15" x14ac:dyDescent="0.3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</row>
    <row r="16" spans="1:15" x14ac:dyDescent="0.3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</row>
  </sheetData>
  <mergeCells count="2">
    <mergeCell ref="A2:O2"/>
    <mergeCell ref="A3:O3"/>
  </mergeCells>
  <phoneticPr fontId="2" type="noConversion"/>
  <dataValidations count="4">
    <dataValidation type="list" allowBlank="1" sqref="C5:C13 C16:C310 C2:C3">
      <formula1>"R&amp;D,생산"</formula1>
      <formula2>0</formula2>
    </dataValidation>
    <dataValidation type="list" allowBlank="1" sqref="E5:E13 E16:E310 E2:E3">
      <formula1>"formally_baselined,pending_retro_approval"</formula1>
      <formula2>0</formula2>
    </dataValidation>
    <dataValidation type="list" allowBlank="1" sqref="L5:L13 L16:L310 L2:L3">
      <formula1>"declared,sca_detected,both"</formula1>
      <formula2>0</formula2>
    </dataValidation>
    <dataValidation type="list" allowBlank="1" sqref="N5:N13 N16:N310 N2:N3">
      <formula1>"TRUE,FALSE"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3:I7"/>
  <sheetViews>
    <sheetView showGridLines="0" zoomScaleNormal="100" workbookViewId="0">
      <pane ySplit="4" topLeftCell="A5" activePane="bottomLeft" state="frozen"/>
      <selection activeCell="I10" sqref="I10"/>
      <selection pane="bottomLeft"/>
    </sheetView>
  </sheetViews>
  <sheetFormatPr defaultColWidth="8.6328125" defaultRowHeight="14.5" x14ac:dyDescent="0.35"/>
  <cols>
    <col min="1" max="1" width="16" customWidth="1"/>
    <col min="2" max="2" width="12" customWidth="1"/>
    <col min="3" max="3" width="18" customWidth="1"/>
    <col min="4" max="5" width="20" customWidth="1"/>
    <col min="6" max="6" width="28.26953125" bestFit="1" customWidth="1"/>
    <col min="7" max="7" width="12" customWidth="1"/>
    <col min="8" max="8" width="16" customWidth="1"/>
    <col min="9" max="9" width="12" customWidth="1"/>
  </cols>
  <sheetData>
    <row r="3" spans="1:9" ht="29" customHeight="1" x14ac:dyDescent="0.35">
      <c r="A3" s="173" t="s">
        <v>1083</v>
      </c>
      <c r="B3" s="173"/>
      <c r="C3" s="173"/>
      <c r="D3" s="173"/>
      <c r="E3" s="173"/>
      <c r="F3" s="173"/>
      <c r="G3" s="173"/>
      <c r="H3" s="173"/>
      <c r="I3" s="173"/>
    </row>
    <row r="4" spans="1:9" x14ac:dyDescent="0.35">
      <c r="A4" s="37" t="s">
        <v>313</v>
      </c>
      <c r="B4" s="37" t="s">
        <v>314</v>
      </c>
      <c r="C4" s="37" t="s">
        <v>271</v>
      </c>
      <c r="D4" s="37" t="s">
        <v>315</v>
      </c>
      <c r="E4" s="37" t="s">
        <v>316</v>
      </c>
      <c r="F4" s="37" t="s">
        <v>317</v>
      </c>
      <c r="G4" s="37" t="s">
        <v>318</v>
      </c>
      <c r="H4" s="37" t="s">
        <v>319</v>
      </c>
      <c r="I4" s="37" t="s">
        <v>320</v>
      </c>
    </row>
    <row r="5" spans="1:9" x14ac:dyDescent="0.35">
      <c r="A5" s="34" t="s">
        <v>128</v>
      </c>
      <c r="B5" s="34" t="s">
        <v>321</v>
      </c>
      <c r="C5" s="34" t="s">
        <v>9</v>
      </c>
      <c r="D5" s="34" t="s">
        <v>322</v>
      </c>
      <c r="E5" s="34" t="s">
        <v>323</v>
      </c>
      <c r="F5" s="34" t="s">
        <v>324</v>
      </c>
      <c r="G5" s="34" t="s">
        <v>129</v>
      </c>
      <c r="H5" s="34" t="s">
        <v>130</v>
      </c>
      <c r="I5" s="34" t="s">
        <v>325</v>
      </c>
    </row>
    <row r="6" spans="1:9" x14ac:dyDescent="0.35">
      <c r="A6" s="32"/>
      <c r="B6" s="32"/>
      <c r="C6" s="32"/>
      <c r="D6" s="32"/>
      <c r="E6" s="32"/>
      <c r="F6" s="32"/>
      <c r="G6" s="32"/>
      <c r="H6" s="32"/>
      <c r="I6" s="32"/>
    </row>
    <row r="7" spans="1:9" ht="26.9" customHeight="1" x14ac:dyDescent="0.35">
      <c r="A7" s="32"/>
      <c r="B7" s="32"/>
      <c r="C7" s="32"/>
      <c r="D7" s="32"/>
      <c r="E7" s="32"/>
      <c r="F7" s="32"/>
      <c r="G7" s="32"/>
      <c r="H7" s="32"/>
      <c r="I7" s="32"/>
    </row>
  </sheetData>
  <mergeCells count="1">
    <mergeCell ref="A3:I3"/>
  </mergeCells>
  <phoneticPr fontId="2" type="noConversion"/>
  <pageMargins left="0.75" right="0.75" top="1" bottom="1" header="0.511811023622047" footer="0.511811023622047"/>
  <pageSetup paperSize="9" orientation="portrait" horizontalDpi="300" verticalDpi="300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T8"/>
  <sheetViews>
    <sheetView showGridLines="0" zoomScaleNormal="100" workbookViewId="0">
      <pane ySplit="4" topLeftCell="A5" activePane="bottomLeft" state="frozen"/>
      <selection activeCell="I10" sqref="I10"/>
      <selection pane="bottomLeft"/>
    </sheetView>
  </sheetViews>
  <sheetFormatPr defaultColWidth="8.6328125" defaultRowHeight="14.5" x14ac:dyDescent="0.35"/>
  <cols>
    <col min="1" max="1" width="24" customWidth="1"/>
    <col min="2" max="2" width="12" customWidth="1"/>
    <col min="3" max="3" width="14" customWidth="1"/>
    <col min="4" max="4" width="16" customWidth="1"/>
    <col min="5" max="5" width="14" customWidth="1"/>
    <col min="6" max="6" width="16" customWidth="1"/>
    <col min="7" max="7" width="14" customWidth="1"/>
    <col min="8" max="8" width="26" style="1" customWidth="1"/>
    <col min="9" max="10" width="16" customWidth="1"/>
    <col min="11" max="11" width="20" customWidth="1"/>
    <col min="12" max="12" width="10" customWidth="1"/>
    <col min="13" max="13" width="22" customWidth="1"/>
    <col min="14" max="14" width="16" customWidth="1"/>
    <col min="15" max="15" width="14" customWidth="1"/>
    <col min="16" max="16" width="16" customWidth="1"/>
    <col min="17" max="19" width="14" customWidth="1"/>
    <col min="20" max="20" width="20" customWidth="1"/>
  </cols>
  <sheetData>
    <row r="3" spans="1:20" x14ac:dyDescent="0.35">
      <c r="A3" s="174" t="s">
        <v>1084</v>
      </c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</row>
    <row r="4" spans="1:20" ht="26" x14ac:dyDescent="0.35">
      <c r="A4" s="38" t="s">
        <v>0</v>
      </c>
      <c r="B4" s="38" t="s">
        <v>45</v>
      </c>
      <c r="C4" s="38" t="s">
        <v>291</v>
      </c>
      <c r="D4" s="38" t="s">
        <v>50</v>
      </c>
      <c r="E4" s="38" t="s">
        <v>51</v>
      </c>
      <c r="F4" s="38" t="s">
        <v>52</v>
      </c>
      <c r="G4" s="38" t="s">
        <v>53</v>
      </c>
      <c r="H4" s="38" t="s">
        <v>54</v>
      </c>
      <c r="I4" s="38" t="s">
        <v>55</v>
      </c>
      <c r="J4" s="38" t="s">
        <v>47</v>
      </c>
      <c r="K4" s="38" t="s">
        <v>48</v>
      </c>
      <c r="L4" s="38" t="s">
        <v>49</v>
      </c>
      <c r="M4" s="38" t="s">
        <v>56</v>
      </c>
      <c r="N4" s="38" t="s">
        <v>57</v>
      </c>
      <c r="O4" s="38" t="s">
        <v>58</v>
      </c>
      <c r="P4" s="38" t="s">
        <v>59</v>
      </c>
      <c r="Q4" s="38" t="s">
        <v>60</v>
      </c>
      <c r="R4" s="38" t="s">
        <v>61</v>
      </c>
      <c r="S4" s="38" t="s">
        <v>62</v>
      </c>
      <c r="T4" s="38" t="s">
        <v>63</v>
      </c>
    </row>
    <row r="5" spans="1:20" x14ac:dyDescent="0.35">
      <c r="A5" s="34" t="s">
        <v>25</v>
      </c>
      <c r="B5" s="34" t="s">
        <v>84</v>
      </c>
      <c r="C5" s="34" t="s">
        <v>292</v>
      </c>
      <c r="D5" s="34" t="s">
        <v>111</v>
      </c>
      <c r="E5" s="34" t="s">
        <v>112</v>
      </c>
      <c r="F5" s="34" t="s">
        <v>113</v>
      </c>
      <c r="G5" s="34" t="s">
        <v>282</v>
      </c>
      <c r="H5" s="42"/>
      <c r="I5" s="34" t="s">
        <v>114</v>
      </c>
      <c r="J5" s="60" t="s">
        <v>115</v>
      </c>
      <c r="K5" s="34" t="s">
        <v>66</v>
      </c>
      <c r="L5" s="34" t="s">
        <v>116</v>
      </c>
      <c r="M5" s="34" t="s">
        <v>117</v>
      </c>
      <c r="N5" s="34" t="s">
        <v>81</v>
      </c>
      <c r="O5" s="34" t="s">
        <v>118</v>
      </c>
      <c r="P5" s="34" t="s">
        <v>82</v>
      </c>
      <c r="Q5" s="34" t="s">
        <v>95</v>
      </c>
      <c r="R5" s="34"/>
      <c r="S5" s="34"/>
      <c r="T5" s="34"/>
    </row>
    <row r="6" spans="1:20" ht="26.5" x14ac:dyDescent="0.35">
      <c r="A6" s="34" t="s">
        <v>25</v>
      </c>
      <c r="B6" s="34" t="s">
        <v>84</v>
      </c>
      <c r="C6" s="34" t="s">
        <v>293</v>
      </c>
      <c r="D6" s="34" t="s">
        <v>111</v>
      </c>
      <c r="E6" s="34" t="s">
        <v>112</v>
      </c>
      <c r="F6" s="34" t="s">
        <v>113</v>
      </c>
      <c r="G6" s="34" t="s">
        <v>294</v>
      </c>
      <c r="H6" s="42" t="s">
        <v>295</v>
      </c>
      <c r="I6" s="34" t="s">
        <v>114</v>
      </c>
      <c r="J6" s="34" t="s">
        <v>115</v>
      </c>
      <c r="K6" s="34" t="s">
        <v>66</v>
      </c>
      <c r="L6" s="34" t="s">
        <v>116</v>
      </c>
      <c r="M6" s="34" t="s">
        <v>117</v>
      </c>
      <c r="N6" s="34" t="s">
        <v>81</v>
      </c>
      <c r="O6" s="34" t="s">
        <v>118</v>
      </c>
      <c r="P6" s="34" t="s">
        <v>82</v>
      </c>
      <c r="Q6" s="34" t="s">
        <v>95</v>
      </c>
      <c r="R6" s="34"/>
      <c r="S6" s="34"/>
      <c r="T6" s="34"/>
    </row>
    <row r="7" spans="1:20" x14ac:dyDescent="0.35">
      <c r="A7" s="32"/>
      <c r="B7" s="32"/>
      <c r="C7" s="32"/>
      <c r="D7" s="32"/>
      <c r="E7" s="32"/>
      <c r="F7" s="32"/>
      <c r="G7" s="32"/>
      <c r="H7" s="43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 ht="15" customHeight="1" x14ac:dyDescent="0.35">
      <c r="A8" s="32"/>
      <c r="B8" s="32"/>
      <c r="C8" s="32"/>
      <c r="D8" s="32"/>
      <c r="E8" s="32"/>
      <c r="F8" s="32"/>
      <c r="G8" s="32"/>
      <c r="H8" s="43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</row>
  </sheetData>
  <mergeCells count="1">
    <mergeCell ref="A3:T3"/>
  </mergeCells>
  <phoneticPr fontId="2" type="noConversion"/>
  <dataValidations count="5">
    <dataValidation type="list" allowBlank="1" sqref="G5:G7 G9:G303 G3">
      <formula1>"반영완료,미반영,부분반영"</formula1>
      <formula2>0</formula2>
    </dataValidation>
    <dataValidation type="list" allowBlank="1" sqref="K5:K7 K9:K303 K3">
      <formula1>"formally_baselined,pending_retro_approval"</formula1>
      <formula2>0</formula2>
    </dataValidation>
    <dataValidation type="list" allowBlank="1" sqref="N5:N7 N9:N303 N3">
      <formula1>"declared,sca_detected,both"</formula1>
      <formula2>0</formula2>
    </dataValidation>
    <dataValidation type="list" allowBlank="1" sqref="P5:P7 P9:P303 P3">
      <formula1>"TRUE,FALSE"</formula1>
      <formula2>0</formula2>
    </dataValidation>
    <dataValidation type="list" allowBlank="1" sqref="R5:R7 R9:R303 R3">
      <formula1>"미조치,조치중,조치완료,검증완료"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S7"/>
  <sheetViews>
    <sheetView showGridLines="0" zoomScaleNormal="100" workbookViewId="0">
      <pane ySplit="4" topLeftCell="A5" activePane="bottomLeft" state="frozen"/>
      <selection activeCell="I10" sqref="I10"/>
      <selection pane="bottomLeft"/>
    </sheetView>
  </sheetViews>
  <sheetFormatPr defaultColWidth="8.6328125" defaultRowHeight="14.5" x14ac:dyDescent="0.35"/>
  <cols>
    <col min="1" max="1" width="16" customWidth="1"/>
    <col min="2" max="2" width="12" customWidth="1"/>
    <col min="3" max="3" width="14" customWidth="1"/>
    <col min="4" max="4" width="16" customWidth="1"/>
    <col min="5" max="5" width="14" customWidth="1"/>
    <col min="6" max="6" width="16" customWidth="1"/>
    <col min="7" max="7" width="14" customWidth="1"/>
    <col min="8" max="8" width="26" customWidth="1"/>
    <col min="9" max="9" width="16" customWidth="1"/>
    <col min="10" max="10" width="36" customWidth="1"/>
    <col min="11" max="11" width="20" customWidth="1"/>
    <col min="12" max="12" width="10" customWidth="1"/>
    <col min="13" max="13" width="16" customWidth="1"/>
    <col min="14" max="14" width="22" customWidth="1"/>
    <col min="15" max="15" width="16" customWidth="1"/>
    <col min="16" max="18" width="14" customWidth="1"/>
    <col min="19" max="19" width="20" customWidth="1"/>
  </cols>
  <sheetData>
    <row r="3" spans="1:19" x14ac:dyDescent="0.35">
      <c r="A3" s="174" t="s">
        <v>299</v>
      </c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</row>
    <row r="4" spans="1:19" x14ac:dyDescent="0.35">
      <c r="A4" s="38" t="s">
        <v>47</v>
      </c>
      <c r="B4" s="38" t="s">
        <v>45</v>
      </c>
      <c r="C4" s="38" t="s">
        <v>291</v>
      </c>
      <c r="D4" s="38" t="s">
        <v>50</v>
      </c>
      <c r="E4" s="38" t="s">
        <v>51</v>
      </c>
      <c r="F4" s="38" t="s">
        <v>52</v>
      </c>
      <c r="G4" s="38" t="s">
        <v>53</v>
      </c>
      <c r="H4" s="38" t="s">
        <v>54</v>
      </c>
      <c r="I4" s="38" t="s">
        <v>296</v>
      </c>
      <c r="J4" s="38" t="s">
        <v>297</v>
      </c>
      <c r="K4" s="38" t="s">
        <v>48</v>
      </c>
      <c r="L4" s="38" t="s">
        <v>49</v>
      </c>
      <c r="M4" s="38" t="s">
        <v>55</v>
      </c>
      <c r="N4" s="38" t="s">
        <v>56</v>
      </c>
      <c r="O4" s="38" t="s">
        <v>57</v>
      </c>
      <c r="P4" s="38" t="s">
        <v>58</v>
      </c>
      <c r="Q4" s="38" t="s">
        <v>61</v>
      </c>
      <c r="R4" s="38" t="s">
        <v>62</v>
      </c>
      <c r="S4" s="38" t="s">
        <v>63</v>
      </c>
    </row>
    <row r="5" spans="1:19" x14ac:dyDescent="0.35">
      <c r="A5" s="60" t="s">
        <v>115</v>
      </c>
      <c r="B5" s="34" t="s">
        <v>84</v>
      </c>
      <c r="C5" s="34" t="s">
        <v>292</v>
      </c>
      <c r="D5" s="34" t="s">
        <v>111</v>
      </c>
      <c r="E5" s="34" t="s">
        <v>112</v>
      </c>
      <c r="F5" s="34" t="s">
        <v>113</v>
      </c>
      <c r="G5" s="34" t="s">
        <v>282</v>
      </c>
      <c r="H5" s="34"/>
      <c r="I5" s="34" t="s">
        <v>82</v>
      </c>
      <c r="J5" s="34" t="s">
        <v>298</v>
      </c>
      <c r="K5" s="34" t="s">
        <v>66</v>
      </c>
      <c r="L5" s="34" t="s">
        <v>119</v>
      </c>
      <c r="M5" s="34" t="s">
        <v>114</v>
      </c>
      <c r="N5" s="34" t="s">
        <v>120</v>
      </c>
      <c r="O5" s="34" t="s">
        <v>81</v>
      </c>
      <c r="P5" s="34" t="s">
        <v>118</v>
      </c>
      <c r="Q5" s="34"/>
      <c r="R5" s="34"/>
      <c r="S5" s="34"/>
    </row>
    <row r="6" spans="1:19" x14ac:dyDescent="0.3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1:19" ht="15" customHeight="1" x14ac:dyDescent="0.3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</row>
  </sheetData>
  <mergeCells count="1">
    <mergeCell ref="A3:S3"/>
  </mergeCells>
  <phoneticPr fontId="2" type="noConversion"/>
  <dataValidations count="5">
    <dataValidation type="list" allowBlank="1" sqref="G5:G6 G8:G303 G3">
      <formula1>"반영완료,미반영,부분반영"</formula1>
      <formula2>0</formula2>
    </dataValidation>
    <dataValidation type="list" allowBlank="1" sqref="I5:I6 I8:I303 I3">
      <formula1>"TRUE,FALSE"</formula1>
      <formula2>0</formula2>
    </dataValidation>
    <dataValidation type="list" allowBlank="1" sqref="K5:K6 K8:K303 K3">
      <formula1>"formally_baselined,pending_retro_approval"</formula1>
      <formula2>0</formula2>
    </dataValidation>
    <dataValidation type="list" allowBlank="1" sqref="O5:O6 O8:O303 O3">
      <formula1>"declared,sca_detected,both"</formula1>
      <formula2>0</formula2>
    </dataValidation>
    <dataValidation type="list" allowBlank="1" sqref="Q5:Q6 Q8:Q303 Q3">
      <formula1>"미조치,조치중,조치완료,검증완료"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J12"/>
  <sheetViews>
    <sheetView showGridLines="0" zoomScaleNormal="100" workbookViewId="0">
      <pane ySplit="4" topLeftCell="A5" activePane="bottomLeft" state="frozen"/>
      <selection activeCell="I10" sqref="I10"/>
      <selection pane="bottomLeft"/>
    </sheetView>
  </sheetViews>
  <sheetFormatPr defaultColWidth="8.6328125" defaultRowHeight="14.5" x14ac:dyDescent="0.35"/>
  <cols>
    <col min="1" max="1" width="18" customWidth="1"/>
    <col min="2" max="2" width="14" customWidth="1"/>
    <col min="3" max="3" width="20" customWidth="1"/>
    <col min="4" max="4" width="40" customWidth="1"/>
    <col min="5" max="5" width="20" customWidth="1"/>
    <col min="6" max="7" width="16" customWidth="1"/>
    <col min="8" max="8" width="12" customWidth="1"/>
  </cols>
  <sheetData>
    <row r="3" spans="1:10" ht="41.5" customHeight="1" x14ac:dyDescent="0.35">
      <c r="A3" s="173" t="s">
        <v>1100</v>
      </c>
      <c r="B3" s="173"/>
      <c r="C3" s="173"/>
      <c r="D3" s="173"/>
      <c r="E3" s="173"/>
      <c r="F3" s="173"/>
      <c r="G3" s="173"/>
      <c r="H3" s="173"/>
      <c r="I3" s="32"/>
      <c r="J3" s="32"/>
    </row>
    <row r="4" spans="1:10" x14ac:dyDescent="0.35">
      <c r="A4" s="38" t="s">
        <v>121</v>
      </c>
      <c r="B4" s="38" t="s">
        <v>45</v>
      </c>
      <c r="C4" s="38" t="s">
        <v>122</v>
      </c>
      <c r="D4" s="38" t="s">
        <v>123</v>
      </c>
      <c r="E4" s="38" t="s">
        <v>124</v>
      </c>
      <c r="F4" s="38" t="s">
        <v>125</v>
      </c>
      <c r="G4" s="38" t="s">
        <v>126</v>
      </c>
      <c r="H4" s="38" t="s">
        <v>127</v>
      </c>
      <c r="I4" s="32"/>
      <c r="J4" s="32"/>
    </row>
    <row r="5" spans="1:10" x14ac:dyDescent="0.35">
      <c r="A5" s="34" t="s">
        <v>300</v>
      </c>
      <c r="B5" s="34" t="s">
        <v>64</v>
      </c>
      <c r="C5" s="34" t="s">
        <v>301</v>
      </c>
      <c r="D5" s="34" t="s">
        <v>302</v>
      </c>
      <c r="E5" s="34" t="s">
        <v>300</v>
      </c>
      <c r="F5" s="34"/>
      <c r="G5" s="34"/>
      <c r="H5" s="34"/>
      <c r="I5" s="32"/>
      <c r="J5" s="32"/>
    </row>
    <row r="6" spans="1:10" x14ac:dyDescent="0.35">
      <c r="A6" s="34" t="s">
        <v>303</v>
      </c>
      <c r="B6" s="34" t="s">
        <v>84</v>
      </c>
      <c r="C6" s="34" t="s">
        <v>301</v>
      </c>
      <c r="D6" s="34" t="s">
        <v>304</v>
      </c>
      <c r="E6" s="34" t="s">
        <v>303</v>
      </c>
      <c r="F6" s="34"/>
      <c r="G6" s="34"/>
      <c r="H6" s="34"/>
      <c r="I6" s="32"/>
      <c r="J6" s="57" t="s">
        <v>1101</v>
      </c>
    </row>
    <row r="7" spans="1:10" x14ac:dyDescent="0.35">
      <c r="A7" s="34" t="s">
        <v>305</v>
      </c>
      <c r="B7" s="34" t="s">
        <v>105</v>
      </c>
      <c r="C7" s="34" t="s">
        <v>301</v>
      </c>
      <c r="D7" s="34" t="s">
        <v>306</v>
      </c>
      <c r="E7" s="34" t="s">
        <v>305</v>
      </c>
      <c r="F7" s="34"/>
      <c r="G7" s="34"/>
      <c r="H7" s="34"/>
      <c r="I7" s="32"/>
      <c r="J7" s="112" t="s">
        <v>1102</v>
      </c>
    </row>
    <row r="8" spans="1:10" x14ac:dyDescent="0.35">
      <c r="A8" s="34" t="s">
        <v>307</v>
      </c>
      <c r="B8" s="34" t="s">
        <v>84</v>
      </c>
      <c r="C8" s="34" t="s">
        <v>308</v>
      </c>
      <c r="D8" s="34" t="s">
        <v>309</v>
      </c>
      <c r="E8" s="34" t="s">
        <v>307</v>
      </c>
      <c r="F8" s="34"/>
      <c r="G8" s="34"/>
      <c r="H8" s="34"/>
      <c r="I8" s="32"/>
      <c r="J8" s="32"/>
    </row>
    <row r="9" spans="1:10" x14ac:dyDescent="0.35">
      <c r="A9" s="34" t="s">
        <v>310</v>
      </c>
      <c r="B9" s="34" t="s">
        <v>84</v>
      </c>
      <c r="C9" s="34" t="s">
        <v>311</v>
      </c>
      <c r="D9" s="34" t="s">
        <v>312</v>
      </c>
      <c r="E9" s="34" t="s">
        <v>310</v>
      </c>
      <c r="F9" s="34"/>
      <c r="G9" s="34"/>
      <c r="H9" s="34"/>
      <c r="I9" s="32"/>
      <c r="J9" s="32"/>
    </row>
    <row r="10" spans="1:10" x14ac:dyDescent="0.35">
      <c r="A10" s="32"/>
      <c r="B10" s="32"/>
      <c r="C10" s="32"/>
      <c r="D10" s="32"/>
      <c r="E10" s="32"/>
      <c r="F10" s="32"/>
      <c r="G10" s="32"/>
      <c r="H10" s="32"/>
      <c r="I10" s="32"/>
      <c r="J10" s="32"/>
    </row>
    <row r="11" spans="1:10" x14ac:dyDescent="0.35">
      <c r="A11" s="32"/>
      <c r="B11" s="32"/>
      <c r="C11" s="32"/>
      <c r="D11" s="32"/>
      <c r="E11" s="32"/>
      <c r="F11" s="32"/>
      <c r="G11" s="32"/>
      <c r="H11" s="32"/>
      <c r="I11" s="32"/>
      <c r="J11" s="32"/>
    </row>
    <row r="12" spans="1:10" x14ac:dyDescent="0.35">
      <c r="A12" s="32"/>
      <c r="B12" s="32"/>
      <c r="C12" s="32"/>
      <c r="D12" s="32"/>
      <c r="E12" s="32"/>
      <c r="F12" s="32"/>
      <c r="G12" s="32"/>
      <c r="H12" s="32"/>
      <c r="I12" s="32"/>
      <c r="J12" s="32"/>
    </row>
  </sheetData>
  <mergeCells count="1">
    <mergeCell ref="A3:H3"/>
  </mergeCells>
  <phoneticPr fontId="2" type="noConversion"/>
  <dataValidations count="1">
    <dataValidation type="list" allowBlank="1" sqref="C5:C10 C3 J7 C13:C303">
      <formula1>"개발생산_인스턴스,유지보수_함수단위,유지보수_펌웨어단위"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F7"/>
  <sheetViews>
    <sheetView showGridLines="0" zoomScaleNormal="100" workbookViewId="0">
      <pane ySplit="4" topLeftCell="A5" activePane="bottomLeft" state="frozen"/>
      <selection activeCell="I10" sqref="I10"/>
      <selection pane="bottomLeft"/>
    </sheetView>
  </sheetViews>
  <sheetFormatPr defaultColWidth="8.6328125" defaultRowHeight="14.5" x14ac:dyDescent="0.35"/>
  <cols>
    <col min="1" max="1" width="18" customWidth="1"/>
    <col min="2" max="2" width="12" customWidth="1"/>
    <col min="3" max="3" width="22" customWidth="1"/>
    <col min="4" max="4" width="23.1796875" bestFit="1" customWidth="1"/>
    <col min="5" max="5" width="12" customWidth="1"/>
    <col min="6" max="6" width="34" style="1" customWidth="1"/>
  </cols>
  <sheetData>
    <row r="3" spans="1:6" ht="40.5" customHeight="1" x14ac:dyDescent="0.35">
      <c r="A3" s="173" t="s">
        <v>329</v>
      </c>
      <c r="B3" s="173"/>
      <c r="C3" s="173"/>
      <c r="D3" s="173"/>
      <c r="E3" s="173"/>
      <c r="F3" s="173"/>
    </row>
    <row r="4" spans="1:6" x14ac:dyDescent="0.35">
      <c r="A4" s="37" t="s">
        <v>47</v>
      </c>
      <c r="B4" s="37" t="s">
        <v>45</v>
      </c>
      <c r="C4" s="37" t="s">
        <v>131</v>
      </c>
      <c r="D4" s="37" t="s">
        <v>132</v>
      </c>
      <c r="E4" s="37" t="s">
        <v>326</v>
      </c>
      <c r="F4" s="37" t="s">
        <v>327</v>
      </c>
    </row>
    <row r="5" spans="1:6" ht="26.5" x14ac:dyDescent="0.35">
      <c r="A5" s="34" t="s">
        <v>133</v>
      </c>
      <c r="B5" s="34" t="s">
        <v>134</v>
      </c>
      <c r="C5" s="34" t="s">
        <v>85</v>
      </c>
      <c r="D5" s="34" t="s">
        <v>84</v>
      </c>
      <c r="E5" s="34" t="s">
        <v>135</v>
      </c>
      <c r="F5" s="42" t="s">
        <v>328</v>
      </c>
    </row>
    <row r="6" spans="1:6" x14ac:dyDescent="0.35">
      <c r="A6" s="32"/>
      <c r="B6" s="32"/>
      <c r="C6" s="32"/>
      <c r="D6" s="32"/>
      <c r="E6" s="32"/>
      <c r="F6" s="43"/>
    </row>
    <row r="7" spans="1:6" ht="39.5" customHeight="1" x14ac:dyDescent="0.35">
      <c r="A7" s="32"/>
      <c r="B7" s="32"/>
      <c r="C7" s="32"/>
      <c r="D7" s="32"/>
      <c r="E7" s="32"/>
      <c r="F7" s="43"/>
    </row>
  </sheetData>
  <mergeCells count="1">
    <mergeCell ref="A3:F3"/>
  </mergeCells>
  <phoneticPr fontId="2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4:E17"/>
  <sheetViews>
    <sheetView showGridLines="0" zoomScaleNormal="100" workbookViewId="0"/>
  </sheetViews>
  <sheetFormatPr defaultColWidth="8.6328125" defaultRowHeight="14.5" x14ac:dyDescent="0.35"/>
  <cols>
    <col min="1" max="1" width="27.36328125" bestFit="1" customWidth="1"/>
    <col min="2" max="2" width="45.453125" bestFit="1" customWidth="1"/>
    <col min="3" max="3" width="48.453125" customWidth="1"/>
    <col min="4" max="4" width="46.453125" customWidth="1"/>
    <col min="5" max="5" width="10" style="2" customWidth="1"/>
  </cols>
  <sheetData>
    <row r="4" spans="1:5" x14ac:dyDescent="0.35">
      <c r="A4" s="37" t="s">
        <v>330</v>
      </c>
      <c r="B4" s="37" t="s">
        <v>331</v>
      </c>
      <c r="C4" s="37" t="s">
        <v>332</v>
      </c>
      <c r="D4" s="37" t="s">
        <v>333</v>
      </c>
      <c r="E4" s="37" t="s">
        <v>334</v>
      </c>
    </row>
    <row r="5" spans="1:5" x14ac:dyDescent="0.35">
      <c r="A5" s="44" t="s">
        <v>335</v>
      </c>
      <c r="B5" s="44" t="s">
        <v>336</v>
      </c>
      <c r="C5" s="44" t="s">
        <v>136</v>
      </c>
      <c r="D5" s="44" t="s">
        <v>337</v>
      </c>
      <c r="E5" s="59" t="s">
        <v>136</v>
      </c>
    </row>
    <row r="6" spans="1:5" ht="26" x14ac:dyDescent="0.35">
      <c r="A6" s="44" t="s">
        <v>338</v>
      </c>
      <c r="B6" s="44" t="s">
        <v>339</v>
      </c>
      <c r="C6" s="44" t="s">
        <v>340</v>
      </c>
      <c r="D6" s="44" t="s">
        <v>341</v>
      </c>
      <c r="E6" s="59" t="s">
        <v>342</v>
      </c>
    </row>
    <row r="7" spans="1:5" x14ac:dyDescent="0.35">
      <c r="A7" s="44" t="s">
        <v>343</v>
      </c>
      <c r="B7" s="44" t="s">
        <v>344</v>
      </c>
      <c r="C7" s="44" t="s">
        <v>345</v>
      </c>
      <c r="D7" s="44" t="s">
        <v>346</v>
      </c>
      <c r="E7" s="59" t="s">
        <v>342</v>
      </c>
    </row>
    <row r="8" spans="1:5" x14ac:dyDescent="0.35">
      <c r="A8" s="44" t="s">
        <v>347</v>
      </c>
      <c r="B8" s="44" t="s">
        <v>348</v>
      </c>
      <c r="C8" s="44" t="s">
        <v>349</v>
      </c>
      <c r="D8" s="44" t="s">
        <v>350</v>
      </c>
      <c r="E8" s="59" t="s">
        <v>351</v>
      </c>
    </row>
    <row r="9" spans="1:5" ht="26" x14ac:dyDescent="0.35">
      <c r="A9" s="44" t="s">
        <v>352</v>
      </c>
      <c r="B9" s="44" t="s">
        <v>353</v>
      </c>
      <c r="C9" s="44" t="s">
        <v>354</v>
      </c>
      <c r="D9" s="44" t="s">
        <v>355</v>
      </c>
      <c r="E9" s="59" t="s">
        <v>351</v>
      </c>
    </row>
    <row r="10" spans="1:5" ht="26" x14ac:dyDescent="0.35">
      <c r="A10" s="44" t="s">
        <v>356</v>
      </c>
      <c r="B10" s="44" t="s">
        <v>357</v>
      </c>
      <c r="C10" s="44" t="s">
        <v>358</v>
      </c>
      <c r="D10" s="44" t="s">
        <v>359</v>
      </c>
      <c r="E10" s="59" t="s">
        <v>360</v>
      </c>
    </row>
    <row r="11" spans="1:5" x14ac:dyDescent="0.35">
      <c r="A11" s="32"/>
      <c r="B11" s="32"/>
      <c r="C11" s="32"/>
      <c r="D11" s="32"/>
      <c r="E11" s="53"/>
    </row>
    <row r="12" spans="1:5" x14ac:dyDescent="0.35">
      <c r="A12" s="45" t="s">
        <v>361</v>
      </c>
      <c r="B12" s="32"/>
      <c r="C12" s="32"/>
      <c r="D12" s="32"/>
      <c r="E12" s="53"/>
    </row>
    <row r="13" spans="1:5" x14ac:dyDescent="0.35">
      <c r="A13" s="37" t="s">
        <v>362</v>
      </c>
      <c r="B13" s="37" t="s">
        <v>363</v>
      </c>
      <c r="C13" s="37" t="s">
        <v>364</v>
      </c>
      <c r="D13" s="32"/>
      <c r="E13" s="53"/>
    </row>
    <row r="14" spans="1:5" x14ac:dyDescent="0.35">
      <c r="A14" s="34" t="s">
        <v>365</v>
      </c>
      <c r="B14" s="34" t="s">
        <v>366</v>
      </c>
      <c r="C14" s="34" t="s">
        <v>367</v>
      </c>
      <c r="D14" s="32"/>
      <c r="E14" s="53"/>
    </row>
    <row r="15" spans="1:5" x14ac:dyDescent="0.35">
      <c r="A15" s="34" t="s">
        <v>368</v>
      </c>
      <c r="B15" s="34" t="s">
        <v>369</v>
      </c>
      <c r="C15" s="34" t="s">
        <v>370</v>
      </c>
      <c r="D15" s="32"/>
      <c r="E15" s="53"/>
    </row>
    <row r="16" spans="1:5" x14ac:dyDescent="0.35">
      <c r="A16" s="34" t="s">
        <v>371</v>
      </c>
      <c r="B16" s="34" t="s">
        <v>372</v>
      </c>
      <c r="C16" s="34" t="s">
        <v>373</v>
      </c>
      <c r="D16" s="32"/>
      <c r="E16" s="53"/>
    </row>
    <row r="17" spans="1:5" x14ac:dyDescent="0.35">
      <c r="A17" s="34" t="s">
        <v>374</v>
      </c>
      <c r="B17" s="34" t="s">
        <v>375</v>
      </c>
      <c r="C17" s="34" t="s">
        <v>376</v>
      </c>
      <c r="D17" s="32"/>
      <c r="E17" s="53"/>
    </row>
  </sheetData>
  <phoneticPr fontId="2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3:G7"/>
  <sheetViews>
    <sheetView showGridLines="0" zoomScaleNormal="100" workbookViewId="0">
      <pane ySplit="4" topLeftCell="A5" activePane="bottomLeft" state="frozen"/>
      <selection activeCell="I10" sqref="I10"/>
      <selection pane="bottomLeft" activeCell="D12" sqref="D12"/>
    </sheetView>
  </sheetViews>
  <sheetFormatPr defaultColWidth="8.6328125" defaultRowHeight="14.5" x14ac:dyDescent="0.35"/>
  <cols>
    <col min="1" max="1" width="18" customWidth="1"/>
    <col min="2" max="2" width="52.7265625" bestFit="1" customWidth="1"/>
    <col min="3" max="3" width="12" customWidth="1"/>
    <col min="4" max="4" width="26" customWidth="1"/>
    <col min="5" max="5" width="14" customWidth="1"/>
    <col min="6" max="6" width="12" customWidth="1"/>
  </cols>
  <sheetData>
    <row r="3" spans="1:7" ht="43" customHeight="1" x14ac:dyDescent="0.35">
      <c r="A3" s="177" t="s">
        <v>1106</v>
      </c>
      <c r="B3" s="177"/>
      <c r="C3" s="177"/>
      <c r="D3" s="177"/>
      <c r="E3" s="177"/>
      <c r="F3" s="177"/>
      <c r="G3" s="156"/>
    </row>
    <row r="4" spans="1:7" x14ac:dyDescent="0.35">
      <c r="A4" s="37" t="s">
        <v>47</v>
      </c>
      <c r="B4" s="37" t="s">
        <v>377</v>
      </c>
      <c r="C4" s="37" t="s">
        <v>378</v>
      </c>
      <c r="D4" s="37" t="s">
        <v>379</v>
      </c>
      <c r="E4" s="37" t="s">
        <v>380</v>
      </c>
      <c r="F4" s="37" t="s">
        <v>320</v>
      </c>
      <c r="G4" s="32"/>
    </row>
    <row r="5" spans="1:7" x14ac:dyDescent="0.35">
      <c r="A5" s="191" t="s">
        <v>65</v>
      </c>
      <c r="B5" s="192" t="s">
        <v>137</v>
      </c>
      <c r="C5" s="191" t="s">
        <v>138</v>
      </c>
      <c r="D5" s="191" t="s">
        <v>139</v>
      </c>
      <c r="E5" s="34" t="s">
        <v>140</v>
      </c>
      <c r="F5" s="34" t="s">
        <v>325</v>
      </c>
      <c r="G5" s="32"/>
    </row>
    <row r="6" spans="1:7" x14ac:dyDescent="0.35">
      <c r="A6" s="193" t="s">
        <v>1131</v>
      </c>
      <c r="B6" s="193" t="s">
        <v>1130</v>
      </c>
      <c r="C6" s="194">
        <v>46268</v>
      </c>
      <c r="D6" s="193" t="s">
        <v>1132</v>
      </c>
      <c r="E6" s="150"/>
      <c r="F6" s="150"/>
      <c r="G6" s="32"/>
    </row>
    <row r="7" spans="1:7" ht="26.9" customHeight="1" x14ac:dyDescent="0.35">
      <c r="A7" s="32"/>
      <c r="B7" s="32"/>
      <c r="C7" s="32"/>
      <c r="D7" s="32"/>
      <c r="E7" s="32"/>
      <c r="F7" s="32"/>
      <c r="G7" s="32"/>
    </row>
  </sheetData>
  <mergeCells count="1">
    <mergeCell ref="A3:F3"/>
  </mergeCells>
  <phoneticPr fontId="2" type="noConversion"/>
  <pageMargins left="0.75" right="0.75" top="1" bottom="1" header="0.511811023622047" footer="0.511811023622047"/>
  <pageSetup paperSize="9" orientation="portrait" horizontalDpi="300" verticalDpi="300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4:D32"/>
  <sheetViews>
    <sheetView showGridLines="0" zoomScaleNormal="100" workbookViewId="0"/>
  </sheetViews>
  <sheetFormatPr defaultColWidth="8.6328125" defaultRowHeight="14.5" x14ac:dyDescent="0.35"/>
  <cols>
    <col min="1" max="1" width="22" customWidth="1"/>
    <col min="2" max="2" width="25.7265625" bestFit="1" customWidth="1"/>
    <col min="3" max="3" width="58" customWidth="1"/>
    <col min="4" max="4" width="34" customWidth="1"/>
  </cols>
  <sheetData>
    <row r="4" spans="1:4" ht="17.5" x14ac:dyDescent="0.35">
      <c r="A4" s="46" t="s">
        <v>1059</v>
      </c>
      <c r="B4" s="47"/>
      <c r="C4" s="47"/>
      <c r="D4" s="47"/>
    </row>
    <row r="5" spans="1:4" ht="270" customHeight="1" x14ac:dyDescent="0.35">
      <c r="A5" s="178" t="s">
        <v>1103</v>
      </c>
      <c r="B5" s="178"/>
      <c r="C5" s="178"/>
      <c r="D5" s="178"/>
    </row>
    <row r="6" spans="1:4" x14ac:dyDescent="0.35">
      <c r="A6" s="32"/>
      <c r="B6" s="32"/>
      <c r="C6" s="32"/>
      <c r="D6" s="32"/>
    </row>
    <row r="7" spans="1:4" x14ac:dyDescent="0.35">
      <c r="A7" s="48" t="s">
        <v>381</v>
      </c>
      <c r="B7" s="48" t="s">
        <v>382</v>
      </c>
      <c r="C7" s="48" t="s">
        <v>383</v>
      </c>
      <c r="D7" s="48" t="s">
        <v>384</v>
      </c>
    </row>
    <row r="8" spans="1:4" ht="26" x14ac:dyDescent="0.35">
      <c r="A8" s="49" t="s">
        <v>0</v>
      </c>
      <c r="B8" s="50" t="s">
        <v>385</v>
      </c>
      <c r="C8" s="51" t="s">
        <v>386</v>
      </c>
      <c r="D8" s="52" t="s">
        <v>387</v>
      </c>
    </row>
    <row r="9" spans="1:4" x14ac:dyDescent="0.35">
      <c r="A9" s="49" t="s">
        <v>1</v>
      </c>
      <c r="B9" s="50" t="s">
        <v>388</v>
      </c>
      <c r="C9" s="51" t="s">
        <v>389</v>
      </c>
      <c r="D9" s="52" t="s">
        <v>390</v>
      </c>
    </row>
    <row r="10" spans="1:4" x14ac:dyDescent="0.35">
      <c r="A10" s="49" t="s">
        <v>2</v>
      </c>
      <c r="B10" s="50" t="s">
        <v>391</v>
      </c>
      <c r="C10" s="51" t="s">
        <v>392</v>
      </c>
      <c r="D10" s="52" t="s">
        <v>141</v>
      </c>
    </row>
    <row r="11" spans="1:4" ht="26" x14ac:dyDescent="0.35">
      <c r="A11" s="49" t="s">
        <v>3</v>
      </c>
      <c r="B11" s="50" t="s">
        <v>142</v>
      </c>
      <c r="C11" s="51" t="s">
        <v>1104</v>
      </c>
      <c r="D11" s="52" t="s">
        <v>143</v>
      </c>
    </row>
    <row r="12" spans="1:4" x14ac:dyDescent="0.35">
      <c r="A12" s="49" t="s">
        <v>4</v>
      </c>
      <c r="B12" s="50" t="s">
        <v>142</v>
      </c>
      <c r="C12" s="51" t="s">
        <v>781</v>
      </c>
      <c r="D12" s="52" t="s">
        <v>393</v>
      </c>
    </row>
    <row r="13" spans="1:4" ht="26" x14ac:dyDescent="0.35">
      <c r="A13" s="105" t="s">
        <v>5</v>
      </c>
      <c r="B13" s="106" t="s">
        <v>394</v>
      </c>
      <c r="C13" s="51" t="s">
        <v>395</v>
      </c>
      <c r="D13" s="52" t="s">
        <v>396</v>
      </c>
    </row>
    <row r="14" spans="1:4" ht="70.5" x14ac:dyDescent="0.35">
      <c r="A14" s="49" t="s">
        <v>719</v>
      </c>
      <c r="B14" s="50" t="s">
        <v>142</v>
      </c>
      <c r="C14" s="51" t="s">
        <v>782</v>
      </c>
      <c r="D14" s="52" t="s">
        <v>397</v>
      </c>
    </row>
    <row r="15" spans="1:4" ht="26" x14ac:dyDescent="0.35">
      <c r="A15" s="49" t="s">
        <v>7</v>
      </c>
      <c r="B15" s="50" t="s">
        <v>142</v>
      </c>
      <c r="C15" s="51" t="s">
        <v>783</v>
      </c>
      <c r="D15" s="52" t="s">
        <v>398</v>
      </c>
    </row>
    <row r="16" spans="1:4" x14ac:dyDescent="0.35">
      <c r="A16" s="49" t="s">
        <v>8</v>
      </c>
      <c r="B16" s="50" t="s">
        <v>394</v>
      </c>
      <c r="C16" s="51" t="s">
        <v>1060</v>
      </c>
      <c r="D16" s="52" t="s">
        <v>399</v>
      </c>
    </row>
    <row r="17" spans="1:4" ht="26" x14ac:dyDescent="0.35">
      <c r="A17" s="49" t="s">
        <v>9</v>
      </c>
      <c r="B17" s="50" t="s">
        <v>142</v>
      </c>
      <c r="C17" s="51" t="s">
        <v>1061</v>
      </c>
      <c r="D17" s="52" t="s">
        <v>400</v>
      </c>
    </row>
    <row r="18" spans="1:4" x14ac:dyDescent="0.35">
      <c r="A18" s="49" t="s">
        <v>45</v>
      </c>
      <c r="B18" s="50" t="s">
        <v>401</v>
      </c>
      <c r="C18" s="51" t="s">
        <v>402</v>
      </c>
      <c r="D18" s="52" t="s">
        <v>403</v>
      </c>
    </row>
    <row r="19" spans="1:4" x14ac:dyDescent="0.35">
      <c r="A19" s="49" t="s">
        <v>46</v>
      </c>
      <c r="B19" s="50" t="s">
        <v>401</v>
      </c>
      <c r="C19" s="51" t="s">
        <v>404</v>
      </c>
      <c r="D19" s="52" t="s">
        <v>405</v>
      </c>
    </row>
    <row r="20" spans="1:4" ht="26" x14ac:dyDescent="0.35">
      <c r="A20" s="49" t="s">
        <v>47</v>
      </c>
      <c r="B20" s="50" t="s">
        <v>401</v>
      </c>
      <c r="C20" s="51" t="s">
        <v>406</v>
      </c>
      <c r="D20" s="52" t="s">
        <v>407</v>
      </c>
    </row>
    <row r="21" spans="1:4" x14ac:dyDescent="0.35">
      <c r="A21" s="49" t="s">
        <v>48</v>
      </c>
      <c r="B21" s="50" t="s">
        <v>401</v>
      </c>
      <c r="C21" s="51" t="s">
        <v>408</v>
      </c>
      <c r="D21" s="52" t="s">
        <v>144</v>
      </c>
    </row>
    <row r="22" spans="1:4" x14ac:dyDescent="0.35">
      <c r="A22" s="49" t="s">
        <v>49</v>
      </c>
      <c r="B22" s="50" t="s">
        <v>401</v>
      </c>
      <c r="C22" s="51" t="s">
        <v>409</v>
      </c>
      <c r="D22" s="52" t="s">
        <v>410</v>
      </c>
    </row>
    <row r="23" spans="1:4" x14ac:dyDescent="0.35">
      <c r="A23" s="49" t="s">
        <v>50</v>
      </c>
      <c r="B23" s="50" t="s">
        <v>401</v>
      </c>
      <c r="C23" s="51" t="s">
        <v>411</v>
      </c>
      <c r="D23" s="52" t="s">
        <v>412</v>
      </c>
    </row>
    <row r="24" spans="1:4" x14ac:dyDescent="0.35">
      <c r="A24" s="49" t="s">
        <v>145</v>
      </c>
      <c r="B24" s="50" t="s">
        <v>401</v>
      </c>
      <c r="C24" s="51" t="s">
        <v>413</v>
      </c>
      <c r="D24" s="52" t="s">
        <v>414</v>
      </c>
    </row>
    <row r="25" spans="1:4" x14ac:dyDescent="0.35">
      <c r="A25" s="49" t="s">
        <v>53</v>
      </c>
      <c r="B25" s="50" t="s">
        <v>401</v>
      </c>
      <c r="C25" s="51" t="s">
        <v>415</v>
      </c>
      <c r="D25" s="52" t="s">
        <v>416</v>
      </c>
    </row>
    <row r="26" spans="1:4" x14ac:dyDescent="0.35">
      <c r="A26" s="49" t="s">
        <v>54</v>
      </c>
      <c r="B26" s="50" t="s">
        <v>401</v>
      </c>
      <c r="C26" s="51" t="s">
        <v>417</v>
      </c>
      <c r="D26" s="52" t="s">
        <v>418</v>
      </c>
    </row>
    <row r="27" spans="1:4" x14ac:dyDescent="0.35">
      <c r="A27" s="49" t="s">
        <v>55</v>
      </c>
      <c r="B27" s="50" t="s">
        <v>401</v>
      </c>
      <c r="C27" s="51" t="s">
        <v>419</v>
      </c>
      <c r="D27" s="52" t="s">
        <v>420</v>
      </c>
    </row>
    <row r="28" spans="1:4" x14ac:dyDescent="0.35">
      <c r="A28" s="49" t="s">
        <v>56</v>
      </c>
      <c r="B28" s="50" t="s">
        <v>401</v>
      </c>
      <c r="C28" s="51" t="s">
        <v>421</v>
      </c>
      <c r="D28" s="52" t="s">
        <v>422</v>
      </c>
    </row>
    <row r="29" spans="1:4" x14ac:dyDescent="0.35">
      <c r="A29" s="49" t="s">
        <v>57</v>
      </c>
      <c r="B29" s="50" t="s">
        <v>401</v>
      </c>
      <c r="C29" s="51" t="s">
        <v>423</v>
      </c>
      <c r="D29" s="52" t="s">
        <v>146</v>
      </c>
    </row>
    <row r="30" spans="1:4" x14ac:dyDescent="0.35">
      <c r="A30" s="49" t="s">
        <v>147</v>
      </c>
      <c r="B30" s="50" t="s">
        <v>401</v>
      </c>
      <c r="C30" s="51" t="s">
        <v>424</v>
      </c>
      <c r="D30" s="52" t="s">
        <v>425</v>
      </c>
    </row>
    <row r="31" spans="1:4" x14ac:dyDescent="0.35">
      <c r="A31" s="49" t="s">
        <v>61</v>
      </c>
      <c r="B31" s="50" t="s">
        <v>401</v>
      </c>
      <c r="C31" s="51" t="s">
        <v>426</v>
      </c>
      <c r="D31" s="52" t="s">
        <v>427</v>
      </c>
    </row>
    <row r="32" spans="1:4" x14ac:dyDescent="0.35">
      <c r="A32" s="49" t="s">
        <v>148</v>
      </c>
      <c r="B32" s="50" t="s">
        <v>401</v>
      </c>
      <c r="C32" s="51" t="s">
        <v>428</v>
      </c>
      <c r="D32" s="52" t="s">
        <v>429</v>
      </c>
    </row>
  </sheetData>
  <mergeCells count="1">
    <mergeCell ref="A5:D5"/>
  </mergeCells>
  <phoneticPr fontId="2" type="noConversion"/>
  <pageMargins left="0.75" right="0.75" top="1" bottom="1" header="0.511811023622047" footer="0.511811023622047"/>
  <pageSetup paperSize="9" orientation="portrait" horizontalDpi="300" verticalDpi="300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4:F15"/>
  <sheetViews>
    <sheetView workbookViewId="0"/>
  </sheetViews>
  <sheetFormatPr defaultRowHeight="14.5" x14ac:dyDescent="0.35"/>
  <sheetData>
    <row r="4" spans="1:6" x14ac:dyDescent="0.35">
      <c r="A4" s="58" t="s">
        <v>152</v>
      </c>
      <c r="B4" s="58" t="s">
        <v>153</v>
      </c>
      <c r="C4" s="58" t="s">
        <v>154</v>
      </c>
      <c r="D4" s="58" t="s">
        <v>155</v>
      </c>
      <c r="E4" s="58" t="s">
        <v>156</v>
      </c>
      <c r="F4" s="58" t="s">
        <v>157</v>
      </c>
    </row>
    <row r="5" spans="1:6" x14ac:dyDescent="0.35">
      <c r="A5" s="154">
        <v>1</v>
      </c>
      <c r="B5" s="154" t="s">
        <v>158</v>
      </c>
      <c r="C5" s="154" t="s">
        <v>159</v>
      </c>
      <c r="D5" s="154" t="s">
        <v>142</v>
      </c>
      <c r="E5" s="154" t="s">
        <v>160</v>
      </c>
      <c r="F5" s="154" t="s">
        <v>161</v>
      </c>
    </row>
    <row r="6" spans="1:6" x14ac:dyDescent="0.35">
      <c r="A6" s="154">
        <v>1</v>
      </c>
      <c r="B6" s="154" t="s">
        <v>158</v>
      </c>
      <c r="C6" s="154" t="s">
        <v>159</v>
      </c>
      <c r="D6" s="154" t="s">
        <v>162</v>
      </c>
      <c r="E6" s="154" t="s">
        <v>162</v>
      </c>
      <c r="F6" s="154" t="s">
        <v>163</v>
      </c>
    </row>
    <row r="7" spans="1:6" x14ac:dyDescent="0.35">
      <c r="A7" s="154">
        <v>2</v>
      </c>
      <c r="B7" s="154" t="s">
        <v>164</v>
      </c>
      <c r="C7" s="154" t="s">
        <v>165</v>
      </c>
      <c r="D7" s="154" t="s">
        <v>263</v>
      </c>
      <c r="E7" s="154" t="s">
        <v>166</v>
      </c>
      <c r="F7" s="154" t="s">
        <v>167</v>
      </c>
    </row>
    <row r="8" spans="1:6" x14ac:dyDescent="0.35">
      <c r="A8" s="154">
        <v>3</v>
      </c>
      <c r="B8" s="154" t="s">
        <v>168</v>
      </c>
      <c r="C8" s="154" t="s">
        <v>169</v>
      </c>
      <c r="D8" s="154" t="s">
        <v>263</v>
      </c>
      <c r="E8" s="154" t="s">
        <v>170</v>
      </c>
      <c r="F8" s="154" t="s">
        <v>171</v>
      </c>
    </row>
    <row r="9" spans="1:6" x14ac:dyDescent="0.35">
      <c r="A9" s="154">
        <v>3</v>
      </c>
      <c r="B9" s="154" t="s">
        <v>168</v>
      </c>
      <c r="C9" s="154" t="s">
        <v>169</v>
      </c>
      <c r="D9" s="154" t="s">
        <v>264</v>
      </c>
      <c r="E9" s="154" t="s">
        <v>265</v>
      </c>
      <c r="F9" s="154" t="s">
        <v>266</v>
      </c>
    </row>
    <row r="10" spans="1:6" x14ac:dyDescent="0.35">
      <c r="A10" s="154">
        <v>4</v>
      </c>
      <c r="B10" s="154" t="s">
        <v>172</v>
      </c>
      <c r="C10" s="154" t="s">
        <v>173</v>
      </c>
      <c r="D10" s="154" t="s">
        <v>142</v>
      </c>
      <c r="E10" s="154" t="s">
        <v>174</v>
      </c>
      <c r="F10" s="154" t="s">
        <v>175</v>
      </c>
    </row>
    <row r="11" spans="1:6" x14ac:dyDescent="0.35">
      <c r="A11" s="154">
        <v>4</v>
      </c>
      <c r="B11" s="154" t="s">
        <v>172</v>
      </c>
      <c r="C11" s="154" t="s">
        <v>173</v>
      </c>
      <c r="D11" s="154" t="s">
        <v>267</v>
      </c>
      <c r="E11" s="154" t="s">
        <v>162</v>
      </c>
      <c r="F11" s="154" t="s">
        <v>176</v>
      </c>
    </row>
    <row r="12" spans="1:6" x14ac:dyDescent="0.35">
      <c r="A12" s="154">
        <v>5</v>
      </c>
      <c r="B12" s="154" t="s">
        <v>177</v>
      </c>
      <c r="C12" s="154" t="s">
        <v>178</v>
      </c>
      <c r="D12" s="154" t="s">
        <v>142</v>
      </c>
      <c r="E12" s="154" t="s">
        <v>179</v>
      </c>
      <c r="F12" s="154" t="s">
        <v>180</v>
      </c>
    </row>
    <row r="13" spans="1:6" x14ac:dyDescent="0.35">
      <c r="A13" s="154">
        <v>6</v>
      </c>
      <c r="B13" s="154" t="s">
        <v>181</v>
      </c>
      <c r="C13" s="154" t="s">
        <v>182</v>
      </c>
      <c r="D13" s="154" t="s">
        <v>142</v>
      </c>
      <c r="E13" s="154" t="s">
        <v>183</v>
      </c>
      <c r="F13" s="154" t="s">
        <v>180</v>
      </c>
    </row>
    <row r="14" spans="1:6" x14ac:dyDescent="0.35">
      <c r="A14" s="154">
        <v>7</v>
      </c>
      <c r="B14" s="154" t="s">
        <v>184</v>
      </c>
      <c r="C14" s="154" t="s">
        <v>185</v>
      </c>
      <c r="D14" s="154" t="s">
        <v>142</v>
      </c>
      <c r="E14" s="154" t="s">
        <v>186</v>
      </c>
      <c r="F14" s="154" t="s">
        <v>0</v>
      </c>
    </row>
    <row r="15" spans="1:6" x14ac:dyDescent="0.35">
      <c r="A15" s="154">
        <v>8</v>
      </c>
      <c r="B15" s="154" t="s">
        <v>187</v>
      </c>
      <c r="C15" s="154" t="s">
        <v>185</v>
      </c>
      <c r="D15" s="154" t="s">
        <v>142</v>
      </c>
      <c r="E15" s="154" t="s">
        <v>188</v>
      </c>
      <c r="F15" s="154" t="s">
        <v>0</v>
      </c>
    </row>
  </sheetData>
  <phoneticPr fontId="2" type="noConversion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4:B9"/>
  <sheetViews>
    <sheetView workbookViewId="0"/>
  </sheetViews>
  <sheetFormatPr defaultRowHeight="14.5" x14ac:dyDescent="0.35"/>
  <sheetData>
    <row r="4" spans="1:2" x14ac:dyDescent="0.35">
      <c r="A4" s="32" t="s">
        <v>452</v>
      </c>
      <c r="B4" s="32" t="s">
        <v>453</v>
      </c>
    </row>
    <row r="5" spans="1:2" x14ac:dyDescent="0.35">
      <c r="A5" s="32" t="s">
        <v>142</v>
      </c>
      <c r="B5" s="32" t="s">
        <v>457</v>
      </c>
    </row>
    <row r="6" spans="1:2" x14ac:dyDescent="0.35">
      <c r="A6" s="32" t="s">
        <v>481</v>
      </c>
      <c r="B6" s="32" t="s">
        <v>448</v>
      </c>
    </row>
    <row r="7" spans="1:2" x14ac:dyDescent="0.35">
      <c r="A7" s="32" t="s">
        <v>481</v>
      </c>
      <c r="B7" s="32" t="s">
        <v>449</v>
      </c>
    </row>
    <row r="8" spans="1:2" x14ac:dyDescent="0.35">
      <c r="A8" s="32" t="s">
        <v>481</v>
      </c>
      <c r="B8" s="32" t="s">
        <v>450</v>
      </c>
    </row>
    <row r="9" spans="1:2" x14ac:dyDescent="0.35">
      <c r="A9" s="32" t="s">
        <v>481</v>
      </c>
      <c r="B9" s="32" t="s">
        <v>451</v>
      </c>
    </row>
  </sheetData>
  <phoneticPr fontId="2" type="noConversion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4:G59"/>
  <sheetViews>
    <sheetView showGridLines="0" workbookViewId="0"/>
  </sheetViews>
  <sheetFormatPr defaultRowHeight="14.5" x14ac:dyDescent="0.35"/>
  <cols>
    <col min="2" max="2" width="10.6328125" bestFit="1" customWidth="1"/>
    <col min="3" max="3" width="7.54296875" bestFit="1" customWidth="1"/>
    <col min="4" max="4" width="24.36328125" bestFit="1" customWidth="1"/>
    <col min="5" max="5" width="5.7265625" customWidth="1"/>
    <col min="6" max="6" width="34.90625" customWidth="1"/>
    <col min="7" max="7" width="126.6328125" bestFit="1" customWidth="1"/>
  </cols>
  <sheetData>
    <row r="4" spans="1:7" x14ac:dyDescent="0.35">
      <c r="A4" s="58" t="s">
        <v>650</v>
      </c>
      <c r="B4" s="58" t="s">
        <v>651</v>
      </c>
      <c r="C4" s="58" t="s">
        <v>652</v>
      </c>
      <c r="D4" s="58" t="s">
        <v>653</v>
      </c>
      <c r="E4" s="58" t="s">
        <v>654</v>
      </c>
      <c r="F4" s="58" t="s">
        <v>655</v>
      </c>
      <c r="G4" s="58" t="s">
        <v>656</v>
      </c>
    </row>
    <row r="5" spans="1:7" x14ac:dyDescent="0.35">
      <c r="A5" s="96" t="s">
        <v>454</v>
      </c>
      <c r="B5" s="96" t="s">
        <v>657</v>
      </c>
      <c r="C5" s="96" t="s">
        <v>455</v>
      </c>
      <c r="D5" s="96" t="s">
        <v>658</v>
      </c>
      <c r="E5" s="96"/>
      <c r="F5" s="96" t="s">
        <v>85</v>
      </c>
      <c r="G5" s="96" t="s">
        <v>659</v>
      </c>
    </row>
    <row r="6" spans="1:7" x14ac:dyDescent="0.35">
      <c r="A6" s="96" t="s">
        <v>717</v>
      </c>
      <c r="B6" s="96" t="s">
        <v>657</v>
      </c>
      <c r="C6" s="96" t="s">
        <v>455</v>
      </c>
      <c r="D6" s="96" t="s">
        <v>784</v>
      </c>
      <c r="E6" s="96" t="s">
        <v>771</v>
      </c>
      <c r="F6" s="96" t="s">
        <v>115</v>
      </c>
      <c r="G6" s="96" t="s">
        <v>785</v>
      </c>
    </row>
    <row r="7" spans="1:7" x14ac:dyDescent="0.35">
      <c r="A7" s="96" t="s">
        <v>717</v>
      </c>
      <c r="B7" s="96" t="s">
        <v>657</v>
      </c>
      <c r="C7" s="96" t="s">
        <v>455</v>
      </c>
      <c r="D7" s="96" t="s">
        <v>786</v>
      </c>
      <c r="E7" s="96" t="s">
        <v>772</v>
      </c>
      <c r="F7" s="96" t="s">
        <v>115</v>
      </c>
      <c r="G7" s="96" t="s">
        <v>787</v>
      </c>
    </row>
    <row r="8" spans="1:7" x14ac:dyDescent="0.35">
      <c r="A8" s="96" t="s">
        <v>456</v>
      </c>
      <c r="B8" s="96" t="s">
        <v>657</v>
      </c>
      <c r="C8" s="96" t="s">
        <v>455</v>
      </c>
      <c r="D8" s="96" t="s">
        <v>142</v>
      </c>
      <c r="E8" s="96" t="s">
        <v>457</v>
      </c>
      <c r="F8" s="96" t="s">
        <v>10</v>
      </c>
      <c r="G8" s="97" t="s">
        <v>660</v>
      </c>
    </row>
    <row r="9" spans="1:7" x14ac:dyDescent="0.35">
      <c r="A9" s="96" t="s">
        <v>607</v>
      </c>
      <c r="B9" s="96" t="s">
        <v>657</v>
      </c>
      <c r="C9" s="96" t="s">
        <v>455</v>
      </c>
      <c r="D9" s="96" t="s">
        <v>661</v>
      </c>
      <c r="E9" s="96"/>
      <c r="F9" s="96" t="s">
        <v>85</v>
      </c>
      <c r="G9" s="96" t="s">
        <v>662</v>
      </c>
    </row>
    <row r="10" spans="1:7" x14ac:dyDescent="0.35">
      <c r="A10" s="116" t="s">
        <v>611</v>
      </c>
      <c r="B10" s="116" t="s">
        <v>657</v>
      </c>
      <c r="C10" s="116" t="s">
        <v>470</v>
      </c>
      <c r="D10" s="116" t="s">
        <v>263</v>
      </c>
      <c r="E10" s="116" t="s">
        <v>773</v>
      </c>
      <c r="F10" s="116" t="s">
        <v>16</v>
      </c>
      <c r="G10" s="116" t="s">
        <v>788</v>
      </c>
    </row>
    <row r="11" spans="1:7" x14ac:dyDescent="0.35">
      <c r="A11" s="116" t="s">
        <v>611</v>
      </c>
      <c r="B11" s="116" t="s">
        <v>657</v>
      </c>
      <c r="C11" s="116" t="s">
        <v>470</v>
      </c>
      <c r="D11" s="116" t="s">
        <v>263</v>
      </c>
      <c r="E11" s="116" t="s">
        <v>774</v>
      </c>
      <c r="F11" s="116" t="s">
        <v>22</v>
      </c>
      <c r="G11" s="116" t="s">
        <v>789</v>
      </c>
    </row>
    <row r="12" spans="1:7" x14ac:dyDescent="0.35">
      <c r="A12" s="96" t="s">
        <v>608</v>
      </c>
      <c r="B12" s="96" t="s">
        <v>657</v>
      </c>
      <c r="C12" s="96" t="s">
        <v>455</v>
      </c>
      <c r="D12" s="96" t="s">
        <v>658</v>
      </c>
      <c r="E12" s="96" t="s">
        <v>609</v>
      </c>
      <c r="F12" s="96" t="s">
        <v>65</v>
      </c>
      <c r="G12" s="96" t="s">
        <v>663</v>
      </c>
    </row>
    <row r="13" spans="1:7" x14ac:dyDescent="0.35">
      <c r="A13" s="98" t="s">
        <v>446</v>
      </c>
      <c r="B13" s="98" t="s">
        <v>664</v>
      </c>
      <c r="C13" s="98" t="s">
        <v>447</v>
      </c>
      <c r="D13" s="98" t="s">
        <v>263</v>
      </c>
      <c r="E13" s="98" t="s">
        <v>775</v>
      </c>
      <c r="F13" s="98" t="s">
        <v>10</v>
      </c>
      <c r="G13" s="98" t="s">
        <v>665</v>
      </c>
    </row>
    <row r="14" spans="1:7" x14ac:dyDescent="0.35">
      <c r="A14" s="98" t="s">
        <v>446</v>
      </c>
      <c r="B14" s="98" t="s">
        <v>664</v>
      </c>
      <c r="C14" s="98" t="s">
        <v>447</v>
      </c>
      <c r="D14" s="98" t="s">
        <v>263</v>
      </c>
      <c r="E14" s="98" t="s">
        <v>776</v>
      </c>
      <c r="F14" s="98" t="s">
        <v>16</v>
      </c>
      <c r="G14" s="98" t="s">
        <v>666</v>
      </c>
    </row>
    <row r="15" spans="1:7" x14ac:dyDescent="0.35">
      <c r="A15" s="98" t="s">
        <v>446</v>
      </c>
      <c r="B15" s="98" t="s">
        <v>664</v>
      </c>
      <c r="C15" s="98" t="s">
        <v>447</v>
      </c>
      <c r="D15" s="98" t="s">
        <v>263</v>
      </c>
      <c r="E15" s="98" t="s">
        <v>777</v>
      </c>
      <c r="F15" s="98" t="s">
        <v>36</v>
      </c>
      <c r="G15" s="98" t="s">
        <v>665</v>
      </c>
    </row>
    <row r="16" spans="1:7" x14ac:dyDescent="0.35">
      <c r="A16" s="98" t="s">
        <v>446</v>
      </c>
      <c r="B16" s="98" t="s">
        <v>664</v>
      </c>
      <c r="C16" s="98" t="s">
        <v>447</v>
      </c>
      <c r="D16" s="98" t="s">
        <v>263</v>
      </c>
      <c r="E16" s="98" t="s">
        <v>778</v>
      </c>
      <c r="F16" s="98" t="s">
        <v>10</v>
      </c>
      <c r="G16" s="98" t="s">
        <v>667</v>
      </c>
    </row>
    <row r="17" spans="1:7" x14ac:dyDescent="0.35">
      <c r="A17" s="116" t="s">
        <v>614</v>
      </c>
      <c r="B17" s="116" t="s">
        <v>708</v>
      </c>
      <c r="C17" s="116" t="s">
        <v>470</v>
      </c>
      <c r="D17" s="116" t="s">
        <v>263</v>
      </c>
      <c r="E17" s="116" t="s">
        <v>779</v>
      </c>
      <c r="F17" s="116" t="s">
        <v>25</v>
      </c>
      <c r="G17" s="116" t="s">
        <v>790</v>
      </c>
    </row>
    <row r="18" spans="1:7" x14ac:dyDescent="0.35">
      <c r="A18" s="116" t="s">
        <v>614</v>
      </c>
      <c r="B18" s="116" t="s">
        <v>708</v>
      </c>
      <c r="C18" s="116" t="s">
        <v>470</v>
      </c>
      <c r="D18" s="116" t="s">
        <v>263</v>
      </c>
      <c r="E18" s="116" t="s">
        <v>780</v>
      </c>
      <c r="F18" s="116" t="s">
        <v>36</v>
      </c>
      <c r="G18" s="116" t="s">
        <v>791</v>
      </c>
    </row>
    <row r="19" spans="1:7" x14ac:dyDescent="0.35">
      <c r="A19" s="32"/>
      <c r="B19" s="32"/>
      <c r="C19" s="32"/>
      <c r="D19" s="32"/>
      <c r="E19" s="32"/>
      <c r="F19" s="32"/>
      <c r="G19" s="32"/>
    </row>
    <row r="20" spans="1:7" x14ac:dyDescent="0.35">
      <c r="A20" s="32"/>
      <c r="B20" s="32"/>
      <c r="C20" s="32"/>
      <c r="D20" s="32"/>
      <c r="E20" s="32"/>
      <c r="F20" s="32"/>
      <c r="G20" s="32"/>
    </row>
    <row r="21" spans="1:7" x14ac:dyDescent="0.35">
      <c r="A21" s="155" t="s">
        <v>668</v>
      </c>
      <c r="B21" s="155" t="s">
        <v>669</v>
      </c>
      <c r="C21" s="180" t="s">
        <v>656</v>
      </c>
      <c r="D21" s="180"/>
      <c r="E21" s="180"/>
      <c r="F21" s="180"/>
      <c r="G21" s="32"/>
    </row>
    <row r="22" spans="1:7" x14ac:dyDescent="0.35">
      <c r="A22" s="154" t="s">
        <v>670</v>
      </c>
      <c r="B22" s="154" t="s">
        <v>458</v>
      </c>
      <c r="C22" s="179" t="s">
        <v>671</v>
      </c>
      <c r="D22" s="179"/>
      <c r="E22" s="179"/>
      <c r="F22" s="179"/>
      <c r="G22" s="32"/>
    </row>
    <row r="23" spans="1:7" x14ac:dyDescent="0.35">
      <c r="A23" s="154" t="s">
        <v>670</v>
      </c>
      <c r="B23" s="154" t="s">
        <v>459</v>
      </c>
      <c r="C23" s="179" t="s">
        <v>672</v>
      </c>
      <c r="D23" s="179"/>
      <c r="E23" s="179"/>
      <c r="F23" s="179"/>
      <c r="G23" s="32"/>
    </row>
    <row r="24" spans="1:7" x14ac:dyDescent="0.35">
      <c r="A24" s="154" t="s">
        <v>670</v>
      </c>
      <c r="B24" s="154" t="s">
        <v>460</v>
      </c>
      <c r="C24" s="179" t="s">
        <v>673</v>
      </c>
      <c r="D24" s="179"/>
      <c r="E24" s="179"/>
      <c r="F24" s="179"/>
      <c r="G24" s="32"/>
    </row>
    <row r="25" spans="1:7" x14ac:dyDescent="0.35">
      <c r="A25" s="154" t="s">
        <v>670</v>
      </c>
      <c r="B25" s="154" t="s">
        <v>461</v>
      </c>
      <c r="C25" s="179" t="s">
        <v>792</v>
      </c>
      <c r="D25" s="179"/>
      <c r="E25" s="179"/>
      <c r="F25" s="179"/>
      <c r="G25" s="32"/>
    </row>
    <row r="26" spans="1:7" x14ac:dyDescent="0.35">
      <c r="A26" s="154" t="s">
        <v>670</v>
      </c>
      <c r="B26" s="154" t="s">
        <v>454</v>
      </c>
      <c r="C26" s="179" t="s">
        <v>674</v>
      </c>
      <c r="D26" s="179"/>
      <c r="E26" s="179"/>
      <c r="F26" s="179"/>
      <c r="G26" s="32"/>
    </row>
    <row r="27" spans="1:7" x14ac:dyDescent="0.35">
      <c r="A27" s="154" t="s">
        <v>670</v>
      </c>
      <c r="B27" s="154" t="s">
        <v>456</v>
      </c>
      <c r="C27" s="179" t="s">
        <v>675</v>
      </c>
      <c r="D27" s="179"/>
      <c r="E27" s="179"/>
      <c r="F27" s="179"/>
      <c r="G27" s="32"/>
    </row>
    <row r="28" spans="1:7" x14ac:dyDescent="0.35">
      <c r="A28" s="154" t="s">
        <v>670</v>
      </c>
      <c r="B28" s="154" t="s">
        <v>462</v>
      </c>
      <c r="C28" s="179" t="s">
        <v>676</v>
      </c>
      <c r="D28" s="179"/>
      <c r="E28" s="179"/>
      <c r="F28" s="179"/>
      <c r="G28" s="32"/>
    </row>
    <row r="29" spans="1:7" x14ac:dyDescent="0.35">
      <c r="A29" s="154" t="s">
        <v>670</v>
      </c>
      <c r="B29" s="154" t="s">
        <v>463</v>
      </c>
      <c r="C29" s="179" t="s">
        <v>677</v>
      </c>
      <c r="D29" s="179"/>
      <c r="E29" s="179"/>
      <c r="F29" s="179"/>
      <c r="G29" s="32"/>
    </row>
    <row r="30" spans="1:7" x14ac:dyDescent="0.35">
      <c r="A30" s="154" t="s">
        <v>670</v>
      </c>
      <c r="B30" s="154" t="s">
        <v>464</v>
      </c>
      <c r="C30" s="179" t="s">
        <v>678</v>
      </c>
      <c r="D30" s="179"/>
      <c r="E30" s="179"/>
      <c r="F30" s="179"/>
      <c r="G30" s="32"/>
    </row>
    <row r="31" spans="1:7" x14ac:dyDescent="0.35">
      <c r="A31" s="154" t="s">
        <v>670</v>
      </c>
      <c r="B31" s="154" t="s">
        <v>465</v>
      </c>
      <c r="C31" s="179" t="s">
        <v>679</v>
      </c>
      <c r="D31" s="179"/>
      <c r="E31" s="179"/>
      <c r="F31" s="179"/>
      <c r="G31" s="32"/>
    </row>
    <row r="32" spans="1:7" x14ac:dyDescent="0.35">
      <c r="A32" s="154" t="s">
        <v>670</v>
      </c>
      <c r="B32" s="154" t="s">
        <v>466</v>
      </c>
      <c r="C32" s="179" t="s">
        <v>680</v>
      </c>
      <c r="D32" s="179"/>
      <c r="E32" s="179"/>
      <c r="F32" s="179"/>
      <c r="G32" s="32"/>
    </row>
    <row r="33" spans="1:7" x14ac:dyDescent="0.35">
      <c r="A33" s="154" t="s">
        <v>670</v>
      </c>
      <c r="B33" s="154" t="s">
        <v>446</v>
      </c>
      <c r="C33" s="179" t="s">
        <v>681</v>
      </c>
      <c r="D33" s="179"/>
      <c r="E33" s="179"/>
      <c r="F33" s="179"/>
      <c r="G33" s="32"/>
    </row>
    <row r="34" spans="1:7" x14ac:dyDescent="0.35">
      <c r="A34" s="154" t="s">
        <v>670</v>
      </c>
      <c r="B34" s="154" t="s">
        <v>467</v>
      </c>
      <c r="C34" s="179" t="s">
        <v>682</v>
      </c>
      <c r="D34" s="179"/>
      <c r="E34" s="179"/>
      <c r="F34" s="179"/>
      <c r="G34" s="32"/>
    </row>
    <row r="35" spans="1:7" x14ac:dyDescent="0.35">
      <c r="A35" s="154" t="s">
        <v>670</v>
      </c>
      <c r="B35" s="154" t="s">
        <v>468</v>
      </c>
      <c r="C35" s="179" t="s">
        <v>683</v>
      </c>
      <c r="D35" s="179"/>
      <c r="E35" s="179"/>
      <c r="F35" s="179"/>
      <c r="G35" s="32"/>
    </row>
    <row r="36" spans="1:7" x14ac:dyDescent="0.35">
      <c r="A36" s="154" t="s">
        <v>670</v>
      </c>
      <c r="B36" s="154" t="s">
        <v>469</v>
      </c>
      <c r="C36" s="179" t="s">
        <v>684</v>
      </c>
      <c r="D36" s="179"/>
      <c r="E36" s="179"/>
      <c r="F36" s="179"/>
      <c r="G36" s="32"/>
    </row>
    <row r="37" spans="1:7" x14ac:dyDescent="0.35">
      <c r="A37" s="154" t="s">
        <v>670</v>
      </c>
      <c r="B37" s="154" t="s">
        <v>610</v>
      </c>
      <c r="C37" s="179" t="s">
        <v>685</v>
      </c>
      <c r="D37" s="179"/>
      <c r="E37" s="179"/>
      <c r="F37" s="179"/>
      <c r="G37" s="32"/>
    </row>
    <row r="38" spans="1:7" x14ac:dyDescent="0.35">
      <c r="A38" s="154" t="s">
        <v>670</v>
      </c>
      <c r="B38" s="154" t="s">
        <v>607</v>
      </c>
      <c r="C38" s="179" t="s">
        <v>686</v>
      </c>
      <c r="D38" s="179"/>
      <c r="E38" s="179"/>
      <c r="F38" s="179"/>
      <c r="G38" s="32"/>
    </row>
    <row r="39" spans="1:7" x14ac:dyDescent="0.35">
      <c r="A39" s="154" t="s">
        <v>670</v>
      </c>
      <c r="B39" s="154" t="s">
        <v>611</v>
      </c>
      <c r="C39" s="179" t="s">
        <v>687</v>
      </c>
      <c r="D39" s="179"/>
      <c r="E39" s="179"/>
      <c r="F39" s="179"/>
      <c r="G39" s="32"/>
    </row>
    <row r="40" spans="1:7" x14ac:dyDescent="0.35">
      <c r="A40" s="154" t="s">
        <v>670</v>
      </c>
      <c r="B40" s="154" t="s">
        <v>608</v>
      </c>
      <c r="C40" s="179" t="s">
        <v>688</v>
      </c>
      <c r="D40" s="179"/>
      <c r="E40" s="179"/>
      <c r="F40" s="179"/>
      <c r="G40" s="32"/>
    </row>
    <row r="41" spans="1:7" x14ac:dyDescent="0.35">
      <c r="A41" s="154" t="s">
        <v>670</v>
      </c>
      <c r="B41" s="154" t="s">
        <v>612</v>
      </c>
      <c r="C41" s="179" t="s">
        <v>689</v>
      </c>
      <c r="D41" s="179"/>
      <c r="E41" s="179"/>
      <c r="F41" s="179"/>
      <c r="G41" s="32"/>
    </row>
    <row r="42" spans="1:7" x14ac:dyDescent="0.35">
      <c r="A42" s="154" t="s">
        <v>670</v>
      </c>
      <c r="B42" s="154" t="s">
        <v>717</v>
      </c>
      <c r="C42" s="179" t="s">
        <v>793</v>
      </c>
      <c r="D42" s="179"/>
      <c r="E42" s="179"/>
      <c r="F42" s="179"/>
      <c r="G42" s="32"/>
    </row>
    <row r="43" spans="1:7" x14ac:dyDescent="0.35">
      <c r="A43" s="154" t="s">
        <v>670</v>
      </c>
      <c r="B43" s="154" t="s">
        <v>613</v>
      </c>
      <c r="C43" s="179" t="s">
        <v>690</v>
      </c>
      <c r="D43" s="179"/>
      <c r="E43" s="179"/>
      <c r="F43" s="179"/>
      <c r="G43" s="32"/>
    </row>
    <row r="44" spans="1:7" x14ac:dyDescent="0.35">
      <c r="A44" s="154" t="s">
        <v>670</v>
      </c>
      <c r="B44" s="154" t="s">
        <v>614</v>
      </c>
      <c r="C44" s="179" t="s">
        <v>691</v>
      </c>
      <c r="D44" s="179"/>
      <c r="E44" s="179"/>
      <c r="F44" s="179"/>
      <c r="G44" s="32"/>
    </row>
    <row r="45" spans="1:7" x14ac:dyDescent="0.35">
      <c r="A45" s="154" t="s">
        <v>670</v>
      </c>
      <c r="B45" s="154" t="s">
        <v>615</v>
      </c>
      <c r="C45" s="179" t="s">
        <v>692</v>
      </c>
      <c r="D45" s="179"/>
      <c r="E45" s="179"/>
      <c r="F45" s="179"/>
      <c r="G45" s="32"/>
    </row>
    <row r="46" spans="1:7" x14ac:dyDescent="0.35">
      <c r="A46" s="154" t="s">
        <v>670</v>
      </c>
      <c r="B46" s="154" t="s">
        <v>616</v>
      </c>
      <c r="C46" s="179" t="s">
        <v>693</v>
      </c>
      <c r="D46" s="179"/>
      <c r="E46" s="179"/>
      <c r="F46" s="179"/>
      <c r="G46" s="32"/>
    </row>
    <row r="47" spans="1:7" x14ac:dyDescent="0.35">
      <c r="A47" s="154" t="s">
        <v>670</v>
      </c>
      <c r="B47" s="154" t="s">
        <v>617</v>
      </c>
      <c r="C47" s="179" t="s">
        <v>694</v>
      </c>
      <c r="D47" s="179"/>
      <c r="E47" s="179"/>
      <c r="F47" s="179"/>
      <c r="G47" s="32"/>
    </row>
    <row r="48" spans="1:7" x14ac:dyDescent="0.35">
      <c r="A48" s="154" t="s">
        <v>695</v>
      </c>
      <c r="B48" s="154" t="s">
        <v>696</v>
      </c>
      <c r="C48" s="179" t="s">
        <v>697</v>
      </c>
      <c r="D48" s="179"/>
      <c r="E48" s="179"/>
      <c r="F48" s="179"/>
      <c r="G48" s="32"/>
    </row>
    <row r="49" spans="1:7" x14ac:dyDescent="0.35">
      <c r="A49" s="154" t="s">
        <v>695</v>
      </c>
      <c r="B49" s="154" t="s">
        <v>657</v>
      </c>
      <c r="C49" s="179" t="s">
        <v>698</v>
      </c>
      <c r="D49" s="179"/>
      <c r="E49" s="179"/>
      <c r="F49" s="179"/>
      <c r="G49" s="32"/>
    </row>
    <row r="50" spans="1:7" x14ac:dyDescent="0.35">
      <c r="A50" s="154" t="s">
        <v>695</v>
      </c>
      <c r="B50" s="154" t="s">
        <v>699</v>
      </c>
      <c r="C50" s="179" t="s">
        <v>700</v>
      </c>
      <c r="D50" s="179"/>
      <c r="E50" s="179"/>
      <c r="F50" s="179"/>
      <c r="G50" s="32"/>
    </row>
    <row r="51" spans="1:7" x14ac:dyDescent="0.35">
      <c r="A51" s="154" t="s">
        <v>695</v>
      </c>
      <c r="B51" s="154" t="s">
        <v>701</v>
      </c>
      <c r="C51" s="179" t="s">
        <v>702</v>
      </c>
      <c r="D51" s="179"/>
      <c r="E51" s="179"/>
      <c r="F51" s="179"/>
      <c r="G51" s="32"/>
    </row>
    <row r="52" spans="1:7" x14ac:dyDescent="0.35">
      <c r="A52" s="154" t="s">
        <v>695</v>
      </c>
      <c r="B52" s="154" t="s">
        <v>703</v>
      </c>
      <c r="C52" s="179" t="s">
        <v>704</v>
      </c>
      <c r="D52" s="179"/>
      <c r="E52" s="179"/>
      <c r="F52" s="179"/>
      <c r="G52" s="32"/>
    </row>
    <row r="53" spans="1:7" x14ac:dyDescent="0.35">
      <c r="A53" s="154" t="s">
        <v>695</v>
      </c>
      <c r="B53" s="154" t="s">
        <v>664</v>
      </c>
      <c r="C53" s="179" t="s">
        <v>705</v>
      </c>
      <c r="D53" s="179"/>
      <c r="E53" s="179"/>
      <c r="F53" s="179"/>
      <c r="G53" s="32"/>
    </row>
    <row r="54" spans="1:7" x14ac:dyDescent="0.35">
      <c r="A54" s="154" t="s">
        <v>695</v>
      </c>
      <c r="B54" s="154" t="s">
        <v>706</v>
      </c>
      <c r="C54" s="179" t="s">
        <v>707</v>
      </c>
      <c r="D54" s="179"/>
      <c r="E54" s="179"/>
      <c r="F54" s="179"/>
      <c r="G54" s="32"/>
    </row>
    <row r="55" spans="1:7" x14ac:dyDescent="0.35">
      <c r="A55" s="154" t="s">
        <v>695</v>
      </c>
      <c r="B55" s="154" t="s">
        <v>708</v>
      </c>
      <c r="C55" s="179" t="s">
        <v>709</v>
      </c>
      <c r="D55" s="179"/>
      <c r="E55" s="179"/>
      <c r="F55" s="179"/>
      <c r="G55" s="32"/>
    </row>
    <row r="56" spans="1:7" x14ac:dyDescent="0.35">
      <c r="A56" s="154" t="s">
        <v>695</v>
      </c>
      <c r="B56" s="154" t="s">
        <v>710</v>
      </c>
      <c r="C56" s="179" t="s">
        <v>711</v>
      </c>
      <c r="D56" s="179"/>
      <c r="E56" s="179"/>
      <c r="F56" s="179"/>
      <c r="G56" s="32"/>
    </row>
    <row r="57" spans="1:7" x14ac:dyDescent="0.35">
      <c r="A57" s="154" t="s">
        <v>712</v>
      </c>
      <c r="B57" s="154" t="s">
        <v>455</v>
      </c>
      <c r="C57" s="179" t="s">
        <v>713</v>
      </c>
      <c r="D57" s="179"/>
      <c r="E57" s="179"/>
      <c r="F57" s="179"/>
      <c r="G57" s="32"/>
    </row>
    <row r="58" spans="1:7" x14ac:dyDescent="0.35">
      <c r="A58" s="154" t="s">
        <v>712</v>
      </c>
      <c r="B58" s="154" t="s">
        <v>470</v>
      </c>
      <c r="C58" s="179" t="s">
        <v>714</v>
      </c>
      <c r="D58" s="179"/>
      <c r="E58" s="179"/>
      <c r="F58" s="179"/>
      <c r="G58" s="32"/>
    </row>
    <row r="59" spans="1:7" x14ac:dyDescent="0.35">
      <c r="A59" s="154" t="s">
        <v>712</v>
      </c>
      <c r="B59" s="154" t="s">
        <v>447</v>
      </c>
      <c r="C59" s="179" t="s">
        <v>715</v>
      </c>
      <c r="D59" s="179"/>
      <c r="E59" s="179"/>
      <c r="F59" s="179"/>
      <c r="G59" s="32"/>
    </row>
  </sheetData>
  <mergeCells count="39">
    <mergeCell ref="C37:F37"/>
    <mergeCell ref="C38:F38"/>
    <mergeCell ref="C31:F31"/>
    <mergeCell ref="C32:F32"/>
    <mergeCell ref="C33:F33"/>
    <mergeCell ref="C34:F34"/>
    <mergeCell ref="C35:F35"/>
    <mergeCell ref="C36:F36"/>
    <mergeCell ref="C30:F3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9:F39"/>
    <mergeCell ref="C40:F40"/>
    <mergeCell ref="C41:F41"/>
    <mergeCell ref="C42:F42"/>
    <mergeCell ref="C43:F43"/>
    <mergeCell ref="C49:F49"/>
    <mergeCell ref="C50:F50"/>
    <mergeCell ref="C51:F51"/>
    <mergeCell ref="C52:F52"/>
    <mergeCell ref="C44:F44"/>
    <mergeCell ref="C45:F45"/>
    <mergeCell ref="C46:F46"/>
    <mergeCell ref="C47:F47"/>
    <mergeCell ref="C48:F48"/>
    <mergeCell ref="C58:F58"/>
    <mergeCell ref="C59:F59"/>
    <mergeCell ref="C53:F53"/>
    <mergeCell ref="C54:F54"/>
    <mergeCell ref="C55:F55"/>
    <mergeCell ref="C56:F56"/>
    <mergeCell ref="C57:F57"/>
  </mergeCells>
  <phoneticPr fontId="2" type="noConversion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J13"/>
  <sheetViews>
    <sheetView showGridLines="0" tabSelected="1" zoomScaleNormal="100" workbookViewId="0">
      <selection activeCell="D9" sqref="D9"/>
    </sheetView>
  </sheetViews>
  <sheetFormatPr defaultColWidth="8.6328125" defaultRowHeight="14.5" x14ac:dyDescent="0.35"/>
  <cols>
    <col min="1" max="1" width="26" customWidth="1"/>
    <col min="2" max="2" width="42" customWidth="1"/>
    <col min="3" max="3" width="37.54296875" bestFit="1" customWidth="1"/>
    <col min="4" max="5" width="18.6328125" customWidth="1"/>
    <col min="7" max="7" width="18.7265625" customWidth="1"/>
    <col min="8" max="8" width="23.26953125" bestFit="1" customWidth="1"/>
    <col min="9" max="9" width="55.1796875" bestFit="1" customWidth="1"/>
    <col min="10" max="10" width="30.81640625" customWidth="1"/>
  </cols>
  <sheetData>
    <row r="1" spans="1:10" x14ac:dyDescent="0.35">
      <c r="A1" s="72" t="s">
        <v>534</v>
      </c>
      <c r="B1" s="72"/>
      <c r="C1" s="72"/>
      <c r="D1" s="72"/>
      <c r="E1" s="32"/>
      <c r="F1" s="149" t="s">
        <v>1081</v>
      </c>
      <c r="G1" s="32"/>
      <c r="H1" s="32"/>
      <c r="I1" s="32"/>
      <c r="J1" s="32"/>
    </row>
    <row r="2" spans="1:10" x14ac:dyDescent="0.35">
      <c r="A2" s="32"/>
      <c r="B2" s="32"/>
      <c r="C2" s="32"/>
      <c r="D2" s="32"/>
      <c r="E2" s="32"/>
      <c r="F2" s="150" t="s">
        <v>1085</v>
      </c>
      <c r="G2" s="32"/>
      <c r="H2" s="32"/>
      <c r="I2" s="32"/>
      <c r="J2" s="32"/>
    </row>
    <row r="3" spans="1:10" ht="40" customHeight="1" thickBot="1" x14ac:dyDescent="0.4">
      <c r="A3" s="181" t="s">
        <v>1064</v>
      </c>
      <c r="B3" s="181"/>
      <c r="C3" s="181"/>
      <c r="D3" s="88"/>
      <c r="E3" s="88"/>
      <c r="F3" s="32"/>
      <c r="G3" s="150" t="s">
        <v>1080</v>
      </c>
      <c r="H3" s="150"/>
      <c r="I3" s="150"/>
      <c r="J3" s="150"/>
    </row>
    <row r="4" spans="1:10" ht="15" thickBot="1" x14ac:dyDescent="0.4">
      <c r="A4" s="73" t="s">
        <v>1110</v>
      </c>
      <c r="B4" s="73" t="s">
        <v>1111</v>
      </c>
      <c r="C4" s="73" t="s">
        <v>1112</v>
      </c>
      <c r="D4" s="32"/>
      <c r="E4" s="32"/>
      <c r="F4" s="32"/>
      <c r="G4" s="151" t="s">
        <v>1065</v>
      </c>
      <c r="H4" s="151" t="s">
        <v>1066</v>
      </c>
      <c r="I4" s="151" t="s">
        <v>1067</v>
      </c>
      <c r="J4" s="151" t="s">
        <v>1068</v>
      </c>
    </row>
    <row r="5" spans="1:10" ht="15" thickBot="1" x14ac:dyDescent="0.4">
      <c r="A5" s="190" t="s">
        <v>1125</v>
      </c>
      <c r="B5" s="81" t="s">
        <v>1126</v>
      </c>
      <c r="C5" s="81"/>
      <c r="D5" s="57"/>
      <c r="E5" s="32"/>
      <c r="F5" s="32"/>
      <c r="G5" s="137" t="s">
        <v>984</v>
      </c>
      <c r="H5" s="138" t="s">
        <v>1062</v>
      </c>
      <c r="I5" s="138" t="s">
        <v>1069</v>
      </c>
      <c r="J5" s="138" t="s">
        <v>1070</v>
      </c>
    </row>
    <row r="6" spans="1:10" ht="15" thickBot="1" x14ac:dyDescent="0.4">
      <c r="A6" s="190" t="s">
        <v>640</v>
      </c>
      <c r="B6" s="81" t="s">
        <v>1123</v>
      </c>
      <c r="C6" s="81"/>
      <c r="D6" s="32"/>
      <c r="E6" s="32"/>
      <c r="F6" s="32"/>
      <c r="G6" s="137" t="s">
        <v>985</v>
      </c>
      <c r="H6" s="138" t="s">
        <v>1063</v>
      </c>
      <c r="I6" s="138" t="s">
        <v>1071</v>
      </c>
      <c r="J6" s="138" t="s">
        <v>1070</v>
      </c>
    </row>
    <row r="7" spans="1:10" ht="15" thickBot="1" x14ac:dyDescent="0.4">
      <c r="A7" s="76" t="s">
        <v>1113</v>
      </c>
      <c r="B7" s="77" t="s">
        <v>1124</v>
      </c>
      <c r="C7" s="81" t="s">
        <v>1127</v>
      </c>
      <c r="D7" s="32"/>
      <c r="E7" s="32"/>
      <c r="F7" s="32"/>
      <c r="G7" s="137" t="s">
        <v>986</v>
      </c>
      <c r="H7" s="138" t="s">
        <v>987</v>
      </c>
      <c r="I7" s="138" t="s">
        <v>1072</v>
      </c>
      <c r="J7" s="138" t="s">
        <v>1073</v>
      </c>
    </row>
    <row r="8" spans="1:10" ht="15" thickBot="1" x14ac:dyDescent="0.4">
      <c r="A8" s="76" t="s">
        <v>1114</v>
      </c>
      <c r="B8" s="77">
        <f>IFERROR(COUNTIFS(인스턴스_통합!E:E,$B$7,인스턴스_통합!K:K,"반영완료",인스턴스_통합!I:I,"&lt;&gt;")/COUNTIFS(인스턴스_통합!E:E,$B$7,인스턴스_통합!I:I,"&lt;&gt;"),"(해당 CR 없음)")</f>
        <v>1</v>
      </c>
      <c r="C8" s="81" t="s">
        <v>1128</v>
      </c>
      <c r="D8" s="32"/>
      <c r="E8" s="32"/>
      <c r="F8" s="32"/>
      <c r="G8" s="137" t="s">
        <v>988</v>
      </c>
      <c r="H8" s="138" t="s">
        <v>989</v>
      </c>
      <c r="I8" s="138" t="s">
        <v>1074</v>
      </c>
      <c r="J8" s="138" t="s">
        <v>1075</v>
      </c>
    </row>
    <row r="9" spans="1:10" ht="15" thickBot="1" x14ac:dyDescent="0.4">
      <c r="A9" s="76" t="s">
        <v>1115</v>
      </c>
      <c r="B9" s="77">
        <f>COUNTIFS(인스턴스_통합!E:E,$B$7,인스턴스_통합!S:S,"&lt;&gt;",인스턴스_통합!S:S,"&lt;&gt;검증완료")</f>
        <v>1</v>
      </c>
      <c r="C9" s="81" t="s">
        <v>1116</v>
      </c>
      <c r="D9" s="32"/>
      <c r="E9" s="32"/>
      <c r="F9" s="32"/>
      <c r="G9" s="137" t="s">
        <v>990</v>
      </c>
      <c r="H9" s="138" t="s">
        <v>991</v>
      </c>
      <c r="I9" s="138" t="s">
        <v>1076</v>
      </c>
      <c r="J9" s="138" t="s">
        <v>1077</v>
      </c>
    </row>
    <row r="10" spans="1:10" ht="15" thickBot="1" x14ac:dyDescent="0.4">
      <c r="A10" s="76" t="s">
        <v>1129</v>
      </c>
      <c r="B10" s="77">
        <f>SUMIFS(인스턴스_통합!X:X,인스턴스_통합!E:E,$B$7)</f>
        <v>0</v>
      </c>
      <c r="C10" s="81" t="s">
        <v>1117</v>
      </c>
      <c r="D10" s="32"/>
      <c r="E10" s="32"/>
      <c r="F10" s="32"/>
      <c r="G10" s="137" t="s">
        <v>992</v>
      </c>
      <c r="H10" s="138" t="s">
        <v>993</v>
      </c>
      <c r="I10" s="138" t="s">
        <v>1078</v>
      </c>
      <c r="J10" s="138" t="s">
        <v>1079</v>
      </c>
    </row>
    <row r="11" spans="1:10" x14ac:dyDescent="0.35">
      <c r="A11" s="76" t="s">
        <v>1118</v>
      </c>
      <c r="B11" s="189" t="str">
        <f>IF(COUNTIF(스냅샷_보관!A:A,$B$7)&gt;0,"기록 있음","미기록(경고)")</f>
        <v>기록 있음</v>
      </c>
      <c r="C11" s="81" t="s">
        <v>1119</v>
      </c>
      <c r="D11" s="32"/>
      <c r="E11" s="32"/>
      <c r="F11" s="32"/>
      <c r="G11" s="32"/>
      <c r="H11" s="32"/>
      <c r="I11" s="32"/>
      <c r="J11" s="32"/>
    </row>
    <row r="12" spans="1:10" x14ac:dyDescent="0.35">
      <c r="A12" s="76" t="s">
        <v>1120</v>
      </c>
      <c r="B12" s="78" t="s">
        <v>1121</v>
      </c>
      <c r="C12" s="81" t="s">
        <v>1117</v>
      </c>
      <c r="D12" s="32"/>
      <c r="E12" s="32"/>
      <c r="F12" s="32"/>
      <c r="G12" s="32"/>
      <c r="H12" s="32"/>
      <c r="I12" s="32"/>
      <c r="J12" s="32"/>
    </row>
    <row r="13" spans="1:10" x14ac:dyDescent="0.35">
      <c r="A13" s="76" t="s">
        <v>1122</v>
      </c>
      <c r="B13" s="79" t="str">
        <f>IF(AND($B$9=1,$B$10=0,$B$11=0,$B$12="기록 있음"),"GO","NO-GO")</f>
        <v>NO-GO</v>
      </c>
      <c r="C13" s="81" t="s">
        <v>1119</v>
      </c>
    </row>
  </sheetData>
  <mergeCells count="1">
    <mergeCell ref="A3:C3"/>
  </mergeCells>
  <phoneticPr fontId="2" type="noConversion"/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E11"/>
  <sheetViews>
    <sheetView showGridLines="0" zoomScaleNormal="100" workbookViewId="0"/>
  </sheetViews>
  <sheetFormatPr defaultColWidth="8.6328125" defaultRowHeight="14.5" x14ac:dyDescent="0.35"/>
  <cols>
    <col min="1" max="2" width="26" customWidth="1"/>
    <col min="3" max="3" width="14" customWidth="1"/>
    <col min="4" max="4" width="22" customWidth="1"/>
    <col min="5" max="5" width="18" customWidth="1"/>
    <col min="6" max="6" width="13.1796875" customWidth="1"/>
  </cols>
  <sheetData>
    <row r="3" spans="1:5" ht="27.75" customHeight="1" x14ac:dyDescent="0.35">
      <c r="A3" s="32"/>
      <c r="B3" s="32"/>
      <c r="C3" s="32"/>
      <c r="D3" s="32"/>
      <c r="E3" s="32"/>
    </row>
    <row r="4" spans="1:5" x14ac:dyDescent="0.35">
      <c r="A4" s="74" t="s">
        <v>0</v>
      </c>
      <c r="B4" s="74" t="s">
        <v>1</v>
      </c>
      <c r="C4" s="74" t="s">
        <v>618</v>
      </c>
      <c r="D4" s="74" t="s">
        <v>619</v>
      </c>
      <c r="E4" s="74" t="s">
        <v>620</v>
      </c>
    </row>
    <row r="5" spans="1:5" x14ac:dyDescent="0.35">
      <c r="A5" s="83" t="s">
        <v>10</v>
      </c>
      <c r="B5" s="83" t="s">
        <v>11</v>
      </c>
      <c r="C5" s="82">
        <v>2</v>
      </c>
      <c r="D5" s="83" t="s">
        <v>485</v>
      </c>
      <c r="E5" s="82" t="s">
        <v>621</v>
      </c>
    </row>
    <row r="6" spans="1:5" x14ac:dyDescent="0.35">
      <c r="A6" s="81" t="s">
        <v>16</v>
      </c>
      <c r="B6" s="81" t="s">
        <v>17</v>
      </c>
      <c r="C6" s="74">
        <v>1</v>
      </c>
      <c r="D6" s="81" t="s">
        <v>64</v>
      </c>
      <c r="E6" s="74" t="s">
        <v>622</v>
      </c>
    </row>
    <row r="7" spans="1:5" x14ac:dyDescent="0.35">
      <c r="A7" s="81" t="s">
        <v>22</v>
      </c>
      <c r="B7" s="81" t="s">
        <v>23</v>
      </c>
      <c r="C7" s="74">
        <v>1</v>
      </c>
      <c r="D7" s="81" t="s">
        <v>84</v>
      </c>
      <c r="E7" s="74" t="s">
        <v>622</v>
      </c>
    </row>
    <row r="8" spans="1:5" x14ac:dyDescent="0.35">
      <c r="A8" s="81" t="s">
        <v>25</v>
      </c>
      <c r="B8" s="81" t="s">
        <v>26</v>
      </c>
      <c r="C8" s="74">
        <v>1</v>
      </c>
      <c r="D8" s="81" t="s">
        <v>84</v>
      </c>
      <c r="E8" s="74" t="s">
        <v>622</v>
      </c>
    </row>
    <row r="9" spans="1:5" x14ac:dyDescent="0.35">
      <c r="A9" s="81" t="s">
        <v>28</v>
      </c>
      <c r="B9" s="81" t="s">
        <v>29</v>
      </c>
      <c r="C9" s="74">
        <v>0</v>
      </c>
      <c r="D9" s="81"/>
      <c r="E9" s="74" t="s">
        <v>623</v>
      </c>
    </row>
    <row r="10" spans="1:5" x14ac:dyDescent="0.35">
      <c r="A10" s="81" t="s">
        <v>30</v>
      </c>
      <c r="B10" s="81" t="s">
        <v>31</v>
      </c>
      <c r="C10" s="74">
        <v>1</v>
      </c>
      <c r="D10" s="81" t="s">
        <v>84</v>
      </c>
      <c r="E10" s="74" t="s">
        <v>622</v>
      </c>
    </row>
    <row r="11" spans="1:5" x14ac:dyDescent="0.35">
      <c r="A11" s="81" t="s">
        <v>36</v>
      </c>
      <c r="B11" s="81" t="s">
        <v>37</v>
      </c>
      <c r="C11" s="74">
        <v>1</v>
      </c>
      <c r="D11" s="81" t="s">
        <v>84</v>
      </c>
      <c r="E11" s="74" t="s">
        <v>622</v>
      </c>
    </row>
  </sheetData>
  <phoneticPr fontId="2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F9"/>
  <sheetViews>
    <sheetView zoomScaleNormal="100" workbookViewId="0">
      <selection sqref="A1:E1"/>
    </sheetView>
  </sheetViews>
  <sheetFormatPr defaultColWidth="8.6328125" defaultRowHeight="14.5" x14ac:dyDescent="0.35"/>
  <cols>
    <col min="1" max="1" width="20" customWidth="1"/>
    <col min="2" max="2" width="12" customWidth="1"/>
    <col min="3" max="3" width="14" customWidth="1"/>
    <col min="4" max="4" width="26" customWidth="1"/>
    <col min="5" max="5" width="14" customWidth="1"/>
  </cols>
  <sheetData>
    <row r="1" spans="1:6" x14ac:dyDescent="0.35">
      <c r="A1" s="182" t="s">
        <v>536</v>
      </c>
      <c r="B1" s="182"/>
      <c r="C1" s="182"/>
      <c r="D1" s="182"/>
      <c r="E1" s="182"/>
      <c r="F1" s="32"/>
    </row>
    <row r="2" spans="1:6" x14ac:dyDescent="0.35">
      <c r="A2" s="32"/>
      <c r="B2" s="32"/>
      <c r="C2" s="32"/>
      <c r="D2" s="32"/>
      <c r="E2" s="32"/>
      <c r="F2" s="32"/>
    </row>
    <row r="3" spans="1:6" ht="27.75" customHeight="1" x14ac:dyDescent="0.35">
      <c r="A3" s="183" t="s">
        <v>537</v>
      </c>
      <c r="B3" s="183"/>
      <c r="C3" s="183"/>
      <c r="D3" s="183"/>
      <c r="E3" s="183"/>
      <c r="F3" s="88"/>
    </row>
    <row r="4" spans="1:6" x14ac:dyDescent="0.35">
      <c r="A4" s="65" t="s">
        <v>486</v>
      </c>
      <c r="B4" s="65" t="s">
        <v>487</v>
      </c>
      <c r="C4" s="65" t="s">
        <v>488</v>
      </c>
      <c r="D4" s="65" t="s">
        <v>489</v>
      </c>
      <c r="E4" s="65" t="s">
        <v>490</v>
      </c>
      <c r="F4" s="32"/>
    </row>
    <row r="5" spans="1:6" x14ac:dyDescent="0.35">
      <c r="A5" s="67" t="s">
        <v>102</v>
      </c>
      <c r="B5" s="67" t="s">
        <v>491</v>
      </c>
      <c r="C5" s="67" t="s">
        <v>492</v>
      </c>
      <c r="D5" s="67" t="s">
        <v>36</v>
      </c>
      <c r="E5" s="67" t="s">
        <v>104</v>
      </c>
      <c r="F5" s="32"/>
    </row>
    <row r="6" spans="1:6" x14ac:dyDescent="0.35">
      <c r="A6" s="67" t="s">
        <v>114</v>
      </c>
      <c r="B6" s="67" t="s">
        <v>493</v>
      </c>
      <c r="C6" s="67" t="s">
        <v>494</v>
      </c>
      <c r="D6" s="67" t="s">
        <v>25</v>
      </c>
      <c r="E6" s="67" t="s">
        <v>118</v>
      </c>
      <c r="F6" s="32"/>
    </row>
    <row r="7" spans="1:6" x14ac:dyDescent="0.35">
      <c r="A7" s="67" t="s">
        <v>495</v>
      </c>
      <c r="B7" s="67" t="s">
        <v>496</v>
      </c>
      <c r="C7" s="67" t="s">
        <v>497</v>
      </c>
      <c r="D7" s="67" t="s">
        <v>10</v>
      </c>
      <c r="E7" s="67" t="s">
        <v>498</v>
      </c>
      <c r="F7" s="32"/>
    </row>
    <row r="8" spans="1:6" x14ac:dyDescent="0.35">
      <c r="A8" s="67" t="s">
        <v>499</v>
      </c>
      <c r="B8" s="67" t="s">
        <v>491</v>
      </c>
      <c r="C8" s="67" t="s">
        <v>494</v>
      </c>
      <c r="D8" s="67" t="s">
        <v>25</v>
      </c>
      <c r="E8" s="67" t="s">
        <v>500</v>
      </c>
      <c r="F8" s="32"/>
    </row>
    <row r="9" spans="1:6" x14ac:dyDescent="0.35">
      <c r="A9" s="67" t="s">
        <v>501</v>
      </c>
      <c r="B9" s="67" t="s">
        <v>493</v>
      </c>
      <c r="C9" s="67" t="s">
        <v>497</v>
      </c>
      <c r="D9" s="67" t="s">
        <v>25</v>
      </c>
      <c r="E9" s="67" t="s">
        <v>502</v>
      </c>
      <c r="F9" s="32"/>
    </row>
  </sheetData>
  <mergeCells count="2">
    <mergeCell ref="A1:E1"/>
    <mergeCell ref="A3:E3"/>
  </mergeCells>
  <phoneticPr fontId="2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F7"/>
  <sheetViews>
    <sheetView zoomScaleNormal="100" workbookViewId="0">
      <selection sqref="A1:D1"/>
    </sheetView>
  </sheetViews>
  <sheetFormatPr defaultColWidth="8.6328125" defaultRowHeight="14.5" x14ac:dyDescent="0.35"/>
  <cols>
    <col min="1" max="1" width="24" customWidth="1"/>
    <col min="2" max="2" width="20" customWidth="1"/>
    <col min="3" max="3" width="22" customWidth="1"/>
  </cols>
  <sheetData>
    <row r="1" spans="1:6" x14ac:dyDescent="0.35">
      <c r="A1" s="182" t="s">
        <v>538</v>
      </c>
      <c r="B1" s="182"/>
      <c r="C1" s="182"/>
      <c r="D1" s="182"/>
      <c r="E1" s="32"/>
      <c r="F1" s="32"/>
    </row>
    <row r="2" spans="1:6" x14ac:dyDescent="0.35">
      <c r="A2" s="32"/>
      <c r="B2" s="32"/>
      <c r="C2" s="32"/>
      <c r="D2" s="32"/>
      <c r="E2" s="32"/>
      <c r="F2" s="32"/>
    </row>
    <row r="3" spans="1:6" ht="27.75" customHeight="1" x14ac:dyDescent="0.35">
      <c r="A3" s="183" t="s">
        <v>539</v>
      </c>
      <c r="B3" s="183"/>
      <c r="C3" s="183"/>
      <c r="D3" s="88"/>
      <c r="E3" s="88"/>
      <c r="F3" s="88"/>
    </row>
    <row r="4" spans="1:6" x14ac:dyDescent="0.35">
      <c r="A4" s="65" t="s">
        <v>0</v>
      </c>
      <c r="B4" s="65" t="s">
        <v>540</v>
      </c>
      <c r="C4" s="65" t="s">
        <v>541</v>
      </c>
      <c r="D4" s="32"/>
      <c r="E4" s="32"/>
      <c r="F4" s="32"/>
    </row>
    <row r="5" spans="1:6" x14ac:dyDescent="0.35">
      <c r="A5" s="68" t="s">
        <v>25</v>
      </c>
      <c r="B5" s="68">
        <v>3</v>
      </c>
      <c r="C5" s="68" t="s">
        <v>542</v>
      </c>
      <c r="D5" s="32"/>
      <c r="E5" s="32"/>
      <c r="F5" s="32"/>
    </row>
    <row r="6" spans="1:6" x14ac:dyDescent="0.35">
      <c r="A6" s="67" t="s">
        <v>36</v>
      </c>
      <c r="B6" s="67">
        <v>1</v>
      </c>
      <c r="C6" s="67" t="s">
        <v>543</v>
      </c>
      <c r="D6" s="32"/>
      <c r="E6" s="32"/>
      <c r="F6" s="32"/>
    </row>
    <row r="7" spans="1:6" x14ac:dyDescent="0.35">
      <c r="A7" s="67" t="s">
        <v>10</v>
      </c>
      <c r="B7" s="67">
        <v>1</v>
      </c>
      <c r="C7" s="67" t="s">
        <v>543</v>
      </c>
      <c r="D7" s="32"/>
      <c r="E7" s="32"/>
      <c r="F7" s="32"/>
    </row>
  </sheetData>
  <mergeCells count="2">
    <mergeCell ref="A1:D1"/>
    <mergeCell ref="A3:C3"/>
  </mergeCells>
  <phoneticPr fontId="2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J7"/>
  <sheetViews>
    <sheetView zoomScaleNormal="100" workbookViewId="0">
      <selection sqref="A1:J1"/>
    </sheetView>
  </sheetViews>
  <sheetFormatPr defaultColWidth="8.6328125" defaultRowHeight="14.5" x14ac:dyDescent="0.35"/>
  <cols>
    <col min="1" max="1" width="12" customWidth="1"/>
    <col min="2" max="2" width="10" customWidth="1"/>
    <col min="3" max="3" width="16" customWidth="1"/>
    <col min="4" max="4" width="34" customWidth="1"/>
    <col min="5" max="6" width="12" customWidth="1"/>
    <col min="7" max="8" width="30" customWidth="1"/>
    <col min="9" max="9" width="10" customWidth="1"/>
    <col min="10" max="10" width="14" customWidth="1"/>
  </cols>
  <sheetData>
    <row r="1" spans="1:10" x14ac:dyDescent="0.35">
      <c r="A1" s="182" t="s">
        <v>544</v>
      </c>
      <c r="B1" s="182"/>
      <c r="C1" s="182"/>
      <c r="D1" s="182"/>
      <c r="E1" s="182"/>
      <c r="F1" s="182"/>
      <c r="G1" s="182"/>
      <c r="H1" s="182"/>
      <c r="I1" s="182"/>
      <c r="J1" s="182"/>
    </row>
    <row r="2" spans="1:10" x14ac:dyDescent="0.35">
      <c r="A2" s="32"/>
      <c r="B2" s="32"/>
      <c r="C2" s="32"/>
      <c r="D2" s="32"/>
      <c r="E2" s="32"/>
      <c r="F2" s="32"/>
      <c r="G2" s="32"/>
      <c r="H2" s="32"/>
      <c r="I2" s="32"/>
      <c r="J2" s="32"/>
    </row>
    <row r="3" spans="1:10" ht="27.75" customHeight="1" x14ac:dyDescent="0.35">
      <c r="A3" s="184" t="s">
        <v>545</v>
      </c>
      <c r="B3" s="184"/>
      <c r="C3" s="184"/>
      <c r="D3" s="184"/>
      <c r="E3" s="184"/>
      <c r="F3" s="184"/>
      <c r="G3" s="184"/>
      <c r="H3" s="184"/>
      <c r="I3" s="184"/>
      <c r="J3" s="184"/>
    </row>
    <row r="4" spans="1:10" x14ac:dyDescent="0.35">
      <c r="A4" s="65" t="s">
        <v>546</v>
      </c>
      <c r="B4" s="65" t="s">
        <v>547</v>
      </c>
      <c r="C4" s="65" t="s">
        <v>548</v>
      </c>
      <c r="D4" s="65" t="s">
        <v>549</v>
      </c>
      <c r="E4" s="65" t="s">
        <v>550</v>
      </c>
      <c r="F4" s="65" t="s">
        <v>551</v>
      </c>
      <c r="G4" s="65" t="s">
        <v>552</v>
      </c>
      <c r="H4" s="65" t="s">
        <v>553</v>
      </c>
      <c r="I4" s="65" t="s">
        <v>554</v>
      </c>
      <c r="J4" s="65" t="s">
        <v>555</v>
      </c>
    </row>
    <row r="5" spans="1:10" x14ac:dyDescent="0.35">
      <c r="A5" s="67" t="s">
        <v>454</v>
      </c>
      <c r="B5" s="67" t="s">
        <v>455</v>
      </c>
      <c r="C5" s="67" t="s">
        <v>85</v>
      </c>
      <c r="D5" s="67" t="s">
        <v>556</v>
      </c>
      <c r="E5" s="67" t="s">
        <v>503</v>
      </c>
      <c r="F5" s="66" t="s">
        <v>557</v>
      </c>
      <c r="G5" s="67"/>
      <c r="H5" s="67"/>
      <c r="I5" s="67"/>
      <c r="J5" s="67"/>
    </row>
    <row r="6" spans="1:10" ht="26" x14ac:dyDescent="0.35">
      <c r="A6" s="67" t="s">
        <v>456</v>
      </c>
      <c r="B6" s="67" t="s">
        <v>455</v>
      </c>
      <c r="C6" s="67" t="s">
        <v>10</v>
      </c>
      <c r="D6" s="67" t="s">
        <v>558</v>
      </c>
      <c r="E6" s="67" t="s">
        <v>503</v>
      </c>
      <c r="F6" s="69" t="s">
        <v>559</v>
      </c>
      <c r="G6" s="67" t="s">
        <v>560</v>
      </c>
      <c r="H6" s="67" t="s">
        <v>561</v>
      </c>
      <c r="I6" s="67" t="s">
        <v>562</v>
      </c>
      <c r="J6" s="67" t="s">
        <v>504</v>
      </c>
    </row>
    <row r="7" spans="1:10" ht="26" x14ac:dyDescent="0.35">
      <c r="A7" s="67" t="s">
        <v>446</v>
      </c>
      <c r="B7" s="67" t="s">
        <v>447</v>
      </c>
      <c r="C7" s="67" t="s">
        <v>10</v>
      </c>
      <c r="D7" s="67" t="s">
        <v>563</v>
      </c>
      <c r="E7" s="67" t="s">
        <v>503</v>
      </c>
      <c r="F7" s="66" t="s">
        <v>557</v>
      </c>
      <c r="G7" s="67"/>
      <c r="H7" s="67"/>
      <c r="I7" s="67"/>
      <c r="J7" s="67"/>
    </row>
  </sheetData>
  <mergeCells count="2">
    <mergeCell ref="A1:J1"/>
    <mergeCell ref="A3:J3"/>
  </mergeCells>
  <phoneticPr fontId="2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J5"/>
  <sheetViews>
    <sheetView zoomScaleNormal="100" workbookViewId="0">
      <selection sqref="A1:J1"/>
    </sheetView>
  </sheetViews>
  <sheetFormatPr defaultColWidth="8.6328125" defaultRowHeight="14.5" x14ac:dyDescent="0.35"/>
  <cols>
    <col min="1" max="1" width="18" customWidth="1"/>
    <col min="2" max="2" width="16" customWidth="1"/>
    <col min="3" max="4" width="12" customWidth="1"/>
    <col min="5" max="5" width="16" customWidth="1"/>
    <col min="6" max="6" width="14" customWidth="1"/>
    <col min="7" max="7" width="10" customWidth="1"/>
    <col min="8" max="8" width="30" customWidth="1"/>
    <col min="9" max="9" width="34" customWidth="1"/>
    <col min="10" max="10" width="10" customWidth="1"/>
  </cols>
  <sheetData>
    <row r="1" spans="1:10" x14ac:dyDescent="0.35">
      <c r="A1" s="182" t="s">
        <v>564</v>
      </c>
      <c r="B1" s="182"/>
      <c r="C1" s="182"/>
      <c r="D1" s="182"/>
      <c r="E1" s="182"/>
      <c r="F1" s="182"/>
      <c r="G1" s="182"/>
      <c r="H1" s="182"/>
      <c r="I1" s="182"/>
      <c r="J1" s="182"/>
    </row>
    <row r="2" spans="1:10" x14ac:dyDescent="0.35">
      <c r="A2" s="32"/>
      <c r="B2" s="32"/>
      <c r="C2" s="32"/>
      <c r="D2" s="32"/>
      <c r="E2" s="32"/>
      <c r="F2" s="32"/>
      <c r="G2" s="32"/>
      <c r="H2" s="32"/>
      <c r="I2" s="32"/>
      <c r="J2" s="32"/>
    </row>
    <row r="3" spans="1:10" ht="27.75" customHeight="1" x14ac:dyDescent="0.35">
      <c r="A3" s="184" t="s">
        <v>565</v>
      </c>
      <c r="B3" s="184"/>
      <c r="C3" s="184"/>
      <c r="D3" s="184"/>
      <c r="E3" s="184"/>
      <c r="F3" s="184"/>
      <c r="G3" s="184"/>
      <c r="H3" s="184"/>
      <c r="I3" s="184"/>
      <c r="J3" s="184"/>
    </row>
    <row r="4" spans="1:10" x14ac:dyDescent="0.35">
      <c r="A4" s="65" t="s">
        <v>566</v>
      </c>
      <c r="B4" s="65" t="s">
        <v>47</v>
      </c>
      <c r="C4" s="65" t="s">
        <v>567</v>
      </c>
      <c r="D4" s="65" t="s">
        <v>568</v>
      </c>
      <c r="E4" s="65" t="s">
        <v>569</v>
      </c>
      <c r="F4" s="65" t="s">
        <v>570</v>
      </c>
      <c r="G4" s="65" t="s">
        <v>571</v>
      </c>
      <c r="H4" s="65" t="s">
        <v>572</v>
      </c>
      <c r="I4" s="65" t="s">
        <v>573</v>
      </c>
      <c r="J4" s="65" t="s">
        <v>574</v>
      </c>
    </row>
    <row r="5" spans="1:10" ht="26" x14ac:dyDescent="0.35">
      <c r="A5" s="67" t="s">
        <v>505</v>
      </c>
      <c r="B5" s="67" t="s">
        <v>85</v>
      </c>
      <c r="C5" s="67" t="s">
        <v>483</v>
      </c>
      <c r="D5" s="67">
        <v>1</v>
      </c>
      <c r="E5" s="67">
        <v>0</v>
      </c>
      <c r="F5" s="67" t="s">
        <v>535</v>
      </c>
      <c r="G5" s="68" t="s">
        <v>484</v>
      </c>
      <c r="H5" s="67" t="s">
        <v>575</v>
      </c>
      <c r="I5" s="67" t="s">
        <v>576</v>
      </c>
      <c r="J5" s="67" t="s">
        <v>562</v>
      </c>
    </row>
  </sheetData>
  <mergeCells count="2">
    <mergeCell ref="A1:J1"/>
    <mergeCell ref="A3:J3"/>
  </mergeCells>
  <phoneticPr fontId="2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J8"/>
  <sheetViews>
    <sheetView showGridLines="0" zoomScaleNormal="100" workbookViewId="0">
      <selection sqref="A1:I1"/>
    </sheetView>
  </sheetViews>
  <sheetFormatPr defaultColWidth="8.6328125" defaultRowHeight="14.5" x14ac:dyDescent="0.35"/>
  <cols>
    <col min="1" max="1" width="12" customWidth="1"/>
    <col min="2" max="2" width="30" customWidth="1"/>
    <col min="3" max="3" width="22" customWidth="1"/>
    <col min="4" max="4" width="10" customWidth="1"/>
    <col min="5" max="5" width="18" customWidth="1"/>
    <col min="6" max="7" width="12" customWidth="1"/>
    <col min="8" max="8" width="18" customWidth="1"/>
    <col min="9" max="9" width="14" customWidth="1"/>
    <col min="10" max="10" width="9.26953125" bestFit="1" customWidth="1"/>
  </cols>
  <sheetData>
    <row r="1" spans="1:10" x14ac:dyDescent="0.35">
      <c r="A1" s="182" t="s">
        <v>577</v>
      </c>
      <c r="B1" s="182"/>
      <c r="C1" s="182"/>
      <c r="D1" s="182"/>
      <c r="E1" s="182"/>
      <c r="F1" s="182"/>
      <c r="G1" s="182"/>
      <c r="H1" s="182"/>
      <c r="I1" s="182"/>
      <c r="J1" s="32"/>
    </row>
    <row r="2" spans="1:10" x14ac:dyDescent="0.35">
      <c r="A2" s="32"/>
      <c r="B2" s="32"/>
      <c r="C2" s="32"/>
      <c r="D2" s="32"/>
      <c r="E2" s="32"/>
      <c r="F2" s="32"/>
      <c r="G2" s="32"/>
      <c r="H2" s="32"/>
      <c r="I2" s="32"/>
      <c r="J2" s="32"/>
    </row>
    <row r="3" spans="1:10" ht="27.75" customHeight="1" x14ac:dyDescent="0.35">
      <c r="A3" s="184" t="s">
        <v>578</v>
      </c>
      <c r="B3" s="184"/>
      <c r="C3" s="184"/>
      <c r="D3" s="184"/>
      <c r="E3" s="184"/>
      <c r="F3" s="184"/>
      <c r="G3" s="184"/>
      <c r="H3" s="184"/>
      <c r="I3" s="184"/>
      <c r="J3" s="32"/>
    </row>
    <row r="4" spans="1:10" x14ac:dyDescent="0.35">
      <c r="A4" s="65" t="s">
        <v>506</v>
      </c>
      <c r="B4" s="65" t="s">
        <v>507</v>
      </c>
      <c r="C4" s="65" t="s">
        <v>579</v>
      </c>
      <c r="D4" s="65" t="s">
        <v>580</v>
      </c>
      <c r="E4" s="65" t="s">
        <v>551</v>
      </c>
      <c r="F4" s="65" t="s">
        <v>581</v>
      </c>
      <c r="G4" s="65" t="s">
        <v>550</v>
      </c>
      <c r="H4" s="65" t="s">
        <v>582</v>
      </c>
      <c r="I4" s="65" t="s">
        <v>583</v>
      </c>
      <c r="J4" s="65" t="s">
        <v>1105</v>
      </c>
    </row>
    <row r="5" spans="1:10" x14ac:dyDescent="0.35">
      <c r="A5" s="67" t="s">
        <v>508</v>
      </c>
      <c r="B5" s="67" t="s">
        <v>584</v>
      </c>
      <c r="C5" s="67" t="s">
        <v>25</v>
      </c>
      <c r="D5" s="66" t="s">
        <v>470</v>
      </c>
      <c r="E5" s="67" t="s">
        <v>585</v>
      </c>
      <c r="F5" s="67" t="s">
        <v>509</v>
      </c>
      <c r="G5" s="67" t="s">
        <v>503</v>
      </c>
      <c r="H5" s="67"/>
      <c r="I5" s="67"/>
      <c r="J5" s="67"/>
    </row>
    <row r="6" spans="1:10" x14ac:dyDescent="0.35">
      <c r="A6" s="67" t="s">
        <v>510</v>
      </c>
      <c r="B6" s="67" t="s">
        <v>586</v>
      </c>
      <c r="C6" s="67" t="s">
        <v>98</v>
      </c>
      <c r="D6" s="69" t="s">
        <v>447</v>
      </c>
      <c r="E6" s="67" t="s">
        <v>587</v>
      </c>
      <c r="F6" s="67" t="s">
        <v>509</v>
      </c>
      <c r="G6" s="67" t="s">
        <v>503</v>
      </c>
      <c r="H6" s="67"/>
      <c r="I6" s="67"/>
      <c r="J6" s="67"/>
    </row>
    <row r="7" spans="1:10" x14ac:dyDescent="0.35">
      <c r="A7" s="67" t="s">
        <v>511</v>
      </c>
      <c r="B7" s="67" t="s">
        <v>588</v>
      </c>
      <c r="C7" s="67" t="s">
        <v>25</v>
      </c>
      <c r="D7" s="66" t="s">
        <v>470</v>
      </c>
      <c r="E7" s="67" t="s">
        <v>589</v>
      </c>
      <c r="F7" s="67" t="s">
        <v>509</v>
      </c>
      <c r="G7" s="67" t="s">
        <v>503</v>
      </c>
      <c r="H7" s="67"/>
      <c r="I7" s="67"/>
      <c r="J7" s="67"/>
    </row>
    <row r="8" spans="1:10" ht="26" x14ac:dyDescent="0.35">
      <c r="A8" s="70" t="s">
        <v>512</v>
      </c>
      <c r="B8" s="70" t="s">
        <v>590</v>
      </c>
      <c r="C8" s="70" t="s">
        <v>30</v>
      </c>
      <c r="D8" s="70" t="s">
        <v>447</v>
      </c>
      <c r="E8" s="70" t="s">
        <v>591</v>
      </c>
      <c r="F8" s="70" t="s">
        <v>513</v>
      </c>
      <c r="G8" s="70" t="s">
        <v>500</v>
      </c>
      <c r="H8" s="70" t="s">
        <v>592</v>
      </c>
      <c r="I8" s="70" t="s">
        <v>514</v>
      </c>
      <c r="J8" s="70"/>
    </row>
  </sheetData>
  <mergeCells count="2">
    <mergeCell ref="A1:I1"/>
    <mergeCell ref="A3:I3"/>
  </mergeCells>
  <phoneticPr fontId="2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F10"/>
  <sheetViews>
    <sheetView showGridLines="0" zoomScaleNormal="100" workbookViewId="0">
      <selection sqref="A1:F1"/>
    </sheetView>
  </sheetViews>
  <sheetFormatPr defaultColWidth="8.6328125" defaultRowHeight="14.5" x14ac:dyDescent="0.35"/>
  <cols>
    <col min="1" max="1" width="18" customWidth="1"/>
    <col min="2" max="2" width="14" customWidth="1"/>
    <col min="3" max="3" width="18" customWidth="1"/>
    <col min="4" max="4" width="12" customWidth="1"/>
    <col min="5" max="5" width="40" customWidth="1"/>
    <col min="6" max="6" width="10" customWidth="1"/>
  </cols>
  <sheetData>
    <row r="1" spans="1:6" x14ac:dyDescent="0.35">
      <c r="A1" s="185" t="s">
        <v>593</v>
      </c>
      <c r="B1" s="185"/>
      <c r="C1" s="185"/>
      <c r="D1" s="185"/>
      <c r="E1" s="185"/>
      <c r="F1" s="185"/>
    </row>
    <row r="2" spans="1:6" x14ac:dyDescent="0.35">
      <c r="A2" s="32"/>
      <c r="B2" s="32"/>
      <c r="C2" s="32"/>
      <c r="D2" s="32"/>
      <c r="E2" s="32"/>
      <c r="F2" s="32"/>
    </row>
    <row r="3" spans="1:6" ht="27.75" customHeight="1" x14ac:dyDescent="0.35">
      <c r="A3" s="184" t="s">
        <v>594</v>
      </c>
      <c r="B3" s="184"/>
      <c r="C3" s="184"/>
      <c r="D3" s="184"/>
      <c r="E3" s="184"/>
      <c r="F3" s="184"/>
    </row>
    <row r="4" spans="1:6" x14ac:dyDescent="0.35">
      <c r="A4" s="84" t="s">
        <v>625</v>
      </c>
      <c r="B4" s="84" t="s">
        <v>626</v>
      </c>
      <c r="C4" s="84" t="s">
        <v>627</v>
      </c>
      <c r="D4" s="84" t="s">
        <v>628</v>
      </c>
      <c r="E4" s="84" t="s">
        <v>629</v>
      </c>
      <c r="F4" s="84" t="s">
        <v>630</v>
      </c>
    </row>
    <row r="5" spans="1:6" ht="23" x14ac:dyDescent="0.35">
      <c r="A5" s="75" t="s">
        <v>515</v>
      </c>
      <c r="B5" s="75">
        <v>7</v>
      </c>
      <c r="C5" s="75">
        <v>1</v>
      </c>
      <c r="D5" s="75" t="s">
        <v>516</v>
      </c>
      <c r="E5" s="80" t="s">
        <v>631</v>
      </c>
      <c r="F5" s="80" t="s">
        <v>632</v>
      </c>
    </row>
    <row r="6" spans="1:6" x14ac:dyDescent="0.35">
      <c r="A6" s="85">
        <v>46258.449872685182</v>
      </c>
      <c r="B6" s="74">
        <v>7</v>
      </c>
      <c r="C6" s="74">
        <v>1</v>
      </c>
      <c r="D6" s="86">
        <v>0.14285714285714285</v>
      </c>
      <c r="E6" s="81" t="s">
        <v>633</v>
      </c>
      <c r="F6" s="81" t="s">
        <v>624</v>
      </c>
    </row>
    <row r="7" spans="1:6" x14ac:dyDescent="0.35">
      <c r="A7" s="85">
        <v>46258.45076388889</v>
      </c>
      <c r="B7" s="74">
        <v>7</v>
      </c>
      <c r="C7" s="74">
        <v>1</v>
      </c>
      <c r="D7" s="86">
        <v>0.14285714285714285</v>
      </c>
      <c r="E7" s="81" t="s">
        <v>634</v>
      </c>
      <c r="F7" s="81" t="s">
        <v>624</v>
      </c>
    </row>
    <row r="8" spans="1:6" x14ac:dyDescent="0.35">
      <c r="A8" s="85">
        <v>46258.45212962963</v>
      </c>
      <c r="B8" s="74">
        <v>7</v>
      </c>
      <c r="C8" s="74">
        <v>1</v>
      </c>
      <c r="D8" s="86">
        <v>0.14285714285714285</v>
      </c>
      <c r="E8" s="81" t="s">
        <v>635</v>
      </c>
      <c r="F8" s="81" t="s">
        <v>624</v>
      </c>
    </row>
    <row r="9" spans="1:6" x14ac:dyDescent="0.35">
      <c r="A9" s="85">
        <v>46260.318888888891</v>
      </c>
      <c r="B9" s="74">
        <v>7</v>
      </c>
      <c r="C9" s="74">
        <v>1</v>
      </c>
      <c r="D9" s="86">
        <v>0.14285714285714285</v>
      </c>
      <c r="E9" s="81"/>
      <c r="F9" s="81" t="s">
        <v>624</v>
      </c>
    </row>
    <row r="10" spans="1:6" x14ac:dyDescent="0.35">
      <c r="A10" s="85">
        <v>46260.320138888892</v>
      </c>
      <c r="B10" s="74">
        <v>7</v>
      </c>
      <c r="C10" s="74">
        <v>1</v>
      </c>
      <c r="D10" s="86">
        <v>0.14285714285714285</v>
      </c>
      <c r="E10" s="81"/>
      <c r="F10" s="81" t="s">
        <v>624</v>
      </c>
    </row>
  </sheetData>
  <mergeCells count="2">
    <mergeCell ref="A1:F1"/>
    <mergeCell ref="A3:F3"/>
  </mergeCells>
  <phoneticPr fontId="2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F6"/>
  <sheetViews>
    <sheetView zoomScaleNormal="100" workbookViewId="0">
      <selection sqref="A1:F1"/>
    </sheetView>
  </sheetViews>
  <sheetFormatPr defaultColWidth="8.6328125" defaultRowHeight="14.5" x14ac:dyDescent="0.35"/>
  <cols>
    <col min="1" max="1" width="16" customWidth="1"/>
    <col min="2" max="2" width="14" customWidth="1"/>
    <col min="3" max="3" width="20" customWidth="1"/>
    <col min="4" max="4" width="12" customWidth="1"/>
    <col min="5" max="6" width="14" customWidth="1"/>
  </cols>
  <sheetData>
    <row r="1" spans="1:6" x14ac:dyDescent="0.35">
      <c r="A1" s="185" t="s">
        <v>595</v>
      </c>
      <c r="B1" s="185"/>
      <c r="C1" s="185"/>
      <c r="D1" s="185"/>
      <c r="E1" s="185"/>
      <c r="F1" s="185"/>
    </row>
    <row r="2" spans="1:6" x14ac:dyDescent="0.35">
      <c r="A2" s="32"/>
      <c r="B2" s="32"/>
      <c r="C2" s="32"/>
      <c r="D2" s="32"/>
      <c r="E2" s="32"/>
      <c r="F2" s="32"/>
    </row>
    <row r="3" spans="1:6" ht="27.75" customHeight="1" x14ac:dyDescent="0.35">
      <c r="A3" s="186" t="s">
        <v>596</v>
      </c>
      <c r="B3" s="186"/>
      <c r="C3" s="186"/>
      <c r="D3" s="186"/>
      <c r="E3" s="186"/>
      <c r="F3" s="186"/>
    </row>
    <row r="4" spans="1:6" x14ac:dyDescent="0.35">
      <c r="A4" s="65" t="s">
        <v>47</v>
      </c>
      <c r="B4" s="65" t="s">
        <v>45</v>
      </c>
      <c r="C4" s="65" t="s">
        <v>517</v>
      </c>
      <c r="D4" s="65" t="s">
        <v>597</v>
      </c>
      <c r="E4" s="65" t="s">
        <v>598</v>
      </c>
      <c r="F4" s="65" t="s">
        <v>599</v>
      </c>
    </row>
    <row r="5" spans="1:6" x14ac:dyDescent="0.35">
      <c r="A5" s="67" t="s">
        <v>65</v>
      </c>
      <c r="B5" s="67" t="s">
        <v>64</v>
      </c>
      <c r="C5" s="67" t="s">
        <v>518</v>
      </c>
      <c r="D5" s="69" t="s">
        <v>600</v>
      </c>
      <c r="E5" s="67" t="s">
        <v>601</v>
      </c>
      <c r="F5" s="67" t="s">
        <v>519</v>
      </c>
    </row>
    <row r="6" spans="1:6" x14ac:dyDescent="0.35">
      <c r="A6" s="67" t="s">
        <v>85</v>
      </c>
      <c r="B6" s="67" t="s">
        <v>84</v>
      </c>
      <c r="C6" s="67" t="s">
        <v>520</v>
      </c>
      <c r="D6" s="66" t="s">
        <v>602</v>
      </c>
      <c r="E6" s="67" t="s">
        <v>601</v>
      </c>
      <c r="F6" s="67"/>
    </row>
  </sheetData>
  <autoFilter ref="A4:F4"/>
  <mergeCells count="2">
    <mergeCell ref="A1:F1"/>
    <mergeCell ref="A3:F3"/>
  </mergeCells>
  <phoneticPr fontId="2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F5"/>
  <sheetViews>
    <sheetView zoomScaleNormal="100" workbookViewId="0">
      <selection sqref="A1:D1"/>
    </sheetView>
  </sheetViews>
  <sheetFormatPr defaultColWidth="8.6328125" defaultRowHeight="14.5" x14ac:dyDescent="0.35"/>
  <cols>
    <col min="1" max="1" width="31.81640625" customWidth="1"/>
    <col min="2" max="3" width="23.26953125" customWidth="1"/>
  </cols>
  <sheetData>
    <row r="1" spans="1:6" x14ac:dyDescent="0.35">
      <c r="A1" s="187" t="s">
        <v>603</v>
      </c>
      <c r="B1" s="187"/>
      <c r="C1" s="187"/>
      <c r="D1" s="187"/>
      <c r="E1" s="32"/>
      <c r="F1" s="32"/>
    </row>
    <row r="2" spans="1:6" x14ac:dyDescent="0.35">
      <c r="A2" s="32"/>
      <c r="B2" s="32"/>
      <c r="C2" s="32"/>
      <c r="D2" s="32"/>
      <c r="E2" s="32"/>
      <c r="F2" s="32"/>
    </row>
    <row r="3" spans="1:6" ht="57" customHeight="1" x14ac:dyDescent="0.35">
      <c r="A3" s="183" t="s">
        <v>604</v>
      </c>
      <c r="B3" s="183"/>
      <c r="C3" s="183"/>
      <c r="D3" s="88"/>
      <c r="E3" s="88"/>
      <c r="F3" s="88"/>
    </row>
    <row r="4" spans="1:6" x14ac:dyDescent="0.35">
      <c r="A4" s="65" t="s">
        <v>0</v>
      </c>
      <c r="B4" s="65" t="s">
        <v>605</v>
      </c>
      <c r="C4" s="65" t="s">
        <v>606</v>
      </c>
      <c r="D4" s="32"/>
      <c r="E4" s="32"/>
      <c r="F4" s="32"/>
    </row>
    <row r="5" spans="1:6" x14ac:dyDescent="0.35">
      <c r="A5" s="67" t="s">
        <v>25</v>
      </c>
      <c r="B5" s="71" t="s">
        <v>521</v>
      </c>
      <c r="C5" s="71" t="s">
        <v>521</v>
      </c>
      <c r="D5" s="32"/>
      <c r="E5" s="32"/>
      <c r="F5" s="32"/>
    </row>
  </sheetData>
  <mergeCells count="2">
    <mergeCell ref="A1:D1"/>
    <mergeCell ref="A3:C3"/>
  </mergeCells>
  <phoneticPr fontId="2" type="noConversion"/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4:B16"/>
  <sheetViews>
    <sheetView workbookViewId="0"/>
  </sheetViews>
  <sheetFormatPr defaultRowHeight="14.5" x14ac:dyDescent="0.35"/>
  <sheetData>
    <row r="4" spans="1:2" x14ac:dyDescent="0.35">
      <c r="A4" s="32" t="s">
        <v>452</v>
      </c>
      <c r="B4" s="32" t="s">
        <v>453</v>
      </c>
    </row>
    <row r="5" spans="1:2" x14ac:dyDescent="0.35">
      <c r="A5" s="32" t="s">
        <v>794</v>
      </c>
      <c r="B5" s="32" t="s">
        <v>771</v>
      </c>
    </row>
    <row r="6" spans="1:2" x14ac:dyDescent="0.35">
      <c r="A6" s="32" t="s">
        <v>795</v>
      </c>
      <c r="B6" s="32" t="s">
        <v>772</v>
      </c>
    </row>
    <row r="7" spans="1:2" x14ac:dyDescent="0.35">
      <c r="A7" s="32" t="s">
        <v>142</v>
      </c>
      <c r="B7" s="32" t="s">
        <v>457</v>
      </c>
    </row>
    <row r="8" spans="1:2" x14ac:dyDescent="0.35">
      <c r="A8" s="32" t="s">
        <v>481</v>
      </c>
      <c r="B8" s="32" t="s">
        <v>773</v>
      </c>
    </row>
    <row r="9" spans="1:2" x14ac:dyDescent="0.35">
      <c r="A9" s="32" t="s">
        <v>481</v>
      </c>
      <c r="B9" s="32" t="s">
        <v>774</v>
      </c>
    </row>
    <row r="10" spans="1:2" x14ac:dyDescent="0.35">
      <c r="A10" s="32" t="s">
        <v>716</v>
      </c>
      <c r="B10" s="32" t="s">
        <v>609</v>
      </c>
    </row>
    <row r="11" spans="1:2" x14ac:dyDescent="0.35">
      <c r="A11" s="32" t="s">
        <v>481</v>
      </c>
      <c r="B11" s="32" t="s">
        <v>775</v>
      </c>
    </row>
    <row r="12" spans="1:2" x14ac:dyDescent="0.35">
      <c r="A12" s="32" t="s">
        <v>481</v>
      </c>
      <c r="B12" s="32" t="s">
        <v>776</v>
      </c>
    </row>
    <row r="13" spans="1:2" x14ac:dyDescent="0.35">
      <c r="A13" s="32" t="s">
        <v>481</v>
      </c>
      <c r="B13" s="32" t="s">
        <v>777</v>
      </c>
    </row>
    <row r="14" spans="1:2" x14ac:dyDescent="0.35">
      <c r="A14" s="32" t="s">
        <v>481</v>
      </c>
      <c r="B14" s="32" t="s">
        <v>778</v>
      </c>
    </row>
    <row r="15" spans="1:2" x14ac:dyDescent="0.35">
      <c r="A15" s="32" t="s">
        <v>481</v>
      </c>
      <c r="B15" s="32" t="s">
        <v>779</v>
      </c>
    </row>
    <row r="16" spans="1:2" x14ac:dyDescent="0.35">
      <c r="A16" s="32" t="s">
        <v>481</v>
      </c>
      <c r="B16" s="32" t="s">
        <v>780</v>
      </c>
    </row>
  </sheetData>
  <phoneticPr fontId="2" type="noConversion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4:C5"/>
  <sheetViews>
    <sheetView workbookViewId="0"/>
  </sheetViews>
  <sheetFormatPr defaultRowHeight="14.5" x14ac:dyDescent="0.35"/>
  <sheetData>
    <row r="4" spans="1:3" x14ac:dyDescent="0.35">
      <c r="A4" s="32" t="s">
        <v>452</v>
      </c>
      <c r="B4" s="32" t="s">
        <v>453</v>
      </c>
      <c r="C4" s="32" t="s">
        <v>471</v>
      </c>
    </row>
    <row r="5" spans="1:3" x14ac:dyDescent="0.35">
      <c r="A5" s="32" t="s">
        <v>142</v>
      </c>
      <c r="B5" s="32" t="s">
        <v>457</v>
      </c>
      <c r="C5" s="32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32</vt:i4>
      </vt:variant>
    </vt:vector>
  </HeadingPairs>
  <TitlesOfParts>
    <vt:vector size="32" baseType="lpstr">
      <vt:lpstr>Tier역할변화</vt:lpstr>
      <vt:lpstr>wsList</vt:lpstr>
      <vt:lpstr>Encrypt</vt:lpstr>
      <vt:lpstr>SelfAudit_Guide</vt:lpstr>
      <vt:lpstr>TaskConfig</vt:lpstr>
      <vt:lpstr>SSoT</vt:lpstr>
      <vt:lpstr>LevelDepth</vt:lpstr>
      <vt:lpstr>LevelDepth_Name변형</vt:lpstr>
      <vt:lpstr>SSoT_변경이력</vt:lpstr>
      <vt:lpstr>인스턴스_통합_원본</vt:lpstr>
      <vt:lpstr>인스턴스_통합</vt:lpstr>
      <vt:lpstr>인스턴스 종합현황</vt:lpstr>
      <vt:lpstr>인스턴스_SAMPLE</vt:lpstr>
      <vt:lpstr>SAMPLE_변경이력</vt:lpstr>
      <vt:lpstr>유지보수_SAMPLE_함수단위</vt:lpstr>
      <vt:lpstr>유지보수_SAMPLE_펌웨어단위</vt:lpstr>
      <vt:lpstr>인스턴스_목록</vt:lpstr>
      <vt:lpstr>베이스라인_계보</vt:lpstr>
      <vt:lpstr>예외처리_가이드</vt:lpstr>
      <vt:lpstr>스냅샷_보관</vt:lpstr>
      <vt:lpstr>범례_사용법</vt:lpstr>
      <vt:lpstr>IntegrityAuditResult</vt:lpstr>
      <vt:lpstr>릴리즈준비점검</vt:lpstr>
      <vt:lpstr>SW재사용지표관리</vt:lpstr>
      <vt:lpstr>SUP9_이슈현황</vt:lpstr>
      <vt:lpstr>SUP9_재발결함</vt:lpstr>
      <vt:lpstr>SUP1_QA체크리스트</vt:lpstr>
      <vt:lpstr>MAN3_마일스톤리스크로그</vt:lpstr>
      <vt:lpstr>MAN5_리스크레지스터</vt:lpstr>
      <vt:lpstr>REU2_재사용심사이력</vt:lpstr>
      <vt:lpstr>SWE_검증현황</vt:lpstr>
      <vt:lpstr>변경관리_매트릭스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apple</cp:lastModifiedBy>
  <cp:revision>0</cp:revision>
  <dcterms:created xsi:type="dcterms:W3CDTF">2026-07-23T03:53:29Z</dcterms:created>
  <dcterms:modified xsi:type="dcterms:W3CDTF">2026-09-03T03:50:02Z</dcterms:modified>
  <dc:language>en-US</dc:language>
</cp:coreProperties>
</file>