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C:\MyWork\MySite\data\"/>
    </mc:Choice>
  </mc:AlternateContent>
  <bookViews>
    <workbookView xWindow="0" yWindow="0" windowWidth="38380" windowHeight="13240" tabRatio="500" activeTab="12"/>
  </bookViews>
  <sheets>
    <sheet name="wsList" sheetId="1" r:id="rId1"/>
    <sheet name="Encrypt" sheetId="2" r:id="rId2"/>
    <sheet name="안내" sheetId="3" r:id="rId3"/>
    <sheet name="경영보고_요약" sheetId="4" r:id="rId4"/>
    <sheet name="CA_개요" sheetId="5" r:id="rId5"/>
    <sheet name="WP_상세" sheetId="6" r:id="rId6"/>
    <sheet name="마일스톤_요약" sheetId="7" r:id="rId7"/>
    <sheet name="LOE_계정" sheetId="8" r:id="rId8"/>
    <sheet name="가정" sheetId="9" r:id="rId9"/>
    <sheet name="계획곡선_후보" sheetId="10" r:id="rId10"/>
    <sheet name="계획곡선_보정" sheetId="11" r:id="rId11"/>
    <sheet name="실적MM_입력" sheetId="12" r:id="rId12"/>
    <sheet name="EVMS_대시보드" sheetId="13" r:id="rId13"/>
    <sheet name="SWE34_계층별_채점보충" sheetId="14" r:id="rId14"/>
    <sheet name="수기채점_가이드" sheetId="15" r:id="rId15"/>
    <sheet name="재기준선_변경로그" sheetId="16" r:id="rId16"/>
    <sheet name="배포게이트_체크리스트" sheetId="17" r:id="rId17"/>
    <sheet name="프로젝트예산_현금성" sheetId="18" r:id="rId18"/>
  </sheet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H11" i="18" l="1"/>
  <c r="J11" i="18" s="1"/>
  <c r="D11" i="18"/>
  <c r="J9" i="18"/>
  <c r="E9" i="18"/>
  <c r="K9" i="18" s="1"/>
  <c r="J8" i="18"/>
  <c r="E8" i="18"/>
  <c r="K8" i="18" s="1"/>
  <c r="J7" i="18"/>
  <c r="E7" i="18"/>
  <c r="K7" i="18" s="1"/>
  <c r="J6" i="18"/>
  <c r="E6" i="18"/>
  <c r="K6" i="18" s="1"/>
  <c r="J5" i="18"/>
  <c r="E5" i="18"/>
  <c r="K5" i="18" s="1"/>
  <c r="B10" i="17"/>
  <c r="I14" i="16"/>
  <c r="I13" i="16"/>
  <c r="I12" i="16"/>
  <c r="I11" i="16"/>
  <c r="I10" i="16"/>
  <c r="I9" i="16"/>
  <c r="I8" i="16"/>
  <c r="I7" i="16"/>
  <c r="I6" i="16"/>
  <c r="I5" i="16"/>
  <c r="D18" i="15"/>
  <c r="C14" i="15" s="1"/>
  <c r="B16" i="15"/>
  <c r="C15" i="15"/>
  <c r="B15" i="15"/>
  <c r="B14" i="15"/>
  <c r="B13" i="15"/>
  <c r="B12" i="15"/>
  <c r="C11" i="15"/>
  <c r="B11" i="15"/>
  <c r="B10" i="15"/>
  <c r="B9" i="15"/>
  <c r="B8" i="15"/>
  <c r="C7" i="15"/>
  <c r="B7" i="15"/>
  <c r="B6" i="15"/>
  <c r="B5" i="15"/>
  <c r="J24" i="14"/>
  <c r="K24" i="14" s="1"/>
  <c r="J23" i="14"/>
  <c r="K23" i="14" s="1"/>
  <c r="J22" i="14"/>
  <c r="K22" i="14" s="1"/>
  <c r="J21" i="14"/>
  <c r="K21" i="14" s="1"/>
  <c r="J20" i="14"/>
  <c r="K20" i="14" s="1"/>
  <c r="J19" i="14"/>
  <c r="K19" i="14" s="1"/>
  <c r="J18" i="14"/>
  <c r="K18" i="14" s="1"/>
  <c r="J17" i="14"/>
  <c r="K17" i="14" s="1"/>
  <c r="J16" i="14"/>
  <c r="K16" i="14" s="1"/>
  <c r="K15" i="14"/>
  <c r="J15" i="14"/>
  <c r="J14" i="14"/>
  <c r="K14" i="14" s="1"/>
  <c r="J13" i="14"/>
  <c r="K13" i="14" s="1"/>
  <c r="J12" i="14"/>
  <c r="K12" i="14" s="1"/>
  <c r="J11" i="14"/>
  <c r="K11" i="14" s="1"/>
  <c r="J10" i="14"/>
  <c r="K10" i="14" s="1"/>
  <c r="J9" i="14"/>
  <c r="K9" i="14" s="1"/>
  <c r="J8" i="14"/>
  <c r="K8" i="14" s="1"/>
  <c r="K7" i="14"/>
  <c r="J7" i="14"/>
  <c r="J6" i="14"/>
  <c r="K6" i="14" s="1"/>
  <c r="J5" i="14"/>
  <c r="K5" i="14" s="1"/>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D33" i="12"/>
  <c r="C33" i="12"/>
  <c r="D32" i="12"/>
  <c r="C32" i="12"/>
  <c r="D31" i="12"/>
  <c r="C31" i="12"/>
  <c r="D30" i="12"/>
  <c r="C30" i="12"/>
  <c r="D29" i="12"/>
  <c r="C29" i="12"/>
  <c r="D28" i="12"/>
  <c r="C28" i="12"/>
  <c r="D27" i="12"/>
  <c r="C27" i="12"/>
  <c r="D26" i="12"/>
  <c r="C26" i="12"/>
  <c r="D25" i="12"/>
  <c r="C25" i="12"/>
  <c r="D24" i="12"/>
  <c r="C24" i="12"/>
  <c r="D23" i="12"/>
  <c r="C23" i="12"/>
  <c r="D22" i="12"/>
  <c r="C22" i="12"/>
  <c r="D21" i="12"/>
  <c r="C21" i="12"/>
  <c r="D20" i="12"/>
  <c r="C20" i="12"/>
  <c r="D19" i="12"/>
  <c r="C19" i="12"/>
  <c r="D18" i="12"/>
  <c r="C18" i="12"/>
  <c r="D17" i="12"/>
  <c r="C17" i="12"/>
  <c r="D16" i="12"/>
  <c r="C16" i="12"/>
  <c r="D15" i="12"/>
  <c r="C15" i="12"/>
  <c r="D14" i="12"/>
  <c r="C14" i="12"/>
  <c r="D13" i="12"/>
  <c r="C13" i="12"/>
  <c r="D12" i="12"/>
  <c r="C12" i="12"/>
  <c r="D11" i="12"/>
  <c r="C11" i="12"/>
  <c r="D10" i="12"/>
  <c r="C10" i="12"/>
  <c r="D9" i="12"/>
  <c r="C9" i="12"/>
  <c r="D8" i="12"/>
  <c r="C8" i="12"/>
  <c r="D7" i="12"/>
  <c r="C7" i="12"/>
  <c r="D6" i="12"/>
  <c r="C6" i="12"/>
  <c r="D5" i="12"/>
  <c r="C5" i="12"/>
  <c r="K182" i="11"/>
  <c r="G182" i="11"/>
  <c r="F182" i="11"/>
  <c r="E182" i="11"/>
  <c r="I182" i="11" s="1"/>
  <c r="D182" i="11"/>
  <c r="C182" i="11"/>
  <c r="B182" i="11"/>
  <c r="A182" i="11"/>
  <c r="G181" i="11"/>
  <c r="F181" i="11"/>
  <c r="E181" i="11"/>
  <c r="D181" i="11"/>
  <c r="C181" i="11"/>
  <c r="B181" i="11"/>
  <c r="A181" i="11"/>
  <c r="I180" i="11"/>
  <c r="G180" i="11"/>
  <c r="F180" i="11"/>
  <c r="E180" i="11"/>
  <c r="D180" i="11"/>
  <c r="L180" i="11" s="1"/>
  <c r="C180" i="11"/>
  <c r="B180" i="11"/>
  <c r="A180" i="11"/>
  <c r="G179" i="11"/>
  <c r="F179" i="11"/>
  <c r="E179" i="11"/>
  <c r="L179" i="11" s="1"/>
  <c r="D179" i="11"/>
  <c r="C179" i="11"/>
  <c r="B179" i="11"/>
  <c r="A179" i="11"/>
  <c r="J178" i="11"/>
  <c r="I178" i="11"/>
  <c r="H178" i="11"/>
  <c r="G178" i="11"/>
  <c r="F178" i="11"/>
  <c r="E178" i="11"/>
  <c r="L178" i="11" s="1"/>
  <c r="D178" i="11"/>
  <c r="C178" i="11"/>
  <c r="B178" i="11"/>
  <c r="A178" i="11"/>
  <c r="I177" i="11"/>
  <c r="G177" i="11"/>
  <c r="F177" i="11"/>
  <c r="E177" i="11"/>
  <c r="D177" i="11"/>
  <c r="L177" i="11" s="1"/>
  <c r="C177" i="11"/>
  <c r="B177" i="11"/>
  <c r="A177" i="11"/>
  <c r="G176" i="11"/>
  <c r="F176" i="11"/>
  <c r="E176" i="11"/>
  <c r="D176" i="11"/>
  <c r="C176" i="11"/>
  <c r="B176" i="11"/>
  <c r="A176" i="11"/>
  <c r="L175" i="11"/>
  <c r="K175" i="11"/>
  <c r="I175" i="11"/>
  <c r="H175" i="11"/>
  <c r="G175" i="11"/>
  <c r="F175" i="11"/>
  <c r="E175" i="11"/>
  <c r="J175" i="11" s="1"/>
  <c r="D175" i="11"/>
  <c r="C175" i="11"/>
  <c r="B175" i="11"/>
  <c r="A175" i="11"/>
  <c r="G174" i="11"/>
  <c r="F174" i="11"/>
  <c r="E174" i="11"/>
  <c r="D174" i="11"/>
  <c r="L174" i="11" s="1"/>
  <c r="C174" i="11"/>
  <c r="B174" i="11"/>
  <c r="A174" i="11"/>
  <c r="K173" i="11"/>
  <c r="J173" i="11"/>
  <c r="I173" i="11"/>
  <c r="H173" i="11"/>
  <c r="G173" i="11"/>
  <c r="F173" i="11"/>
  <c r="E173" i="11"/>
  <c r="L173" i="11" s="1"/>
  <c r="D173" i="11"/>
  <c r="C173" i="11"/>
  <c r="B173" i="11"/>
  <c r="A173" i="11"/>
  <c r="G172" i="11"/>
  <c r="F172" i="11"/>
  <c r="E172" i="11"/>
  <c r="D172" i="11"/>
  <c r="L172" i="11" s="1"/>
  <c r="C172" i="11"/>
  <c r="B172" i="11"/>
  <c r="A172" i="11"/>
  <c r="K171" i="11"/>
  <c r="J171" i="11"/>
  <c r="I171" i="11"/>
  <c r="H171" i="11"/>
  <c r="G171" i="11"/>
  <c r="F171" i="11"/>
  <c r="E171" i="11"/>
  <c r="L171" i="11" s="1"/>
  <c r="D171" i="11"/>
  <c r="C171" i="11"/>
  <c r="B171" i="11"/>
  <c r="A171" i="11"/>
  <c r="L170" i="11"/>
  <c r="G170" i="11"/>
  <c r="F170" i="11"/>
  <c r="E170" i="11"/>
  <c r="J170" i="11" s="1"/>
  <c r="D170" i="11"/>
  <c r="C170" i="11"/>
  <c r="B170" i="11"/>
  <c r="A170" i="11"/>
  <c r="K169" i="11"/>
  <c r="J169" i="11"/>
  <c r="I169" i="11"/>
  <c r="H169" i="11"/>
  <c r="G169" i="11"/>
  <c r="F169" i="11"/>
  <c r="E169" i="11"/>
  <c r="L169" i="11" s="1"/>
  <c r="D169" i="11"/>
  <c r="C169" i="11"/>
  <c r="B169" i="11"/>
  <c r="A169" i="11"/>
  <c r="L168" i="11"/>
  <c r="G168" i="11"/>
  <c r="F168" i="11"/>
  <c r="E168" i="11"/>
  <c r="J168" i="11" s="1"/>
  <c r="D168" i="11"/>
  <c r="C168" i="11"/>
  <c r="B168" i="11"/>
  <c r="A168" i="11"/>
  <c r="K167" i="11"/>
  <c r="J167" i="11"/>
  <c r="I167" i="11"/>
  <c r="H167" i="11"/>
  <c r="G167" i="11"/>
  <c r="F167" i="11"/>
  <c r="E167" i="11"/>
  <c r="L167" i="11" s="1"/>
  <c r="D167" i="11"/>
  <c r="C167" i="11"/>
  <c r="B167" i="11"/>
  <c r="A167" i="11"/>
  <c r="L166" i="11"/>
  <c r="G166" i="11"/>
  <c r="F166" i="11"/>
  <c r="E166" i="11"/>
  <c r="J166" i="11" s="1"/>
  <c r="D166" i="11"/>
  <c r="C166" i="11"/>
  <c r="B166" i="11"/>
  <c r="A166" i="11"/>
  <c r="K165" i="11"/>
  <c r="J165" i="11"/>
  <c r="I165" i="11"/>
  <c r="H165" i="11"/>
  <c r="G165" i="11"/>
  <c r="F165" i="11"/>
  <c r="E165" i="11"/>
  <c r="L165" i="11" s="1"/>
  <c r="D165" i="11"/>
  <c r="C165" i="11"/>
  <c r="B165" i="11"/>
  <c r="A165" i="11"/>
  <c r="L164" i="11"/>
  <c r="G164" i="11"/>
  <c r="F164" i="11"/>
  <c r="E164" i="11"/>
  <c r="J164" i="11" s="1"/>
  <c r="D164" i="11"/>
  <c r="C164" i="11"/>
  <c r="B164" i="11"/>
  <c r="A164" i="11"/>
  <c r="K163" i="11"/>
  <c r="J163" i="11"/>
  <c r="I163" i="11"/>
  <c r="H163" i="11"/>
  <c r="G163" i="11"/>
  <c r="F163" i="11"/>
  <c r="E163" i="11"/>
  <c r="L163" i="11" s="1"/>
  <c r="D163" i="11"/>
  <c r="C163" i="11"/>
  <c r="B163" i="11"/>
  <c r="A163" i="11"/>
  <c r="G162" i="11"/>
  <c r="F162" i="11"/>
  <c r="E162" i="11"/>
  <c r="D162" i="11"/>
  <c r="L162" i="11" s="1"/>
  <c r="C162" i="11"/>
  <c r="B162" i="11"/>
  <c r="A162" i="11"/>
  <c r="K161" i="11"/>
  <c r="J161" i="11"/>
  <c r="I161" i="11"/>
  <c r="H161" i="11"/>
  <c r="G161" i="11"/>
  <c r="F161" i="11"/>
  <c r="E161" i="11"/>
  <c r="L161" i="11" s="1"/>
  <c r="D161" i="11"/>
  <c r="C161" i="11"/>
  <c r="B161" i="11"/>
  <c r="A161" i="11"/>
  <c r="G160" i="11"/>
  <c r="F160" i="11"/>
  <c r="E160" i="11"/>
  <c r="D160" i="11"/>
  <c r="L160" i="11" s="1"/>
  <c r="C160" i="11"/>
  <c r="B160" i="11"/>
  <c r="A160" i="11"/>
  <c r="K159" i="11"/>
  <c r="J159" i="11"/>
  <c r="I159" i="11"/>
  <c r="H159" i="11"/>
  <c r="G159" i="11"/>
  <c r="F159" i="11"/>
  <c r="E159" i="11"/>
  <c r="L159" i="11" s="1"/>
  <c r="D159" i="11"/>
  <c r="C159" i="11"/>
  <c r="B159" i="11"/>
  <c r="A159" i="11"/>
  <c r="G158" i="11"/>
  <c r="F158" i="11"/>
  <c r="E158" i="11"/>
  <c r="D158" i="11"/>
  <c r="C158" i="11"/>
  <c r="B158" i="11"/>
  <c r="A158" i="11"/>
  <c r="K157" i="11"/>
  <c r="J157" i="11"/>
  <c r="I157" i="11"/>
  <c r="H157" i="11"/>
  <c r="G157" i="11"/>
  <c r="F157" i="11"/>
  <c r="E157" i="11"/>
  <c r="L157" i="11" s="1"/>
  <c r="D157" i="11"/>
  <c r="C157" i="11"/>
  <c r="B157" i="11"/>
  <c r="A157" i="11"/>
  <c r="G156" i="11"/>
  <c r="F156" i="11"/>
  <c r="E156" i="11"/>
  <c r="D156" i="11"/>
  <c r="C156" i="11"/>
  <c r="B156" i="11"/>
  <c r="A156" i="11"/>
  <c r="K155" i="11"/>
  <c r="J155" i="11"/>
  <c r="I155" i="11"/>
  <c r="H155" i="11"/>
  <c r="G155" i="11"/>
  <c r="F155" i="11"/>
  <c r="E155" i="11"/>
  <c r="L155" i="11" s="1"/>
  <c r="D155" i="11"/>
  <c r="C155" i="11"/>
  <c r="B155" i="11"/>
  <c r="A155" i="11"/>
  <c r="L154" i="11"/>
  <c r="G154" i="11"/>
  <c r="F154" i="11"/>
  <c r="E154" i="11"/>
  <c r="D154" i="11"/>
  <c r="C154" i="11"/>
  <c r="B154" i="11"/>
  <c r="A154" i="11"/>
  <c r="K153" i="11"/>
  <c r="J153" i="11"/>
  <c r="I153" i="11"/>
  <c r="H153" i="11"/>
  <c r="G153" i="11"/>
  <c r="F153" i="11"/>
  <c r="E153" i="11"/>
  <c r="L153" i="11" s="1"/>
  <c r="D153" i="11"/>
  <c r="C153" i="11"/>
  <c r="B153" i="11"/>
  <c r="A153" i="11"/>
  <c r="G152" i="11"/>
  <c r="F152" i="11"/>
  <c r="E152" i="11"/>
  <c r="D152" i="11"/>
  <c r="C152" i="11"/>
  <c r="B152" i="11"/>
  <c r="A152" i="11"/>
  <c r="K151" i="11"/>
  <c r="J151" i="11"/>
  <c r="I151" i="11"/>
  <c r="H151" i="11"/>
  <c r="G151" i="11"/>
  <c r="F151" i="11"/>
  <c r="E151" i="11"/>
  <c r="L151" i="11" s="1"/>
  <c r="D151" i="11"/>
  <c r="C151" i="11"/>
  <c r="B151" i="11"/>
  <c r="A151" i="11"/>
  <c r="G150" i="11"/>
  <c r="F150" i="11"/>
  <c r="E150" i="11"/>
  <c r="L150" i="11" s="1"/>
  <c r="D150" i="11"/>
  <c r="C150" i="11"/>
  <c r="B150" i="11"/>
  <c r="A150" i="11"/>
  <c r="K149" i="11"/>
  <c r="J149" i="11"/>
  <c r="I149" i="11"/>
  <c r="H149" i="11"/>
  <c r="G149" i="11"/>
  <c r="F149" i="11"/>
  <c r="E149" i="11"/>
  <c r="L149" i="11" s="1"/>
  <c r="D149" i="11"/>
  <c r="C149" i="11"/>
  <c r="B149" i="11"/>
  <c r="A149" i="11"/>
  <c r="L148" i="11"/>
  <c r="G148" i="11"/>
  <c r="F148" i="11"/>
  <c r="E148" i="11"/>
  <c r="D148" i="11"/>
  <c r="C148" i="11"/>
  <c r="B148" i="11"/>
  <c r="A148" i="11"/>
  <c r="K147" i="11"/>
  <c r="J147" i="11"/>
  <c r="I147" i="11"/>
  <c r="H147" i="11"/>
  <c r="G147" i="11"/>
  <c r="F147" i="11"/>
  <c r="E147" i="11"/>
  <c r="L147" i="11" s="1"/>
  <c r="D147" i="11"/>
  <c r="C147" i="11"/>
  <c r="B147" i="11"/>
  <c r="A147" i="11"/>
  <c r="G146" i="11"/>
  <c r="F146" i="11"/>
  <c r="E146" i="11"/>
  <c r="D146" i="11"/>
  <c r="L146" i="11" s="1"/>
  <c r="C146" i="11"/>
  <c r="B146" i="11"/>
  <c r="A146" i="11"/>
  <c r="K145" i="11"/>
  <c r="J145" i="11"/>
  <c r="I145" i="11"/>
  <c r="H145" i="11"/>
  <c r="G145" i="11"/>
  <c r="F145" i="11"/>
  <c r="E145" i="11"/>
  <c r="L145" i="11" s="1"/>
  <c r="D145" i="11"/>
  <c r="C145" i="11"/>
  <c r="B145" i="11"/>
  <c r="A145" i="11"/>
  <c r="G144" i="11"/>
  <c r="F144" i="11"/>
  <c r="E144" i="11"/>
  <c r="D144" i="11"/>
  <c r="L144" i="11" s="1"/>
  <c r="C144" i="11"/>
  <c r="B144" i="11"/>
  <c r="A144" i="11"/>
  <c r="K143" i="11"/>
  <c r="J143" i="11"/>
  <c r="I143" i="11"/>
  <c r="H143" i="11"/>
  <c r="G143" i="11"/>
  <c r="F143" i="11"/>
  <c r="E143" i="11"/>
  <c r="L143" i="11" s="1"/>
  <c r="D143" i="11"/>
  <c r="C143" i="11"/>
  <c r="B143" i="11"/>
  <c r="A143" i="11"/>
  <c r="G142" i="11"/>
  <c r="F142" i="11"/>
  <c r="E142" i="11"/>
  <c r="D142" i="11"/>
  <c r="C142" i="11"/>
  <c r="B142" i="11"/>
  <c r="A142" i="11"/>
  <c r="K141" i="11"/>
  <c r="J141" i="11"/>
  <c r="I141" i="11"/>
  <c r="H141" i="11"/>
  <c r="G141" i="11"/>
  <c r="F141" i="11"/>
  <c r="E141" i="11"/>
  <c r="L141" i="11" s="1"/>
  <c r="D141" i="11"/>
  <c r="C141" i="11"/>
  <c r="B141" i="11"/>
  <c r="A141" i="11"/>
  <c r="G140" i="11"/>
  <c r="F140" i="11"/>
  <c r="E140" i="11"/>
  <c r="D140" i="11"/>
  <c r="C140" i="11"/>
  <c r="B140" i="11"/>
  <c r="A140" i="11"/>
  <c r="K139" i="11"/>
  <c r="J139" i="11"/>
  <c r="I139" i="11"/>
  <c r="H139" i="11"/>
  <c r="G139" i="11"/>
  <c r="F139" i="11"/>
  <c r="E139" i="11"/>
  <c r="L139" i="11" s="1"/>
  <c r="D139" i="11"/>
  <c r="C139" i="11"/>
  <c r="B139" i="11"/>
  <c r="A139" i="11"/>
  <c r="L138" i="11"/>
  <c r="G138" i="11"/>
  <c r="F138" i="11"/>
  <c r="E138" i="11"/>
  <c r="D138" i="11"/>
  <c r="C138" i="11"/>
  <c r="B138" i="11"/>
  <c r="A138" i="11"/>
  <c r="K137" i="11"/>
  <c r="J137" i="11"/>
  <c r="I137" i="11"/>
  <c r="H137" i="11"/>
  <c r="G137" i="11"/>
  <c r="F137" i="11"/>
  <c r="E137" i="11"/>
  <c r="L137" i="11" s="1"/>
  <c r="D137" i="11"/>
  <c r="C137" i="11"/>
  <c r="B137" i="11"/>
  <c r="A137" i="11"/>
  <c r="L136" i="11"/>
  <c r="G136" i="11"/>
  <c r="F136" i="11"/>
  <c r="E136" i="11"/>
  <c r="D136" i="11"/>
  <c r="C136" i="11"/>
  <c r="B136" i="11"/>
  <c r="A136" i="11"/>
  <c r="K135" i="11"/>
  <c r="J135" i="11"/>
  <c r="I135" i="11"/>
  <c r="H135" i="11"/>
  <c r="G135" i="11"/>
  <c r="F135" i="11"/>
  <c r="E135" i="11"/>
  <c r="L135" i="11" s="1"/>
  <c r="D135" i="11"/>
  <c r="C135" i="11"/>
  <c r="B135" i="11"/>
  <c r="A135" i="11"/>
  <c r="G134" i="11"/>
  <c r="F134" i="11"/>
  <c r="E134" i="11"/>
  <c r="D134" i="11"/>
  <c r="C134" i="11"/>
  <c r="B134" i="11"/>
  <c r="A134" i="11"/>
  <c r="K133" i="11"/>
  <c r="J133" i="11"/>
  <c r="I133" i="11"/>
  <c r="H133" i="11"/>
  <c r="G133" i="11"/>
  <c r="F133" i="11"/>
  <c r="E133" i="11"/>
  <c r="L133" i="11" s="1"/>
  <c r="D133" i="11"/>
  <c r="C133" i="11"/>
  <c r="B133" i="11"/>
  <c r="A133" i="11"/>
  <c r="L132" i="11"/>
  <c r="G132" i="11"/>
  <c r="F132" i="11"/>
  <c r="E132" i="11"/>
  <c r="D132" i="11"/>
  <c r="C132" i="11"/>
  <c r="B132" i="11"/>
  <c r="A132" i="11"/>
  <c r="K131" i="11"/>
  <c r="J131" i="11"/>
  <c r="I131" i="11"/>
  <c r="H131" i="11"/>
  <c r="G131" i="11"/>
  <c r="F131" i="11"/>
  <c r="E131" i="11"/>
  <c r="L131" i="11" s="1"/>
  <c r="D131" i="11"/>
  <c r="C131" i="11"/>
  <c r="B131" i="11"/>
  <c r="A131" i="11"/>
  <c r="G130" i="11"/>
  <c r="F130" i="11"/>
  <c r="E130" i="11"/>
  <c r="D130" i="11"/>
  <c r="L130" i="11" s="1"/>
  <c r="C130" i="11"/>
  <c r="B130" i="11"/>
  <c r="A130" i="11"/>
  <c r="K129" i="11"/>
  <c r="J129" i="11"/>
  <c r="I129" i="11"/>
  <c r="H129" i="11"/>
  <c r="G129" i="11"/>
  <c r="F129" i="11"/>
  <c r="E129" i="11"/>
  <c r="L129" i="11" s="1"/>
  <c r="D129" i="11"/>
  <c r="C129" i="11"/>
  <c r="B129" i="11"/>
  <c r="A129" i="11"/>
  <c r="K128" i="11"/>
  <c r="J128" i="11"/>
  <c r="G128" i="11"/>
  <c r="F128" i="11"/>
  <c r="E128" i="11"/>
  <c r="I128" i="11" s="1"/>
  <c r="D128" i="11"/>
  <c r="C128" i="11"/>
  <c r="B128" i="11"/>
  <c r="A128" i="11"/>
  <c r="I127" i="11"/>
  <c r="G127" i="11"/>
  <c r="F127" i="11"/>
  <c r="K127" i="11" s="1"/>
  <c r="E127" i="11"/>
  <c r="D127" i="11"/>
  <c r="L127" i="11" s="1"/>
  <c r="C127" i="11"/>
  <c r="B127" i="11"/>
  <c r="A127" i="11"/>
  <c r="K126" i="11"/>
  <c r="J126" i="11"/>
  <c r="G126" i="11"/>
  <c r="F126" i="11"/>
  <c r="E126" i="11"/>
  <c r="I126" i="11" s="1"/>
  <c r="D126" i="11"/>
  <c r="C126" i="11"/>
  <c r="B126" i="11"/>
  <c r="A126" i="11"/>
  <c r="I125" i="11"/>
  <c r="G125" i="11"/>
  <c r="F125" i="11"/>
  <c r="K125" i="11" s="1"/>
  <c r="E125" i="11"/>
  <c r="D125" i="11"/>
  <c r="L125" i="11" s="1"/>
  <c r="C125" i="11"/>
  <c r="B125" i="11"/>
  <c r="A125" i="11"/>
  <c r="K124" i="11"/>
  <c r="J124" i="11"/>
  <c r="G124" i="11"/>
  <c r="F124" i="11"/>
  <c r="E124" i="11"/>
  <c r="I124" i="11" s="1"/>
  <c r="D124" i="11"/>
  <c r="C124" i="11"/>
  <c r="B124" i="11"/>
  <c r="A124" i="11"/>
  <c r="I123" i="11"/>
  <c r="G123" i="11"/>
  <c r="F123" i="11"/>
  <c r="K123" i="11" s="1"/>
  <c r="E123" i="11"/>
  <c r="D123" i="11"/>
  <c r="L123" i="11" s="1"/>
  <c r="C123" i="11"/>
  <c r="B123" i="11"/>
  <c r="A123" i="11"/>
  <c r="K122" i="11"/>
  <c r="J122" i="11"/>
  <c r="G122" i="11"/>
  <c r="F122" i="11"/>
  <c r="E122" i="11"/>
  <c r="I122" i="11" s="1"/>
  <c r="D122" i="11"/>
  <c r="C122" i="11"/>
  <c r="B122" i="11"/>
  <c r="A122" i="11"/>
  <c r="I121" i="11"/>
  <c r="G121" i="11"/>
  <c r="F121" i="11"/>
  <c r="K121" i="11" s="1"/>
  <c r="E121" i="11"/>
  <c r="D121" i="11"/>
  <c r="L121" i="11" s="1"/>
  <c r="C121" i="11"/>
  <c r="B121" i="11"/>
  <c r="A121" i="11"/>
  <c r="K120" i="11"/>
  <c r="J120" i="11"/>
  <c r="G120" i="11"/>
  <c r="F120" i="11"/>
  <c r="E120" i="11"/>
  <c r="I120" i="11" s="1"/>
  <c r="D120" i="11"/>
  <c r="C120" i="11"/>
  <c r="B120" i="11"/>
  <c r="A120" i="11"/>
  <c r="G119" i="11"/>
  <c r="F119" i="11"/>
  <c r="K119" i="11" s="1"/>
  <c r="E119" i="11"/>
  <c r="D119" i="11"/>
  <c r="L119" i="11" s="1"/>
  <c r="C119" i="11"/>
  <c r="B119" i="11"/>
  <c r="A119" i="11"/>
  <c r="K118" i="11"/>
  <c r="J118" i="11"/>
  <c r="G118" i="11"/>
  <c r="F118" i="11"/>
  <c r="E118" i="11"/>
  <c r="I118" i="11" s="1"/>
  <c r="D118" i="11"/>
  <c r="C118" i="11"/>
  <c r="B118" i="11"/>
  <c r="A118" i="11"/>
  <c r="G117" i="11"/>
  <c r="F117" i="11"/>
  <c r="K117" i="11" s="1"/>
  <c r="E117" i="11"/>
  <c r="D117" i="11"/>
  <c r="L117" i="11" s="1"/>
  <c r="C117" i="11"/>
  <c r="B117" i="11"/>
  <c r="A117" i="11"/>
  <c r="K116" i="11"/>
  <c r="J116" i="11"/>
  <c r="G116" i="11"/>
  <c r="F116" i="11"/>
  <c r="E116" i="11"/>
  <c r="I116" i="11" s="1"/>
  <c r="D116" i="11"/>
  <c r="C116" i="11"/>
  <c r="B116" i="11"/>
  <c r="A116" i="11"/>
  <c r="G115" i="11"/>
  <c r="F115" i="11"/>
  <c r="K115" i="11" s="1"/>
  <c r="E115" i="11"/>
  <c r="D115" i="11"/>
  <c r="L115" i="11" s="1"/>
  <c r="C115" i="11"/>
  <c r="B115" i="11"/>
  <c r="A115" i="11"/>
  <c r="K114" i="11"/>
  <c r="J114" i="11"/>
  <c r="G114" i="11"/>
  <c r="F114" i="11"/>
  <c r="E114" i="11"/>
  <c r="I114" i="11" s="1"/>
  <c r="D114" i="11"/>
  <c r="C114" i="11"/>
  <c r="B114" i="11"/>
  <c r="A114" i="11"/>
  <c r="G113" i="11"/>
  <c r="F113" i="11"/>
  <c r="K113" i="11" s="1"/>
  <c r="E113" i="11"/>
  <c r="D113" i="11"/>
  <c r="L113" i="11" s="1"/>
  <c r="C113" i="11"/>
  <c r="B113" i="11"/>
  <c r="A113" i="11"/>
  <c r="K112" i="11"/>
  <c r="J112" i="11"/>
  <c r="G112" i="11"/>
  <c r="F112" i="11"/>
  <c r="E112" i="11"/>
  <c r="I112" i="11" s="1"/>
  <c r="D112" i="11"/>
  <c r="C112" i="11"/>
  <c r="B112" i="11"/>
  <c r="A112" i="11"/>
  <c r="G111" i="11"/>
  <c r="F111" i="11"/>
  <c r="K111" i="11" s="1"/>
  <c r="E111" i="11"/>
  <c r="D111" i="11"/>
  <c r="L111" i="11" s="1"/>
  <c r="C111" i="11"/>
  <c r="B111" i="11"/>
  <c r="A111" i="11"/>
  <c r="K110" i="11"/>
  <c r="J110" i="11"/>
  <c r="G110" i="11"/>
  <c r="F110" i="11"/>
  <c r="E110" i="11"/>
  <c r="I110" i="11" s="1"/>
  <c r="D110" i="11"/>
  <c r="C110" i="11"/>
  <c r="B110" i="11"/>
  <c r="A110" i="11"/>
  <c r="G109" i="11"/>
  <c r="F109" i="11"/>
  <c r="K109" i="11" s="1"/>
  <c r="E109" i="11"/>
  <c r="D109" i="11"/>
  <c r="L109" i="11" s="1"/>
  <c r="C109" i="11"/>
  <c r="B109" i="11"/>
  <c r="A109" i="11"/>
  <c r="K108" i="11"/>
  <c r="J108" i="11"/>
  <c r="G108" i="11"/>
  <c r="F108" i="11"/>
  <c r="E108" i="11"/>
  <c r="I108" i="11" s="1"/>
  <c r="D108" i="11"/>
  <c r="C108" i="11"/>
  <c r="B108" i="11"/>
  <c r="A108" i="11"/>
  <c r="G107" i="11"/>
  <c r="F107" i="11"/>
  <c r="K107" i="11" s="1"/>
  <c r="E107" i="11"/>
  <c r="D107" i="11"/>
  <c r="L107" i="11" s="1"/>
  <c r="C107" i="11"/>
  <c r="B107" i="11"/>
  <c r="A107" i="11"/>
  <c r="K106" i="11"/>
  <c r="J106" i="11"/>
  <c r="G106" i="11"/>
  <c r="F106" i="11"/>
  <c r="E106" i="11"/>
  <c r="I106" i="11" s="1"/>
  <c r="D106" i="11"/>
  <c r="C106" i="11"/>
  <c r="B106" i="11"/>
  <c r="A106" i="11"/>
  <c r="G105" i="11"/>
  <c r="F105" i="11"/>
  <c r="K105" i="11" s="1"/>
  <c r="E105" i="11"/>
  <c r="D105" i="11"/>
  <c r="L105" i="11" s="1"/>
  <c r="C105" i="11"/>
  <c r="B105" i="11"/>
  <c r="A105" i="11"/>
  <c r="K104" i="11"/>
  <c r="J104" i="11"/>
  <c r="G104" i="11"/>
  <c r="F104" i="11"/>
  <c r="E104" i="11"/>
  <c r="I104" i="11" s="1"/>
  <c r="D104" i="11"/>
  <c r="C104" i="11"/>
  <c r="B104" i="11"/>
  <c r="A104" i="11"/>
  <c r="G103" i="11"/>
  <c r="F103" i="11"/>
  <c r="K103" i="11" s="1"/>
  <c r="E103" i="11"/>
  <c r="D103" i="11"/>
  <c r="L103" i="11" s="1"/>
  <c r="C103" i="11"/>
  <c r="B103" i="11"/>
  <c r="A103" i="11"/>
  <c r="K102" i="11"/>
  <c r="J102" i="11"/>
  <c r="G102" i="11"/>
  <c r="F102" i="11"/>
  <c r="E102" i="11"/>
  <c r="I102" i="11" s="1"/>
  <c r="D102" i="11"/>
  <c r="C102" i="11"/>
  <c r="B102" i="11"/>
  <c r="A102" i="11"/>
  <c r="G101" i="11"/>
  <c r="F101" i="11"/>
  <c r="K101" i="11" s="1"/>
  <c r="E101" i="11"/>
  <c r="D101" i="11"/>
  <c r="L101" i="11" s="1"/>
  <c r="C101" i="11"/>
  <c r="B101" i="11"/>
  <c r="A101" i="11"/>
  <c r="K100" i="11"/>
  <c r="J100" i="11"/>
  <c r="G100" i="11"/>
  <c r="F100" i="11"/>
  <c r="E100" i="11"/>
  <c r="I100" i="11" s="1"/>
  <c r="D100" i="11"/>
  <c r="C100" i="11"/>
  <c r="B100" i="11"/>
  <c r="A100" i="11"/>
  <c r="G99" i="11"/>
  <c r="F99" i="11"/>
  <c r="K99" i="11" s="1"/>
  <c r="E99" i="11"/>
  <c r="D99" i="11"/>
  <c r="L99" i="11" s="1"/>
  <c r="C99" i="11"/>
  <c r="B99" i="11"/>
  <c r="A99" i="11"/>
  <c r="K98" i="11"/>
  <c r="J98" i="11"/>
  <c r="G98" i="11"/>
  <c r="F98" i="11"/>
  <c r="E98" i="11"/>
  <c r="I98" i="11" s="1"/>
  <c r="D98" i="11"/>
  <c r="C98" i="11"/>
  <c r="B98" i="11"/>
  <c r="A98" i="11"/>
  <c r="G97" i="11"/>
  <c r="F97" i="11"/>
  <c r="K97" i="11" s="1"/>
  <c r="E97" i="11"/>
  <c r="D97" i="11"/>
  <c r="L97" i="11" s="1"/>
  <c r="C97" i="11"/>
  <c r="B97" i="11"/>
  <c r="A97" i="11"/>
  <c r="K96" i="11"/>
  <c r="J96" i="11"/>
  <c r="G96" i="11"/>
  <c r="F96" i="11"/>
  <c r="E96" i="11"/>
  <c r="I96" i="11" s="1"/>
  <c r="D96" i="11"/>
  <c r="C96" i="11"/>
  <c r="B96" i="11"/>
  <c r="A96" i="11"/>
  <c r="G95" i="11"/>
  <c r="F95" i="11"/>
  <c r="K95" i="11" s="1"/>
  <c r="E95" i="11"/>
  <c r="D95" i="11"/>
  <c r="L95" i="11" s="1"/>
  <c r="C95" i="11"/>
  <c r="B95" i="11"/>
  <c r="A95" i="11"/>
  <c r="K94" i="11"/>
  <c r="J94" i="11"/>
  <c r="G94" i="11"/>
  <c r="F94" i="11"/>
  <c r="E94" i="11"/>
  <c r="I94" i="11" s="1"/>
  <c r="D94" i="11"/>
  <c r="C94" i="11"/>
  <c r="B94" i="11"/>
  <c r="A94" i="11"/>
  <c r="G93" i="11"/>
  <c r="F93" i="11"/>
  <c r="K93" i="11" s="1"/>
  <c r="E93" i="11"/>
  <c r="D93" i="11"/>
  <c r="L93" i="11" s="1"/>
  <c r="C93" i="11"/>
  <c r="B93" i="11"/>
  <c r="A93" i="11"/>
  <c r="K92" i="11"/>
  <c r="J92" i="11"/>
  <c r="G92" i="11"/>
  <c r="F92" i="11"/>
  <c r="E92" i="11"/>
  <c r="I92" i="11" s="1"/>
  <c r="D92" i="11"/>
  <c r="C92" i="11"/>
  <c r="B92" i="11"/>
  <c r="A92" i="11"/>
  <c r="G91" i="11"/>
  <c r="F91" i="11"/>
  <c r="K91" i="11" s="1"/>
  <c r="E91" i="11"/>
  <c r="D91" i="11"/>
  <c r="L91" i="11" s="1"/>
  <c r="C91" i="11"/>
  <c r="B91" i="11"/>
  <c r="A91" i="11"/>
  <c r="K90" i="11"/>
  <c r="J90" i="11"/>
  <c r="G90" i="11"/>
  <c r="F90" i="11"/>
  <c r="E90" i="11"/>
  <c r="I90" i="11" s="1"/>
  <c r="D90" i="11"/>
  <c r="C90" i="11"/>
  <c r="B90" i="11"/>
  <c r="A90" i="11"/>
  <c r="G89" i="11"/>
  <c r="F89" i="11"/>
  <c r="K89" i="11" s="1"/>
  <c r="E89" i="11"/>
  <c r="D89" i="11"/>
  <c r="L89" i="11" s="1"/>
  <c r="C89" i="11"/>
  <c r="B89" i="11"/>
  <c r="A89" i="11"/>
  <c r="K88" i="11"/>
  <c r="J88" i="11"/>
  <c r="G88" i="11"/>
  <c r="F88" i="11"/>
  <c r="E88" i="11"/>
  <c r="I88" i="11" s="1"/>
  <c r="D88" i="11"/>
  <c r="C88" i="11"/>
  <c r="B88" i="11"/>
  <c r="A88" i="11"/>
  <c r="G87" i="11"/>
  <c r="F87" i="11"/>
  <c r="K87" i="11" s="1"/>
  <c r="E87" i="11"/>
  <c r="D87" i="11"/>
  <c r="L87" i="11" s="1"/>
  <c r="C87" i="11"/>
  <c r="B87" i="11"/>
  <c r="A87" i="11"/>
  <c r="K86" i="11"/>
  <c r="J86" i="11"/>
  <c r="G86" i="11"/>
  <c r="F86" i="11"/>
  <c r="E86" i="11"/>
  <c r="I86" i="11" s="1"/>
  <c r="D86" i="11"/>
  <c r="C86" i="11"/>
  <c r="B86" i="11"/>
  <c r="A86" i="11"/>
  <c r="J85" i="11"/>
  <c r="I85" i="11"/>
  <c r="G85" i="11"/>
  <c r="F85" i="11"/>
  <c r="K85" i="11" s="1"/>
  <c r="E85" i="11"/>
  <c r="D85" i="11"/>
  <c r="L85" i="11" s="1"/>
  <c r="C85" i="11"/>
  <c r="B85" i="11"/>
  <c r="A85" i="11"/>
  <c r="K84" i="11"/>
  <c r="J84" i="11"/>
  <c r="G84" i="11"/>
  <c r="F84" i="11"/>
  <c r="E84" i="11"/>
  <c r="I84" i="11" s="1"/>
  <c r="D84" i="11"/>
  <c r="C84" i="11"/>
  <c r="B84" i="11"/>
  <c r="A84" i="11"/>
  <c r="J83" i="11"/>
  <c r="I83" i="11"/>
  <c r="G83" i="11"/>
  <c r="F83" i="11"/>
  <c r="K83" i="11" s="1"/>
  <c r="E83" i="11"/>
  <c r="D83" i="11"/>
  <c r="L83" i="11" s="1"/>
  <c r="C83" i="11"/>
  <c r="B83" i="11"/>
  <c r="A83" i="11"/>
  <c r="K82" i="11"/>
  <c r="J82" i="11"/>
  <c r="G82" i="11"/>
  <c r="F82" i="11"/>
  <c r="E82" i="11"/>
  <c r="I82" i="11" s="1"/>
  <c r="D82" i="11"/>
  <c r="C82" i="11"/>
  <c r="B82" i="11"/>
  <c r="A82" i="11"/>
  <c r="I81" i="11"/>
  <c r="G81" i="11"/>
  <c r="F81" i="11"/>
  <c r="K81" i="11" s="1"/>
  <c r="E81" i="11"/>
  <c r="D81" i="11"/>
  <c r="L81" i="11" s="1"/>
  <c r="C81" i="11"/>
  <c r="B81" i="11"/>
  <c r="A81" i="11"/>
  <c r="K80" i="11"/>
  <c r="J80" i="11"/>
  <c r="G80" i="11"/>
  <c r="F80" i="11"/>
  <c r="E80" i="11"/>
  <c r="I80" i="11" s="1"/>
  <c r="D80" i="11"/>
  <c r="C80" i="11"/>
  <c r="B80" i="11"/>
  <c r="A80" i="11"/>
  <c r="I79" i="11"/>
  <c r="G79" i="11"/>
  <c r="F79" i="11"/>
  <c r="K79" i="11" s="1"/>
  <c r="E79" i="11"/>
  <c r="D79" i="11"/>
  <c r="L79" i="11" s="1"/>
  <c r="C79" i="11"/>
  <c r="B79" i="11"/>
  <c r="A79" i="11"/>
  <c r="K78" i="11"/>
  <c r="J78" i="11"/>
  <c r="G78" i="11"/>
  <c r="F78" i="11"/>
  <c r="E78" i="11"/>
  <c r="I78" i="11" s="1"/>
  <c r="D78" i="11"/>
  <c r="C78" i="11"/>
  <c r="B78" i="11"/>
  <c r="A78" i="11"/>
  <c r="G77" i="11"/>
  <c r="F77" i="11"/>
  <c r="K77" i="11" s="1"/>
  <c r="E77" i="11"/>
  <c r="D77" i="11"/>
  <c r="L77" i="11" s="1"/>
  <c r="C77" i="11"/>
  <c r="B77" i="11"/>
  <c r="A77" i="11"/>
  <c r="K76" i="11"/>
  <c r="J76" i="11"/>
  <c r="G76" i="11"/>
  <c r="F76" i="11"/>
  <c r="E76" i="11"/>
  <c r="I76" i="11" s="1"/>
  <c r="D76" i="11"/>
  <c r="C76" i="11"/>
  <c r="B76" i="11"/>
  <c r="A76" i="11"/>
  <c r="G75" i="11"/>
  <c r="F75" i="11"/>
  <c r="K75" i="11" s="1"/>
  <c r="E75" i="11"/>
  <c r="D75" i="11"/>
  <c r="L75" i="11" s="1"/>
  <c r="C75" i="11"/>
  <c r="B75" i="11"/>
  <c r="A75" i="11"/>
  <c r="K74" i="11"/>
  <c r="J74" i="11"/>
  <c r="G74" i="11"/>
  <c r="F74" i="11"/>
  <c r="E74" i="11"/>
  <c r="I74" i="11" s="1"/>
  <c r="D74" i="11"/>
  <c r="C74" i="11"/>
  <c r="B74" i="11"/>
  <c r="A74" i="11"/>
  <c r="G73" i="11"/>
  <c r="F73" i="11"/>
  <c r="K73" i="11" s="1"/>
  <c r="E73" i="11"/>
  <c r="D73" i="11"/>
  <c r="L73" i="11" s="1"/>
  <c r="C73" i="11"/>
  <c r="B73" i="11"/>
  <c r="A73" i="11"/>
  <c r="K72" i="11"/>
  <c r="J72" i="11"/>
  <c r="G72" i="11"/>
  <c r="F72" i="11"/>
  <c r="E72" i="11"/>
  <c r="I72" i="11" s="1"/>
  <c r="D72" i="11"/>
  <c r="C72" i="11"/>
  <c r="B72" i="11"/>
  <c r="A72" i="11"/>
  <c r="G71" i="11"/>
  <c r="F71" i="11"/>
  <c r="K71" i="11" s="1"/>
  <c r="E71" i="11"/>
  <c r="D71" i="11"/>
  <c r="L71" i="11" s="1"/>
  <c r="C71" i="11"/>
  <c r="B71" i="11"/>
  <c r="A71" i="11"/>
  <c r="K70" i="11"/>
  <c r="J70" i="11"/>
  <c r="G70" i="11"/>
  <c r="F70" i="11"/>
  <c r="E70" i="11"/>
  <c r="I70" i="11" s="1"/>
  <c r="D70" i="11"/>
  <c r="C70" i="11"/>
  <c r="B70" i="11"/>
  <c r="A70" i="11"/>
  <c r="G69" i="11"/>
  <c r="F69" i="11"/>
  <c r="K69" i="11" s="1"/>
  <c r="E69" i="11"/>
  <c r="D69" i="11"/>
  <c r="L69" i="11" s="1"/>
  <c r="C69" i="11"/>
  <c r="B69" i="11"/>
  <c r="A69" i="11"/>
  <c r="K68" i="11"/>
  <c r="J68" i="11"/>
  <c r="G68" i="11"/>
  <c r="F68" i="11"/>
  <c r="E68" i="11"/>
  <c r="I68" i="11" s="1"/>
  <c r="D68" i="11"/>
  <c r="C68" i="11"/>
  <c r="B68" i="11"/>
  <c r="A68" i="11"/>
  <c r="G67" i="11"/>
  <c r="F67" i="11"/>
  <c r="K67" i="11" s="1"/>
  <c r="E67" i="11"/>
  <c r="D67" i="11"/>
  <c r="L67" i="11" s="1"/>
  <c r="C67" i="11"/>
  <c r="B67" i="11"/>
  <c r="A67" i="11"/>
  <c r="K66" i="11"/>
  <c r="J66" i="11"/>
  <c r="G66" i="11"/>
  <c r="F66" i="11"/>
  <c r="E66" i="11"/>
  <c r="I66" i="11" s="1"/>
  <c r="D66" i="11"/>
  <c r="C66" i="11"/>
  <c r="B66" i="11"/>
  <c r="A66" i="11"/>
  <c r="G65" i="11"/>
  <c r="F65" i="11"/>
  <c r="K65" i="11" s="1"/>
  <c r="E65" i="11"/>
  <c r="D65" i="11"/>
  <c r="L65" i="11" s="1"/>
  <c r="C65" i="11"/>
  <c r="B65" i="11"/>
  <c r="A65" i="11"/>
  <c r="K64" i="11"/>
  <c r="J64" i="11"/>
  <c r="G64" i="11"/>
  <c r="F64" i="11"/>
  <c r="E64" i="11"/>
  <c r="I64" i="11" s="1"/>
  <c r="D64" i="11"/>
  <c r="C64" i="11"/>
  <c r="B64" i="11"/>
  <c r="A64" i="11"/>
  <c r="I63" i="11"/>
  <c r="G63" i="11"/>
  <c r="F63" i="11"/>
  <c r="K63" i="11" s="1"/>
  <c r="E63" i="11"/>
  <c r="D63" i="11"/>
  <c r="L63" i="11" s="1"/>
  <c r="C63" i="11"/>
  <c r="B63" i="11"/>
  <c r="A63" i="11"/>
  <c r="K62" i="11"/>
  <c r="J62" i="11"/>
  <c r="G62" i="11"/>
  <c r="F62" i="11"/>
  <c r="E62" i="11"/>
  <c r="I62" i="11" s="1"/>
  <c r="D62" i="11"/>
  <c r="C62" i="11"/>
  <c r="B62" i="11"/>
  <c r="A62" i="11"/>
  <c r="G61" i="11"/>
  <c r="F61" i="11"/>
  <c r="K61" i="11" s="1"/>
  <c r="E61" i="11"/>
  <c r="D61" i="11"/>
  <c r="L61" i="11" s="1"/>
  <c r="C61" i="11"/>
  <c r="B61" i="11"/>
  <c r="A61" i="11"/>
  <c r="K60" i="11"/>
  <c r="J60" i="11"/>
  <c r="G60" i="11"/>
  <c r="F60" i="11"/>
  <c r="E60" i="11"/>
  <c r="I60" i="11" s="1"/>
  <c r="D60" i="11"/>
  <c r="C60" i="11"/>
  <c r="B60" i="11"/>
  <c r="A60" i="11"/>
  <c r="G59" i="11"/>
  <c r="F59" i="11"/>
  <c r="K59" i="11" s="1"/>
  <c r="E59" i="11"/>
  <c r="D59" i="11"/>
  <c r="L59" i="11" s="1"/>
  <c r="C59" i="11"/>
  <c r="B59" i="11"/>
  <c r="A59" i="11"/>
  <c r="K58" i="11"/>
  <c r="J58" i="11"/>
  <c r="G58" i="11"/>
  <c r="F58" i="11"/>
  <c r="E58" i="11"/>
  <c r="I58" i="11" s="1"/>
  <c r="D58" i="11"/>
  <c r="C58" i="11"/>
  <c r="B58" i="11"/>
  <c r="A58" i="11"/>
  <c r="L57" i="11"/>
  <c r="K57" i="11"/>
  <c r="J57" i="11"/>
  <c r="I57" i="11"/>
  <c r="H57" i="11"/>
  <c r="G57" i="11"/>
  <c r="F57" i="11"/>
  <c r="E57" i="11"/>
  <c r="D57" i="11"/>
  <c r="C57" i="11"/>
  <c r="B57" i="11"/>
  <c r="A57" i="11"/>
  <c r="K56" i="11"/>
  <c r="J56" i="11"/>
  <c r="G56" i="11"/>
  <c r="F56" i="11"/>
  <c r="E56" i="11"/>
  <c r="I56" i="11" s="1"/>
  <c r="D56" i="11"/>
  <c r="C56" i="11"/>
  <c r="B56" i="11"/>
  <c r="A56" i="11"/>
  <c r="L55" i="11"/>
  <c r="K55" i="11"/>
  <c r="J55" i="11"/>
  <c r="I55" i="11"/>
  <c r="H55" i="11"/>
  <c r="G55" i="11"/>
  <c r="F55" i="11"/>
  <c r="E55" i="11"/>
  <c r="D55" i="11"/>
  <c r="C55" i="11"/>
  <c r="B55" i="11"/>
  <c r="A55" i="11"/>
  <c r="K54" i="11"/>
  <c r="J54" i="11"/>
  <c r="G54" i="11"/>
  <c r="F54" i="11"/>
  <c r="E54" i="11"/>
  <c r="I54" i="11" s="1"/>
  <c r="D54" i="11"/>
  <c r="C54" i="11"/>
  <c r="B54" i="11"/>
  <c r="A54" i="11"/>
  <c r="L53" i="11"/>
  <c r="K53" i="11"/>
  <c r="J53" i="11"/>
  <c r="I53" i="11"/>
  <c r="H53" i="11"/>
  <c r="G53" i="11"/>
  <c r="F53" i="11"/>
  <c r="E53" i="11"/>
  <c r="D53" i="11"/>
  <c r="C53" i="11"/>
  <c r="B53" i="11"/>
  <c r="A53" i="11"/>
  <c r="K52" i="11"/>
  <c r="J52" i="11"/>
  <c r="G52" i="11"/>
  <c r="F52" i="11"/>
  <c r="E52" i="11"/>
  <c r="I52" i="11" s="1"/>
  <c r="D52" i="11"/>
  <c r="C52" i="11"/>
  <c r="B52" i="11"/>
  <c r="A52" i="11"/>
  <c r="L51" i="11"/>
  <c r="K51" i="11"/>
  <c r="J51" i="11"/>
  <c r="I51" i="11"/>
  <c r="H51" i="11"/>
  <c r="G51" i="11"/>
  <c r="F51" i="11"/>
  <c r="E51" i="11"/>
  <c r="D51" i="11"/>
  <c r="C51" i="11"/>
  <c r="B51" i="11"/>
  <c r="A51" i="11"/>
  <c r="K50" i="11"/>
  <c r="J50" i="11"/>
  <c r="G50" i="11"/>
  <c r="F50" i="11"/>
  <c r="E50" i="11"/>
  <c r="I50" i="11" s="1"/>
  <c r="D50" i="11"/>
  <c r="C50" i="11"/>
  <c r="B50" i="11"/>
  <c r="A50" i="11"/>
  <c r="L49" i="11"/>
  <c r="K49" i="11"/>
  <c r="J49" i="11"/>
  <c r="I49" i="11"/>
  <c r="H49" i="11"/>
  <c r="G49" i="11"/>
  <c r="F49" i="11"/>
  <c r="E49" i="11"/>
  <c r="D49" i="11"/>
  <c r="C49" i="11"/>
  <c r="B49" i="11"/>
  <c r="A49" i="11"/>
  <c r="K48" i="11"/>
  <c r="J48" i="11"/>
  <c r="G48" i="11"/>
  <c r="F48" i="11"/>
  <c r="E48" i="11"/>
  <c r="I48" i="11" s="1"/>
  <c r="D48" i="11"/>
  <c r="C48" i="11"/>
  <c r="B48" i="11"/>
  <c r="A48" i="11"/>
  <c r="L47" i="11"/>
  <c r="K47" i="11"/>
  <c r="J47" i="11"/>
  <c r="I47" i="11"/>
  <c r="H47" i="11"/>
  <c r="G47" i="11"/>
  <c r="F47" i="11"/>
  <c r="E47" i="11"/>
  <c r="D47" i="11"/>
  <c r="C47" i="11"/>
  <c r="B47" i="11"/>
  <c r="A47" i="11"/>
  <c r="K46" i="11"/>
  <c r="J46" i="11"/>
  <c r="G46" i="11"/>
  <c r="F46" i="11"/>
  <c r="E46" i="11"/>
  <c r="I46" i="11" s="1"/>
  <c r="D46" i="11"/>
  <c r="C46" i="11"/>
  <c r="B46" i="11"/>
  <c r="A46" i="11"/>
  <c r="I45" i="11"/>
  <c r="G45" i="11"/>
  <c r="F45" i="11"/>
  <c r="K45" i="11" s="1"/>
  <c r="E45" i="11"/>
  <c r="D45" i="11"/>
  <c r="L45" i="11" s="1"/>
  <c r="C45" i="11"/>
  <c r="B45" i="11"/>
  <c r="A45" i="11"/>
  <c r="K44" i="11"/>
  <c r="J44" i="11"/>
  <c r="G44" i="11"/>
  <c r="F44" i="11"/>
  <c r="E44" i="11"/>
  <c r="I44" i="11" s="1"/>
  <c r="D44" i="11"/>
  <c r="C44" i="11"/>
  <c r="B44" i="11"/>
  <c r="A44" i="11"/>
  <c r="L43" i="11"/>
  <c r="K43" i="11"/>
  <c r="J43" i="11"/>
  <c r="I43" i="11"/>
  <c r="H43" i="11"/>
  <c r="G43" i="11"/>
  <c r="F43" i="11"/>
  <c r="E43" i="11"/>
  <c r="D43" i="11"/>
  <c r="C43" i="11"/>
  <c r="B43" i="11"/>
  <c r="A43" i="11"/>
  <c r="K42" i="11"/>
  <c r="J42" i="11"/>
  <c r="G42" i="11"/>
  <c r="F42" i="11"/>
  <c r="E42" i="11"/>
  <c r="I42" i="11" s="1"/>
  <c r="D42" i="11"/>
  <c r="C42" i="11"/>
  <c r="B42" i="11"/>
  <c r="A42" i="11"/>
  <c r="L41" i="11"/>
  <c r="K41" i="11"/>
  <c r="J41" i="11"/>
  <c r="I41" i="11"/>
  <c r="H41" i="11"/>
  <c r="G41" i="11"/>
  <c r="F41" i="11"/>
  <c r="E41" i="11"/>
  <c r="D41" i="11"/>
  <c r="C41" i="11"/>
  <c r="B41" i="11"/>
  <c r="A41" i="11"/>
  <c r="K40" i="11"/>
  <c r="J40" i="11"/>
  <c r="G40" i="11"/>
  <c r="F40" i="11"/>
  <c r="E40" i="11"/>
  <c r="I40" i="11" s="1"/>
  <c r="D40" i="11"/>
  <c r="C40" i="11"/>
  <c r="B40" i="11"/>
  <c r="A40" i="11"/>
  <c r="G39" i="11"/>
  <c r="F39" i="11"/>
  <c r="K39" i="11" s="1"/>
  <c r="E39" i="11"/>
  <c r="D39" i="11"/>
  <c r="L39" i="11" s="1"/>
  <c r="C39" i="11"/>
  <c r="B39" i="11"/>
  <c r="A39" i="11"/>
  <c r="K38" i="11"/>
  <c r="J38" i="11"/>
  <c r="G38" i="11"/>
  <c r="F38" i="11"/>
  <c r="E38" i="11"/>
  <c r="I38" i="11" s="1"/>
  <c r="D38" i="11"/>
  <c r="C38" i="11"/>
  <c r="B38" i="11"/>
  <c r="A38" i="11"/>
  <c r="L37" i="11"/>
  <c r="K37" i="11"/>
  <c r="J37" i="11"/>
  <c r="I37" i="11"/>
  <c r="H37" i="11"/>
  <c r="G37" i="11"/>
  <c r="F37" i="11"/>
  <c r="E37" i="11"/>
  <c r="D37" i="11"/>
  <c r="C37" i="11"/>
  <c r="B37" i="11"/>
  <c r="A37" i="11"/>
  <c r="K36" i="11"/>
  <c r="J36" i="11"/>
  <c r="G36" i="11"/>
  <c r="F36" i="11"/>
  <c r="E36" i="11"/>
  <c r="I36" i="11" s="1"/>
  <c r="D36" i="11"/>
  <c r="C36" i="11"/>
  <c r="B36" i="11"/>
  <c r="A36" i="11"/>
  <c r="L35" i="11"/>
  <c r="K35" i="11"/>
  <c r="J35" i="11"/>
  <c r="I35" i="11"/>
  <c r="H35" i="11"/>
  <c r="G35" i="11"/>
  <c r="F35" i="11"/>
  <c r="E35" i="11"/>
  <c r="D35" i="11"/>
  <c r="C35" i="11"/>
  <c r="B35" i="11"/>
  <c r="A35" i="11"/>
  <c r="K34" i="11"/>
  <c r="J34" i="11"/>
  <c r="G34" i="11"/>
  <c r="F34" i="11"/>
  <c r="E34" i="11"/>
  <c r="I34" i="11" s="1"/>
  <c r="D34" i="11"/>
  <c r="C34" i="11"/>
  <c r="B34" i="11"/>
  <c r="A34" i="11"/>
  <c r="L33" i="11"/>
  <c r="K33" i="11"/>
  <c r="J33" i="11"/>
  <c r="I33" i="11"/>
  <c r="H33" i="11"/>
  <c r="G33" i="11"/>
  <c r="F33" i="11"/>
  <c r="E33" i="11"/>
  <c r="D33" i="11"/>
  <c r="C33" i="11"/>
  <c r="B33" i="11"/>
  <c r="A33" i="11"/>
  <c r="K32" i="11"/>
  <c r="J32" i="11"/>
  <c r="G32" i="11"/>
  <c r="F32" i="11"/>
  <c r="E32" i="11"/>
  <c r="I32" i="11" s="1"/>
  <c r="D32" i="11"/>
  <c r="C32" i="11"/>
  <c r="B32" i="11"/>
  <c r="A32" i="11"/>
  <c r="G31" i="11"/>
  <c r="F31" i="11"/>
  <c r="K31" i="11" s="1"/>
  <c r="E31" i="11"/>
  <c r="D31" i="11"/>
  <c r="L31" i="11" s="1"/>
  <c r="C31" i="11"/>
  <c r="B31" i="11"/>
  <c r="A31" i="11"/>
  <c r="K30" i="11"/>
  <c r="J30" i="11"/>
  <c r="G30" i="11"/>
  <c r="F30" i="11"/>
  <c r="E30" i="11"/>
  <c r="I30" i="11" s="1"/>
  <c r="D30" i="11"/>
  <c r="C30" i="11"/>
  <c r="B30" i="11"/>
  <c r="A30" i="11"/>
  <c r="I29" i="11"/>
  <c r="G29" i="11"/>
  <c r="F29" i="11"/>
  <c r="K29" i="11" s="1"/>
  <c r="E29" i="11"/>
  <c r="D29" i="11"/>
  <c r="L29" i="11" s="1"/>
  <c r="C29" i="11"/>
  <c r="B29" i="11"/>
  <c r="A29" i="11"/>
  <c r="K28" i="11"/>
  <c r="J28" i="11"/>
  <c r="G28" i="11"/>
  <c r="F28" i="11"/>
  <c r="E28" i="11"/>
  <c r="I28" i="11" s="1"/>
  <c r="D28" i="11"/>
  <c r="C28" i="11"/>
  <c r="B28" i="11"/>
  <c r="A28" i="11"/>
  <c r="G27" i="11"/>
  <c r="F27" i="11"/>
  <c r="K27" i="11" s="1"/>
  <c r="E27" i="11"/>
  <c r="D27" i="11"/>
  <c r="L27" i="11" s="1"/>
  <c r="C27" i="11"/>
  <c r="B27" i="11"/>
  <c r="A27" i="11"/>
  <c r="K26" i="11"/>
  <c r="J26" i="11"/>
  <c r="G26" i="11"/>
  <c r="F26" i="11"/>
  <c r="E26" i="11"/>
  <c r="I26" i="11" s="1"/>
  <c r="D26" i="11"/>
  <c r="C26" i="11"/>
  <c r="B26" i="11"/>
  <c r="A26" i="11"/>
  <c r="G25" i="11"/>
  <c r="F25" i="11"/>
  <c r="K25" i="11" s="1"/>
  <c r="E25" i="11"/>
  <c r="D25" i="11"/>
  <c r="L25" i="11" s="1"/>
  <c r="C25" i="11"/>
  <c r="B25" i="11"/>
  <c r="A25" i="11"/>
  <c r="K24" i="11"/>
  <c r="J24" i="11"/>
  <c r="G24" i="11"/>
  <c r="F24" i="11"/>
  <c r="E24" i="11"/>
  <c r="I24" i="11" s="1"/>
  <c r="D24" i="11"/>
  <c r="C24" i="11"/>
  <c r="B24" i="11"/>
  <c r="A24" i="11"/>
  <c r="G23" i="11"/>
  <c r="F23" i="11"/>
  <c r="K23" i="11" s="1"/>
  <c r="E23" i="11"/>
  <c r="D23" i="11"/>
  <c r="L23" i="11" s="1"/>
  <c r="C23" i="11"/>
  <c r="B23" i="11"/>
  <c r="A23" i="11"/>
  <c r="K22" i="11"/>
  <c r="J22" i="11"/>
  <c r="G22" i="11"/>
  <c r="F22" i="11"/>
  <c r="E22" i="11"/>
  <c r="I22" i="11" s="1"/>
  <c r="D22" i="11"/>
  <c r="C22" i="11"/>
  <c r="B22" i="11"/>
  <c r="A22" i="11"/>
  <c r="G21" i="11"/>
  <c r="F21" i="11"/>
  <c r="K21" i="11" s="1"/>
  <c r="E21" i="11"/>
  <c r="D21" i="11"/>
  <c r="L21" i="11" s="1"/>
  <c r="C21" i="11"/>
  <c r="B21" i="11"/>
  <c r="A21" i="11"/>
  <c r="K20" i="11"/>
  <c r="J20" i="11"/>
  <c r="G20" i="11"/>
  <c r="F20" i="11"/>
  <c r="E20" i="11"/>
  <c r="I20" i="11" s="1"/>
  <c r="D20" i="11"/>
  <c r="C20" i="11"/>
  <c r="B20" i="11"/>
  <c r="A20" i="11"/>
  <c r="K19" i="11"/>
  <c r="J19" i="11"/>
  <c r="I19" i="11"/>
  <c r="H19" i="11"/>
  <c r="G19" i="11"/>
  <c r="F19" i="11"/>
  <c r="E19" i="11"/>
  <c r="D19" i="11"/>
  <c r="L19" i="11" s="1"/>
  <c r="C19" i="11"/>
  <c r="B19" i="11"/>
  <c r="A19" i="11"/>
  <c r="K18" i="11"/>
  <c r="J18" i="11"/>
  <c r="G18" i="11"/>
  <c r="F18" i="11"/>
  <c r="E18" i="11"/>
  <c r="I18" i="11" s="1"/>
  <c r="D18" i="11"/>
  <c r="C18" i="11"/>
  <c r="B18" i="11"/>
  <c r="A18" i="11"/>
  <c r="K17" i="11"/>
  <c r="J17" i="11"/>
  <c r="I17" i="11"/>
  <c r="H17" i="11"/>
  <c r="G17" i="11"/>
  <c r="F17" i="11"/>
  <c r="E17" i="11"/>
  <c r="D17" i="11"/>
  <c r="L17" i="11" s="1"/>
  <c r="C17" i="11"/>
  <c r="B17" i="11"/>
  <c r="A17" i="11"/>
  <c r="K16" i="11"/>
  <c r="J16" i="11"/>
  <c r="G16" i="11"/>
  <c r="F16" i="11"/>
  <c r="E16" i="11"/>
  <c r="I16" i="11" s="1"/>
  <c r="D16" i="11"/>
  <c r="C16" i="11"/>
  <c r="B16" i="11"/>
  <c r="A16" i="11"/>
  <c r="K15" i="11"/>
  <c r="J15" i="11"/>
  <c r="I15" i="11"/>
  <c r="H15" i="11"/>
  <c r="G15" i="11"/>
  <c r="F15" i="11"/>
  <c r="E15" i="11"/>
  <c r="D15" i="11"/>
  <c r="L15" i="11" s="1"/>
  <c r="C15" i="11"/>
  <c r="B15" i="11"/>
  <c r="A15" i="11"/>
  <c r="K14" i="11"/>
  <c r="J14" i="11"/>
  <c r="G14" i="11"/>
  <c r="F14" i="11"/>
  <c r="E14" i="11"/>
  <c r="I14" i="11" s="1"/>
  <c r="D14" i="11"/>
  <c r="C14" i="11"/>
  <c r="B14" i="11"/>
  <c r="A14" i="11"/>
  <c r="K13" i="11"/>
  <c r="J13" i="11"/>
  <c r="I13" i="11"/>
  <c r="H13" i="11"/>
  <c r="G13" i="11"/>
  <c r="F13" i="11"/>
  <c r="E13" i="11"/>
  <c r="D13" i="11"/>
  <c r="L13" i="11" s="1"/>
  <c r="C13" i="11"/>
  <c r="B13" i="11"/>
  <c r="A13" i="11"/>
  <c r="K12" i="11"/>
  <c r="J12" i="11"/>
  <c r="G12" i="11"/>
  <c r="F12" i="11"/>
  <c r="E12" i="11"/>
  <c r="I12" i="11" s="1"/>
  <c r="D12" i="11"/>
  <c r="C12" i="11"/>
  <c r="B12" i="11"/>
  <c r="A12" i="11"/>
  <c r="L11" i="11"/>
  <c r="K11" i="11"/>
  <c r="J11" i="11"/>
  <c r="I11" i="11"/>
  <c r="H11" i="11"/>
  <c r="G11" i="11"/>
  <c r="F11" i="11"/>
  <c r="E11" i="11"/>
  <c r="D11" i="11"/>
  <c r="C11" i="11"/>
  <c r="B11" i="11"/>
  <c r="A11" i="11"/>
  <c r="K10" i="11"/>
  <c r="J10" i="11"/>
  <c r="G10" i="11"/>
  <c r="F10" i="11"/>
  <c r="E10" i="11"/>
  <c r="I10" i="11" s="1"/>
  <c r="D10" i="11"/>
  <c r="C10" i="11"/>
  <c r="B10" i="11"/>
  <c r="A10" i="11"/>
  <c r="H9" i="11"/>
  <c r="G9" i="11"/>
  <c r="F9" i="11"/>
  <c r="K9" i="11" s="1"/>
  <c r="E9" i="11"/>
  <c r="D9" i="11"/>
  <c r="L9" i="11" s="1"/>
  <c r="C9" i="11"/>
  <c r="B9" i="11"/>
  <c r="A9" i="11"/>
  <c r="K8" i="11"/>
  <c r="J8" i="11"/>
  <c r="G8" i="11"/>
  <c r="F8" i="11"/>
  <c r="E8" i="11"/>
  <c r="I8" i="11" s="1"/>
  <c r="D8" i="11"/>
  <c r="C8" i="11"/>
  <c r="B8" i="11"/>
  <c r="A8" i="11"/>
  <c r="E38" i="10"/>
  <c r="D38" i="10"/>
  <c r="C38" i="10"/>
  <c r="E37" i="10"/>
  <c r="D37" i="10"/>
  <c r="C37" i="10"/>
  <c r="E36" i="10"/>
  <c r="D36" i="10"/>
  <c r="C36" i="10"/>
  <c r="E35" i="10"/>
  <c r="D35" i="10"/>
  <c r="C35" i="10"/>
  <c r="E34" i="10"/>
  <c r="D34" i="10"/>
  <c r="C34" i="10"/>
  <c r="E33" i="10"/>
  <c r="D33" i="10"/>
  <c r="C33" i="10"/>
  <c r="E32" i="10"/>
  <c r="D32" i="10"/>
  <c r="C32" i="10"/>
  <c r="E31" i="10"/>
  <c r="D31" i="10"/>
  <c r="C31" i="10"/>
  <c r="E30" i="10"/>
  <c r="D30" i="10"/>
  <c r="C30" i="10"/>
  <c r="E29" i="10"/>
  <c r="D29" i="10"/>
  <c r="C29" i="10"/>
  <c r="E28" i="10"/>
  <c r="D28" i="10"/>
  <c r="C28" i="10"/>
  <c r="E27" i="10"/>
  <c r="D27" i="10"/>
  <c r="C27" i="10"/>
  <c r="E26" i="10"/>
  <c r="D26" i="10"/>
  <c r="C26" i="10"/>
  <c r="E25" i="10"/>
  <c r="D25" i="10"/>
  <c r="C25" i="10"/>
  <c r="E24" i="10"/>
  <c r="D24" i="10"/>
  <c r="C24" i="10"/>
  <c r="E23" i="10"/>
  <c r="D23" i="10"/>
  <c r="C23" i="10"/>
  <c r="E22" i="10"/>
  <c r="D22" i="10"/>
  <c r="C22" i="10"/>
  <c r="E21" i="10"/>
  <c r="D21" i="10"/>
  <c r="C21" i="10"/>
  <c r="E20" i="10"/>
  <c r="D20" i="10"/>
  <c r="C20" i="10"/>
  <c r="E19" i="10"/>
  <c r="D19" i="10"/>
  <c r="C19" i="10"/>
  <c r="E18" i="10"/>
  <c r="D18" i="10"/>
  <c r="C18" i="10"/>
  <c r="E10" i="10"/>
  <c r="E9" i="10"/>
  <c r="E8" i="10"/>
  <c r="E7" i="10"/>
  <c r="E6" i="10"/>
  <c r="C42" i="9"/>
  <c r="M9" i="9"/>
  <c r="M8" i="9"/>
  <c r="M7" i="9"/>
  <c r="C10" i="7"/>
  <c r="D10" i="7" s="1"/>
  <c r="B10" i="7"/>
  <c r="C9" i="7"/>
  <c r="D9" i="7" s="1"/>
  <c r="B9" i="7"/>
  <c r="F9" i="7" s="1"/>
  <c r="C8" i="7"/>
  <c r="B8" i="7"/>
  <c r="F8" i="7" s="1"/>
  <c r="C7" i="7"/>
  <c r="B7" i="7"/>
  <c r="F7" i="7" s="1"/>
  <c r="C6" i="7"/>
  <c r="B6" i="7"/>
  <c r="F6" i="7" s="1"/>
  <c r="C5" i="7"/>
  <c r="C11" i="7" s="1"/>
  <c r="B5" i="7"/>
  <c r="B11" i="7" s="1"/>
  <c r="J33" i="5"/>
  <c r="F9" i="18" s="1"/>
  <c r="G9" i="18" s="1"/>
  <c r="I33" i="5"/>
  <c r="H33" i="5" s="1"/>
  <c r="E33" i="12" s="1"/>
  <c r="J32" i="5"/>
  <c r="I32" i="5"/>
  <c r="H31" i="5" s="1"/>
  <c r="E31" i="12" s="1"/>
  <c r="H32" i="5"/>
  <c r="E32" i="12" s="1"/>
  <c r="J31" i="5"/>
  <c r="F8" i="18" s="1"/>
  <c r="G8" i="18" s="1"/>
  <c r="I31" i="5"/>
  <c r="J30" i="5"/>
  <c r="I30" i="5"/>
  <c r="H30" i="5" s="1"/>
  <c r="E30" i="12" s="1"/>
  <c r="J29" i="5"/>
  <c r="I29" i="5"/>
  <c r="H29" i="5" s="1"/>
  <c r="E29" i="12" s="1"/>
  <c r="J28" i="5"/>
  <c r="I28" i="5"/>
  <c r="H28" i="5" s="1"/>
  <c r="E28" i="12" s="1"/>
  <c r="J27" i="5"/>
  <c r="I27" i="5"/>
  <c r="J26" i="5"/>
  <c r="I26" i="5"/>
  <c r="H26" i="5" s="1"/>
  <c r="E26" i="12" s="1"/>
  <c r="J25" i="5"/>
  <c r="I25" i="5"/>
  <c r="H25" i="5" s="1"/>
  <c r="E25" i="12" s="1"/>
  <c r="J24" i="5"/>
  <c r="I24" i="5"/>
  <c r="H24" i="5"/>
  <c r="E24" i="12" s="1"/>
  <c r="J23" i="5"/>
  <c r="I23" i="5"/>
  <c r="H23" i="5"/>
  <c r="E23" i="12" s="1"/>
  <c r="P23" i="12" s="1"/>
  <c r="J22" i="5"/>
  <c r="F6" i="18" s="1"/>
  <c r="G6" i="18" s="1"/>
  <c r="I22" i="5"/>
  <c r="H22" i="5" s="1"/>
  <c r="E22" i="12" s="1"/>
  <c r="J21" i="5"/>
  <c r="I21" i="5"/>
  <c r="H21" i="5" s="1"/>
  <c r="E21" i="12" s="1"/>
  <c r="J20" i="5"/>
  <c r="F5" i="18" s="1"/>
  <c r="G5" i="18" s="1"/>
  <c r="I20" i="5"/>
  <c r="H20" i="5" s="1"/>
  <c r="E20" i="12" s="1"/>
  <c r="J19" i="5"/>
  <c r="I19" i="5"/>
  <c r="J18" i="5"/>
  <c r="I18" i="5"/>
  <c r="H18" i="5" s="1"/>
  <c r="E18" i="12" s="1"/>
  <c r="J17" i="5"/>
  <c r="I17" i="5"/>
  <c r="H17" i="5" s="1"/>
  <c r="E17" i="12" s="1"/>
  <c r="J16" i="5"/>
  <c r="I16" i="5"/>
  <c r="J15" i="5"/>
  <c r="I15" i="5"/>
  <c r="J14" i="5"/>
  <c r="I14" i="5"/>
  <c r="H14" i="5" s="1"/>
  <c r="E14" i="12" s="1"/>
  <c r="J13" i="5"/>
  <c r="I13" i="5"/>
  <c r="H13" i="5" s="1"/>
  <c r="E13" i="12" s="1"/>
  <c r="J12" i="5"/>
  <c r="I12" i="5"/>
  <c r="H12" i="5" s="1"/>
  <c r="E12" i="12" s="1"/>
  <c r="J11" i="5"/>
  <c r="I11" i="5"/>
  <c r="J10" i="5"/>
  <c r="I10" i="5"/>
  <c r="H10" i="5" s="1"/>
  <c r="E10" i="12" s="1"/>
  <c r="J9" i="5"/>
  <c r="I9" i="5"/>
  <c r="H9" i="5" s="1"/>
  <c r="E9" i="12" s="1"/>
  <c r="J8" i="5"/>
  <c r="I8" i="5"/>
  <c r="H7" i="5" s="1"/>
  <c r="E7" i="12" s="1"/>
  <c r="J7" i="5"/>
  <c r="I7" i="5"/>
  <c r="J6" i="5"/>
  <c r="I6" i="5"/>
  <c r="H6" i="5" s="1"/>
  <c r="E6" i="12" s="1"/>
  <c r="J5" i="5"/>
  <c r="F7" i="18" s="1"/>
  <c r="G7" i="18" s="1"/>
  <c r="I5" i="5"/>
  <c r="H5" i="5" s="1"/>
  <c r="C50" i="4"/>
  <c r="B50" i="4"/>
  <c r="C49" i="4"/>
  <c r="B49" i="4"/>
  <c r="C48" i="4"/>
  <c r="B48" i="4"/>
  <c r="C47" i="4"/>
  <c r="B47" i="4"/>
  <c r="C46" i="4"/>
  <c r="B46" i="4"/>
  <c r="C45" i="4"/>
  <c r="B45" i="4"/>
  <c r="C44" i="4"/>
  <c r="B44" i="4"/>
  <c r="C43" i="4"/>
  <c r="B43" i="4"/>
  <c r="C42" i="4"/>
  <c r="B42" i="4"/>
  <c r="C41" i="4"/>
  <c r="B41" i="4"/>
  <c r="C40" i="4"/>
  <c r="B40" i="4"/>
  <c r="C39" i="4"/>
  <c r="B39" i="4"/>
  <c r="C38" i="4"/>
  <c r="B38" i="4"/>
  <c r="C37" i="4"/>
  <c r="B37" i="4"/>
  <c r="C36" i="4"/>
  <c r="B36" i="4"/>
  <c r="C35" i="4"/>
  <c r="B35" i="4"/>
  <c r="C34" i="4"/>
  <c r="B34" i="4"/>
  <c r="C33" i="4"/>
  <c r="B33" i="4"/>
  <c r="C32" i="4"/>
  <c r="B32" i="4"/>
  <c r="C31" i="4"/>
  <c r="B31" i="4"/>
  <c r="C30" i="4"/>
  <c r="B30" i="4"/>
  <c r="C29" i="4"/>
  <c r="B29" i="4"/>
  <c r="C28" i="4"/>
  <c r="B28" i="4"/>
  <c r="C27" i="4"/>
  <c r="B27" i="4"/>
  <c r="C26" i="4"/>
  <c r="B26" i="4"/>
  <c r="C25" i="4"/>
  <c r="B25" i="4"/>
  <c r="C24" i="4"/>
  <c r="B24" i="4"/>
  <c r="C23" i="4"/>
  <c r="B23" i="4"/>
  <c r="C22" i="4"/>
  <c r="B22" i="4"/>
  <c r="C9" i="4"/>
  <c r="C5" i="4"/>
  <c r="N6" i="2"/>
  <c r="M6" i="2"/>
  <c r="L6" i="2"/>
  <c r="K6" i="2"/>
  <c r="J6" i="2"/>
  <c r="I6" i="2"/>
  <c r="H6" i="2"/>
  <c r="G6" i="2"/>
  <c r="F6" i="2"/>
  <c r="N5" i="2"/>
  <c r="M5" i="2"/>
  <c r="L5" i="2"/>
  <c r="K5" i="2"/>
  <c r="J5" i="2"/>
  <c r="I5" i="2"/>
  <c r="H5" i="2"/>
  <c r="G5" i="2"/>
  <c r="F5" i="2"/>
  <c r="K10" i="12" l="1"/>
  <c r="W10" i="12" s="1"/>
  <c r="J10" i="12"/>
  <c r="V10" i="12" s="1"/>
  <c r="I10" i="12"/>
  <c r="U10" i="12" s="1"/>
  <c r="H10" i="12"/>
  <c r="T10" i="12" s="1"/>
  <c r="D10" i="13"/>
  <c r="Q10" i="12"/>
  <c r="G10" i="12"/>
  <c r="S10" i="12" s="1"/>
  <c r="P10" i="12"/>
  <c r="F10" i="12"/>
  <c r="R10" i="12" s="1"/>
  <c r="O10" i="12"/>
  <c r="N10" i="12"/>
  <c r="L10" i="12"/>
  <c r="X10" i="12" s="1"/>
  <c r="M10" i="12"/>
  <c r="L14" i="12"/>
  <c r="X14" i="12" s="1"/>
  <c r="M14" i="12"/>
  <c r="K14" i="12"/>
  <c r="W14" i="12" s="1"/>
  <c r="Q14" i="12"/>
  <c r="H14" i="12"/>
  <c r="T14" i="12" s="1"/>
  <c r="D14" i="13"/>
  <c r="G14" i="12"/>
  <c r="S14" i="12" s="1"/>
  <c r="F14" i="12"/>
  <c r="R14" i="12" s="1"/>
  <c r="P14" i="12"/>
  <c r="O14" i="12"/>
  <c r="N14" i="12"/>
  <c r="I14" i="12"/>
  <c r="U14" i="12" s="1"/>
  <c r="J14" i="12"/>
  <c r="V14" i="12" s="1"/>
  <c r="L18" i="12"/>
  <c r="X18" i="12" s="1"/>
  <c r="M18" i="12"/>
  <c r="K18" i="12"/>
  <c r="W18" i="12" s="1"/>
  <c r="Q18" i="12"/>
  <c r="H18" i="12"/>
  <c r="T18" i="12" s="1"/>
  <c r="D18" i="13"/>
  <c r="P18" i="12"/>
  <c r="O18" i="12"/>
  <c r="N18" i="12"/>
  <c r="J18" i="12"/>
  <c r="V18" i="12" s="1"/>
  <c r="I18" i="12"/>
  <c r="U18" i="12" s="1"/>
  <c r="F18" i="12"/>
  <c r="R18" i="12" s="1"/>
  <c r="G18" i="12"/>
  <c r="S18" i="12" s="1"/>
  <c r="L22" i="12"/>
  <c r="X22" i="12" s="1"/>
  <c r="M22" i="12"/>
  <c r="K22" i="12"/>
  <c r="W22" i="12" s="1"/>
  <c r="Q22" i="12"/>
  <c r="H22" i="12"/>
  <c r="T22" i="12" s="1"/>
  <c r="P22" i="12"/>
  <c r="G22" i="12"/>
  <c r="S22" i="12" s="1"/>
  <c r="D22" i="13"/>
  <c r="O22" i="12"/>
  <c r="N22" i="12"/>
  <c r="J22" i="12"/>
  <c r="V22" i="12" s="1"/>
  <c r="I22" i="12"/>
  <c r="U22" i="12" s="1"/>
  <c r="F22" i="12"/>
  <c r="R22" i="12" s="1"/>
  <c r="L25" i="12"/>
  <c r="X25" i="12" s="1"/>
  <c r="D25" i="13"/>
  <c r="J25" i="12"/>
  <c r="V25" i="12" s="1"/>
  <c r="I25" i="12"/>
  <c r="U25" i="12" s="1"/>
  <c r="O25" i="12"/>
  <c r="F25" i="12"/>
  <c r="R25" i="12" s="1"/>
  <c r="N25" i="12"/>
  <c r="K25" i="12"/>
  <c r="W25" i="12" s="1"/>
  <c r="H25" i="12"/>
  <c r="T25" i="12" s="1"/>
  <c r="G25" i="12"/>
  <c r="S25" i="12" s="1"/>
  <c r="Q25" i="12"/>
  <c r="M25" i="12"/>
  <c r="P25" i="12"/>
  <c r="P29" i="12"/>
  <c r="H29" i="12"/>
  <c r="T29" i="12" s="1"/>
  <c r="D29" i="13"/>
  <c r="I29" i="12"/>
  <c r="U29" i="12" s="1"/>
  <c r="G29" i="12"/>
  <c r="S29" i="12" s="1"/>
  <c r="Q29" i="12"/>
  <c r="F29" i="12"/>
  <c r="R29" i="12" s="1"/>
  <c r="AD29" i="12" s="1"/>
  <c r="AE29" i="12" s="1"/>
  <c r="M29" i="12"/>
  <c r="L29" i="12"/>
  <c r="X29" i="12" s="1"/>
  <c r="O29" i="12"/>
  <c r="N29" i="12"/>
  <c r="K29" i="12"/>
  <c r="W29" i="12" s="1"/>
  <c r="J29" i="12"/>
  <c r="V29" i="12" s="1"/>
  <c r="D26" i="13"/>
  <c r="L26" i="12"/>
  <c r="X26" i="12" s="1"/>
  <c r="M26" i="12"/>
  <c r="K26" i="12"/>
  <c r="W26" i="12" s="1"/>
  <c r="Q26" i="12"/>
  <c r="H26" i="12"/>
  <c r="T26" i="12" s="1"/>
  <c r="P26" i="12"/>
  <c r="G26" i="12"/>
  <c r="S26" i="12" s="1"/>
  <c r="O26" i="12"/>
  <c r="N26" i="12"/>
  <c r="J26" i="12"/>
  <c r="V26" i="12" s="1"/>
  <c r="I26" i="12"/>
  <c r="U26" i="12" s="1"/>
  <c r="F26" i="12"/>
  <c r="R26" i="12" s="1"/>
  <c r="P30" i="12"/>
  <c r="H30" i="12"/>
  <c r="T30" i="12" s="1"/>
  <c r="L30" i="12"/>
  <c r="X30" i="12" s="1"/>
  <c r="N30" i="12"/>
  <c r="M30" i="12"/>
  <c r="I30" i="12"/>
  <c r="U30" i="12" s="1"/>
  <c r="G30" i="12"/>
  <c r="S30" i="12" s="1"/>
  <c r="J30" i="12"/>
  <c r="V30" i="12" s="1"/>
  <c r="F30" i="12"/>
  <c r="R30" i="12" s="1"/>
  <c r="D30" i="13"/>
  <c r="Q30" i="12"/>
  <c r="K30" i="12"/>
  <c r="W30" i="12" s="1"/>
  <c r="O30" i="12"/>
  <c r="P33" i="12"/>
  <c r="H33" i="12"/>
  <c r="T33" i="12" s="1"/>
  <c r="D33" i="13"/>
  <c r="M33" i="12"/>
  <c r="N33" i="12"/>
  <c r="L33" i="12"/>
  <c r="X33" i="12" s="1"/>
  <c r="I33" i="12"/>
  <c r="U33" i="12" s="1"/>
  <c r="G33" i="12"/>
  <c r="S33" i="12" s="1"/>
  <c r="J33" i="12"/>
  <c r="V33" i="12" s="1"/>
  <c r="F33" i="12"/>
  <c r="R33" i="12" s="1"/>
  <c r="Q33" i="12"/>
  <c r="K33" i="12"/>
  <c r="W33" i="12" s="1"/>
  <c r="O33" i="12"/>
  <c r="K6" i="12"/>
  <c r="W6" i="12" s="1"/>
  <c r="D6" i="13"/>
  <c r="J6" i="12"/>
  <c r="V6" i="12" s="1"/>
  <c r="O6" i="12"/>
  <c r="N6" i="12"/>
  <c r="M6" i="12"/>
  <c r="L6" i="12"/>
  <c r="X6" i="12" s="1"/>
  <c r="I6" i="12"/>
  <c r="U6" i="12" s="1"/>
  <c r="H6" i="12"/>
  <c r="T6" i="12" s="1"/>
  <c r="P6" i="12"/>
  <c r="F6" i="12"/>
  <c r="R6" i="12" s="1"/>
  <c r="AD6" i="12" s="1"/>
  <c r="AE6" i="12" s="1"/>
  <c r="Q6" i="12"/>
  <c r="G6" i="12"/>
  <c r="S6" i="12" s="1"/>
  <c r="D12" i="13"/>
  <c r="K12" i="12"/>
  <c r="W12" i="12" s="1"/>
  <c r="J12" i="12"/>
  <c r="V12" i="12" s="1"/>
  <c r="O12" i="12"/>
  <c r="G12" i="12"/>
  <c r="S12" i="12" s="1"/>
  <c r="H12" i="12"/>
  <c r="T12" i="12" s="1"/>
  <c r="F12" i="12"/>
  <c r="R12" i="12" s="1"/>
  <c r="Q12" i="12"/>
  <c r="P12" i="12"/>
  <c r="N12" i="12"/>
  <c r="M12" i="12"/>
  <c r="I12" i="12"/>
  <c r="U12" i="12" s="1"/>
  <c r="L12" i="12"/>
  <c r="X12" i="12" s="1"/>
  <c r="D20" i="13"/>
  <c r="L20" i="12"/>
  <c r="X20" i="12" s="1"/>
  <c r="Q20" i="12"/>
  <c r="H20" i="12"/>
  <c r="T20" i="12" s="1"/>
  <c r="P20" i="12"/>
  <c r="G20" i="12"/>
  <c r="S20" i="12" s="1"/>
  <c r="M20" i="12"/>
  <c r="K20" i="12"/>
  <c r="W20" i="12" s="1"/>
  <c r="O20" i="12"/>
  <c r="N20" i="12"/>
  <c r="J20" i="12"/>
  <c r="V20" i="12" s="1"/>
  <c r="I20" i="12"/>
  <c r="U20" i="12" s="1"/>
  <c r="F20" i="12"/>
  <c r="R20" i="12" s="1"/>
  <c r="AD20" i="12" s="1"/>
  <c r="AE20" i="12" s="1"/>
  <c r="D31" i="13"/>
  <c r="P31" i="12"/>
  <c r="H31" i="12"/>
  <c r="T31" i="12" s="1"/>
  <c r="O31" i="12"/>
  <c r="F31" i="12"/>
  <c r="R31" i="12" s="1"/>
  <c r="K31" i="12"/>
  <c r="W31" i="12" s="1"/>
  <c r="J31" i="12"/>
  <c r="V31" i="12" s="1"/>
  <c r="Q31" i="12"/>
  <c r="N31" i="12"/>
  <c r="M31" i="12"/>
  <c r="L31" i="12"/>
  <c r="X31" i="12" s="1"/>
  <c r="G31" i="12"/>
  <c r="S31" i="12" s="1"/>
  <c r="I31" i="12"/>
  <c r="U31" i="12" s="1"/>
  <c r="K7" i="12"/>
  <c r="W7" i="12" s="1"/>
  <c r="J7" i="12"/>
  <c r="V7" i="12" s="1"/>
  <c r="L7" i="12"/>
  <c r="X7" i="12" s="1"/>
  <c r="I7" i="12"/>
  <c r="U7" i="12" s="1"/>
  <c r="H7" i="12"/>
  <c r="T7" i="12" s="1"/>
  <c r="Q7" i="12"/>
  <c r="G7" i="12"/>
  <c r="S7" i="12" s="1"/>
  <c r="D7" i="13"/>
  <c r="P7" i="12"/>
  <c r="F7" i="12"/>
  <c r="R7" i="12" s="1"/>
  <c r="AD7" i="12" s="1"/>
  <c r="AE7" i="12" s="1"/>
  <c r="O7" i="12"/>
  <c r="M7" i="12"/>
  <c r="N7" i="12"/>
  <c r="D24" i="13"/>
  <c r="L24" i="12"/>
  <c r="X24" i="12" s="1"/>
  <c r="Q24" i="12"/>
  <c r="H24" i="12"/>
  <c r="T24" i="12" s="1"/>
  <c r="P24" i="12"/>
  <c r="G24" i="12"/>
  <c r="S24" i="12" s="1"/>
  <c r="M24" i="12"/>
  <c r="K24" i="12"/>
  <c r="W24" i="12" s="1"/>
  <c r="O24" i="12"/>
  <c r="N24" i="12"/>
  <c r="J24" i="12"/>
  <c r="V24" i="12" s="1"/>
  <c r="I24" i="12"/>
  <c r="U24" i="12" s="1"/>
  <c r="F24" i="12"/>
  <c r="R24" i="12" s="1"/>
  <c r="AD24" i="12" s="1"/>
  <c r="AE24" i="12" s="1"/>
  <c r="E5" i="12"/>
  <c r="D9" i="13"/>
  <c r="K9" i="12"/>
  <c r="W9" i="12" s="1"/>
  <c r="J9" i="12"/>
  <c r="V9" i="12" s="1"/>
  <c r="N9" i="12"/>
  <c r="M9" i="12"/>
  <c r="L9" i="12"/>
  <c r="X9" i="12" s="1"/>
  <c r="I9" i="12"/>
  <c r="U9" i="12" s="1"/>
  <c r="H9" i="12"/>
  <c r="T9" i="12" s="1"/>
  <c r="Q9" i="12"/>
  <c r="G9" i="12"/>
  <c r="S9" i="12" s="1"/>
  <c r="O9" i="12"/>
  <c r="P9" i="12"/>
  <c r="F9" i="12"/>
  <c r="R9" i="12" s="1"/>
  <c r="K13" i="12"/>
  <c r="W13" i="12" s="1"/>
  <c r="J13" i="12"/>
  <c r="V13" i="12" s="1"/>
  <c r="O13" i="12"/>
  <c r="G13" i="12"/>
  <c r="S13" i="12" s="1"/>
  <c r="D13" i="13"/>
  <c r="H13" i="12"/>
  <c r="T13" i="12" s="1"/>
  <c r="F13" i="12"/>
  <c r="R13" i="12" s="1"/>
  <c r="Q13" i="12"/>
  <c r="P13" i="12"/>
  <c r="N13" i="12"/>
  <c r="M13" i="12"/>
  <c r="I13" i="12"/>
  <c r="U13" i="12" s="1"/>
  <c r="L13" i="12"/>
  <c r="X13" i="12" s="1"/>
  <c r="L17" i="12"/>
  <c r="X17" i="12" s="1"/>
  <c r="J17" i="12"/>
  <c r="V17" i="12" s="1"/>
  <c r="I17" i="12"/>
  <c r="U17" i="12" s="1"/>
  <c r="D17" i="13"/>
  <c r="O17" i="12"/>
  <c r="F17" i="12"/>
  <c r="R17" i="12" s="1"/>
  <c r="Q17" i="12"/>
  <c r="P17" i="12"/>
  <c r="N17" i="12"/>
  <c r="M17" i="12"/>
  <c r="K17" i="12"/>
  <c r="W17" i="12" s="1"/>
  <c r="H17" i="12"/>
  <c r="T17" i="12" s="1"/>
  <c r="G17" i="12"/>
  <c r="S17" i="12" s="1"/>
  <c r="L21" i="12"/>
  <c r="X21" i="12" s="1"/>
  <c r="D21" i="13"/>
  <c r="J21" i="12"/>
  <c r="V21" i="12" s="1"/>
  <c r="I21" i="12"/>
  <c r="U21" i="12" s="1"/>
  <c r="O21" i="12"/>
  <c r="F21" i="12"/>
  <c r="R21" i="12" s="1"/>
  <c r="N21" i="12"/>
  <c r="K21" i="12"/>
  <c r="W21" i="12" s="1"/>
  <c r="H21" i="12"/>
  <c r="T21" i="12" s="1"/>
  <c r="G21" i="12"/>
  <c r="S21" i="12" s="1"/>
  <c r="Q21" i="12"/>
  <c r="M21" i="12"/>
  <c r="P21" i="12"/>
  <c r="D28" i="13"/>
  <c r="P28" i="12"/>
  <c r="H28" i="12"/>
  <c r="T28" i="12" s="1"/>
  <c r="N28" i="12"/>
  <c r="K28" i="12"/>
  <c r="W28" i="12" s="1"/>
  <c r="J28" i="12"/>
  <c r="V28" i="12" s="1"/>
  <c r="Q28" i="12"/>
  <c r="F28" i="12"/>
  <c r="R28" i="12" s="1"/>
  <c r="O28" i="12"/>
  <c r="M28" i="12"/>
  <c r="L28" i="12"/>
  <c r="X28" i="12" s="1"/>
  <c r="G28" i="12"/>
  <c r="S28" i="12" s="1"/>
  <c r="I28" i="12"/>
  <c r="U28" i="12" s="1"/>
  <c r="H27" i="5"/>
  <c r="E27" i="12" s="1"/>
  <c r="D5" i="7"/>
  <c r="D6" i="7"/>
  <c r="D7" i="7"/>
  <c r="D8" i="7"/>
  <c r="J140" i="11"/>
  <c r="I140" i="11"/>
  <c r="H140" i="11"/>
  <c r="K140" i="11"/>
  <c r="J156" i="11"/>
  <c r="I156" i="11"/>
  <c r="H156" i="11"/>
  <c r="K156" i="11"/>
  <c r="J172" i="11"/>
  <c r="H8" i="5"/>
  <c r="E8" i="12" s="1"/>
  <c r="M7" i="18"/>
  <c r="L7" i="18"/>
  <c r="I7" i="18"/>
  <c r="H19" i="5"/>
  <c r="E19" i="12" s="1"/>
  <c r="L8" i="11"/>
  <c r="L10" i="11"/>
  <c r="L12" i="11"/>
  <c r="L14" i="11"/>
  <c r="L16" i="11"/>
  <c r="L18" i="11"/>
  <c r="L20" i="11"/>
  <c r="H21" i="11"/>
  <c r="L22" i="11"/>
  <c r="H23" i="11"/>
  <c r="L24" i="11"/>
  <c r="H25" i="11"/>
  <c r="L26" i="11"/>
  <c r="H27" i="11"/>
  <c r="L28" i="11"/>
  <c r="H29" i="11"/>
  <c r="L30" i="11"/>
  <c r="H31" i="11"/>
  <c r="L32" i="11"/>
  <c r="L34" i="11"/>
  <c r="L36" i="11"/>
  <c r="L38" i="11"/>
  <c r="H39" i="11"/>
  <c r="L40" i="11"/>
  <c r="L42" i="11"/>
  <c r="L44" i="11"/>
  <c r="H45" i="11"/>
  <c r="L46" i="11"/>
  <c r="L48" i="11"/>
  <c r="L50" i="11"/>
  <c r="L52" i="11"/>
  <c r="L54" i="11"/>
  <c r="L56" i="11"/>
  <c r="L58" i="11"/>
  <c r="H59" i="11"/>
  <c r="L60" i="11"/>
  <c r="H61" i="11"/>
  <c r="L62" i="11"/>
  <c r="H63" i="11"/>
  <c r="L64" i="11"/>
  <c r="H65" i="11"/>
  <c r="L66" i="11"/>
  <c r="H67" i="11"/>
  <c r="L68" i="11"/>
  <c r="H69" i="11"/>
  <c r="L70" i="11"/>
  <c r="H71" i="11"/>
  <c r="L72" i="11"/>
  <c r="H73" i="11"/>
  <c r="L74" i="11"/>
  <c r="H75" i="11"/>
  <c r="L76" i="11"/>
  <c r="H77" i="11"/>
  <c r="L78" i="11"/>
  <c r="H79" i="11"/>
  <c r="L80" i="11"/>
  <c r="H81" i="11"/>
  <c r="L82" i="11"/>
  <c r="H83" i="11"/>
  <c r="L84" i="11"/>
  <c r="H85" i="11"/>
  <c r="L86" i="11"/>
  <c r="H87" i="11"/>
  <c r="L88" i="11"/>
  <c r="H89" i="11"/>
  <c r="L90" i="11"/>
  <c r="H91" i="11"/>
  <c r="L92" i="11"/>
  <c r="H93" i="11"/>
  <c r="L94" i="11"/>
  <c r="H95" i="11"/>
  <c r="L96" i="11"/>
  <c r="H97" i="11"/>
  <c r="L98" i="11"/>
  <c r="H99" i="11"/>
  <c r="L100" i="11"/>
  <c r="H101" i="11"/>
  <c r="L102" i="11"/>
  <c r="H103" i="11"/>
  <c r="L104" i="11"/>
  <c r="H105" i="11"/>
  <c r="L106" i="11"/>
  <c r="H107" i="11"/>
  <c r="L108" i="11"/>
  <c r="H109" i="11"/>
  <c r="L110" i="11"/>
  <c r="H111" i="11"/>
  <c r="L112" i="11"/>
  <c r="H113" i="11"/>
  <c r="L114" i="11"/>
  <c r="H115" i="11"/>
  <c r="L116" i="11"/>
  <c r="H117" i="11"/>
  <c r="L118" i="11"/>
  <c r="H119" i="11"/>
  <c r="L120" i="11"/>
  <c r="H121" i="11"/>
  <c r="L122" i="11"/>
  <c r="H123" i="11"/>
  <c r="L124" i="11"/>
  <c r="H125" i="11"/>
  <c r="L126" i="11"/>
  <c r="H127" i="11"/>
  <c r="L128" i="11"/>
  <c r="J130" i="11"/>
  <c r="I130" i="11"/>
  <c r="H130" i="11"/>
  <c r="K130" i="11"/>
  <c r="K184" i="11" s="1"/>
  <c r="G8" i="7" s="1"/>
  <c r="J146" i="11"/>
  <c r="I146" i="11"/>
  <c r="H146" i="11"/>
  <c r="K146" i="11"/>
  <c r="J162" i="11"/>
  <c r="J134" i="11"/>
  <c r="I134" i="11"/>
  <c r="H134" i="11"/>
  <c r="K134" i="11"/>
  <c r="H11" i="5"/>
  <c r="E11" i="12" s="1"/>
  <c r="F5" i="7"/>
  <c r="I9" i="11"/>
  <c r="I184" i="11" s="1"/>
  <c r="G6" i="7" s="1"/>
  <c r="I21" i="11"/>
  <c r="I23" i="11"/>
  <c r="I25" i="11"/>
  <c r="I27" i="11"/>
  <c r="I31" i="11"/>
  <c r="I39" i="11"/>
  <c r="I59" i="11"/>
  <c r="I61" i="11"/>
  <c r="I65" i="11"/>
  <c r="I67" i="11"/>
  <c r="I69" i="11"/>
  <c r="I71" i="11"/>
  <c r="I73" i="11"/>
  <c r="I75" i="11"/>
  <c r="I77" i="11"/>
  <c r="I87" i="11"/>
  <c r="I89" i="11"/>
  <c r="I91" i="11"/>
  <c r="I93" i="11"/>
  <c r="I95" i="11"/>
  <c r="I97" i="11"/>
  <c r="I99" i="11"/>
  <c r="I101" i="11"/>
  <c r="I103" i="11"/>
  <c r="I105" i="11"/>
  <c r="I107" i="11"/>
  <c r="I109" i="11"/>
  <c r="I111" i="11"/>
  <c r="I113" i="11"/>
  <c r="I115" i="11"/>
  <c r="I117" i="11"/>
  <c r="I119" i="11"/>
  <c r="L134" i="11"/>
  <c r="J136" i="11"/>
  <c r="I136" i="11"/>
  <c r="H136" i="11"/>
  <c r="K136" i="11"/>
  <c r="J152" i="11"/>
  <c r="I152" i="11"/>
  <c r="H152" i="11"/>
  <c r="K152" i="11"/>
  <c r="D32" i="13"/>
  <c r="P32" i="12"/>
  <c r="H32" i="12"/>
  <c r="T32" i="12" s="1"/>
  <c r="J32" i="12"/>
  <c r="V32" i="12" s="1"/>
  <c r="G32" i="12"/>
  <c r="S32" i="12" s="1"/>
  <c r="Q32" i="12"/>
  <c r="F32" i="12"/>
  <c r="R32" i="12" s="1"/>
  <c r="M32" i="12"/>
  <c r="L32" i="12"/>
  <c r="X32" i="12" s="1"/>
  <c r="O32" i="12"/>
  <c r="N32" i="12"/>
  <c r="K32" i="12"/>
  <c r="W32" i="12" s="1"/>
  <c r="I32" i="12"/>
  <c r="U32" i="12" s="1"/>
  <c r="M6" i="18"/>
  <c r="L6" i="18"/>
  <c r="I6" i="18"/>
  <c r="J9" i="11"/>
  <c r="J21" i="11"/>
  <c r="J23" i="11"/>
  <c r="J184" i="11" s="1"/>
  <c r="G7" i="7" s="1"/>
  <c r="J25" i="11"/>
  <c r="J27" i="11"/>
  <c r="J29" i="11"/>
  <c r="J31" i="11"/>
  <c r="J39" i="11"/>
  <c r="J45" i="11"/>
  <c r="J59" i="11"/>
  <c r="J61" i="11"/>
  <c r="J63" i="11"/>
  <c r="J65" i="11"/>
  <c r="J67" i="11"/>
  <c r="J69" i="11"/>
  <c r="J71" i="11"/>
  <c r="J73" i="11"/>
  <c r="J75" i="11"/>
  <c r="J77" i="11"/>
  <c r="J79" i="11"/>
  <c r="J81" i="11"/>
  <c r="J87" i="11"/>
  <c r="J89" i="11"/>
  <c r="J91" i="11"/>
  <c r="J93" i="11"/>
  <c r="J95" i="11"/>
  <c r="J97" i="11"/>
  <c r="J99" i="11"/>
  <c r="J101" i="11"/>
  <c r="J103" i="11"/>
  <c r="J105" i="11"/>
  <c r="J107" i="11"/>
  <c r="J109" i="11"/>
  <c r="J111" i="11"/>
  <c r="J113" i="11"/>
  <c r="J115" i="11"/>
  <c r="J117" i="11"/>
  <c r="J119" i="11"/>
  <c r="J121" i="11"/>
  <c r="J123" i="11"/>
  <c r="J125" i="11"/>
  <c r="J127" i="11"/>
  <c r="L140" i="11"/>
  <c r="J142" i="11"/>
  <c r="I142" i="11"/>
  <c r="H142" i="11"/>
  <c r="K142" i="11"/>
  <c r="L156" i="11"/>
  <c r="J158" i="11"/>
  <c r="I158" i="11"/>
  <c r="H158" i="11"/>
  <c r="K158" i="11"/>
  <c r="J174" i="11"/>
  <c r="J150" i="11"/>
  <c r="I150" i="11"/>
  <c r="H150" i="11"/>
  <c r="K150" i="11"/>
  <c r="H15" i="5"/>
  <c r="E15" i="12" s="1"/>
  <c r="L23" i="12"/>
  <c r="X23" i="12" s="1"/>
  <c r="D23" i="13"/>
  <c r="O23" i="12"/>
  <c r="F23" i="12"/>
  <c r="R23" i="12" s="1"/>
  <c r="N23" i="12"/>
  <c r="J23" i="12"/>
  <c r="V23" i="12" s="1"/>
  <c r="I23" i="12"/>
  <c r="U23" i="12" s="1"/>
  <c r="K23" i="12"/>
  <c r="W23" i="12" s="1"/>
  <c r="H23" i="12"/>
  <c r="T23" i="12" s="1"/>
  <c r="G23" i="12"/>
  <c r="S23" i="12" s="1"/>
  <c r="Q23" i="12"/>
  <c r="M23" i="12"/>
  <c r="M9" i="18"/>
  <c r="L9" i="18"/>
  <c r="I9" i="18"/>
  <c r="J132" i="11"/>
  <c r="I132" i="11"/>
  <c r="H132" i="11"/>
  <c r="K132" i="11"/>
  <c r="J148" i="11"/>
  <c r="I148" i="11"/>
  <c r="H148" i="11"/>
  <c r="K148" i="11"/>
  <c r="H16" i="5"/>
  <c r="E16" i="12" s="1"/>
  <c r="M5" i="18"/>
  <c r="L5" i="18"/>
  <c r="I5" i="18"/>
  <c r="G11" i="18"/>
  <c r="H8" i="11"/>
  <c r="H10" i="11"/>
  <c r="H12" i="11"/>
  <c r="H14" i="11"/>
  <c r="H16" i="11"/>
  <c r="H18" i="11"/>
  <c r="H20" i="11"/>
  <c r="H22" i="11"/>
  <c r="H24" i="11"/>
  <c r="H26" i="11"/>
  <c r="H28" i="11"/>
  <c r="H30" i="11"/>
  <c r="H32" i="11"/>
  <c r="H34" i="11"/>
  <c r="H36" i="11"/>
  <c r="H38" i="11"/>
  <c r="H40" i="11"/>
  <c r="H42" i="11"/>
  <c r="H44" i="11"/>
  <c r="H46" i="11"/>
  <c r="H48" i="11"/>
  <c r="H50" i="11"/>
  <c r="H52" i="11"/>
  <c r="H54" i="11"/>
  <c r="H56" i="11"/>
  <c r="H58" i="11"/>
  <c r="H60" i="11"/>
  <c r="H62" i="11"/>
  <c r="H64" i="11"/>
  <c r="H66" i="11"/>
  <c r="H68" i="11"/>
  <c r="H70" i="11"/>
  <c r="H72" i="11"/>
  <c r="H74" i="11"/>
  <c r="H76" i="11"/>
  <c r="H78" i="11"/>
  <c r="H80" i="11"/>
  <c r="H82" i="11"/>
  <c r="H84" i="11"/>
  <c r="H86" i="11"/>
  <c r="H88" i="11"/>
  <c r="H90" i="11"/>
  <c r="H92" i="11"/>
  <c r="H94" i="11"/>
  <c r="H96" i="11"/>
  <c r="H98" i="11"/>
  <c r="H100" i="11"/>
  <c r="H102" i="11"/>
  <c r="H104" i="11"/>
  <c r="H106" i="11"/>
  <c r="H108" i="11"/>
  <c r="H110" i="11"/>
  <c r="H112" i="11"/>
  <c r="H114" i="11"/>
  <c r="H116" i="11"/>
  <c r="H118" i="11"/>
  <c r="H120" i="11"/>
  <c r="H122" i="11"/>
  <c r="H124" i="11"/>
  <c r="H126" i="11"/>
  <c r="H128" i="11"/>
  <c r="J138" i="11"/>
  <c r="I138" i="11"/>
  <c r="H138" i="11"/>
  <c r="K138" i="11"/>
  <c r="L152" i="11"/>
  <c r="J154" i="11"/>
  <c r="I154" i="11"/>
  <c r="H154" i="11"/>
  <c r="K154" i="11"/>
  <c r="M8" i="18"/>
  <c r="L8" i="18"/>
  <c r="I8" i="18"/>
  <c r="L142" i="11"/>
  <c r="J144" i="11"/>
  <c r="I144" i="11"/>
  <c r="H144" i="11"/>
  <c r="K144" i="11"/>
  <c r="L158" i="11"/>
  <c r="J160" i="11"/>
  <c r="I160" i="11"/>
  <c r="H160" i="11"/>
  <c r="K160" i="11"/>
  <c r="K176" i="11"/>
  <c r="J176" i="11"/>
  <c r="I176" i="11"/>
  <c r="H176" i="11"/>
  <c r="L176" i="11"/>
  <c r="K181" i="11"/>
  <c r="J181" i="11"/>
  <c r="L181" i="11"/>
  <c r="I181" i="11"/>
  <c r="H181" i="11"/>
  <c r="K162" i="11"/>
  <c r="K164" i="11"/>
  <c r="K166" i="11"/>
  <c r="K168" i="11"/>
  <c r="K170" i="11"/>
  <c r="K172" i="11"/>
  <c r="K174" i="11"/>
  <c r="H177" i="11"/>
  <c r="H180" i="11"/>
  <c r="J182" i="11"/>
  <c r="J180" i="11"/>
  <c r="L182" i="11"/>
  <c r="K179" i="11"/>
  <c r="J179" i="11"/>
  <c r="K180" i="11"/>
  <c r="H162" i="11"/>
  <c r="H164" i="11"/>
  <c r="H166" i="11"/>
  <c r="H168" i="11"/>
  <c r="H170" i="11"/>
  <c r="H172" i="11"/>
  <c r="H174" i="11"/>
  <c r="K177" i="11"/>
  <c r="J177" i="11"/>
  <c r="K178" i="11"/>
  <c r="I162" i="11"/>
  <c r="I164" i="11"/>
  <c r="I166" i="11"/>
  <c r="I168" i="11"/>
  <c r="I170" i="11"/>
  <c r="I172" i="11"/>
  <c r="I174" i="11"/>
  <c r="H179" i="11"/>
  <c r="H182" i="11"/>
  <c r="I179" i="11"/>
  <c r="K11" i="18"/>
  <c r="C8" i="15"/>
  <c r="C12" i="15"/>
  <c r="C16" i="15"/>
  <c r="C5" i="15"/>
  <c r="C9" i="15"/>
  <c r="C13" i="15"/>
  <c r="C6" i="15"/>
  <c r="C10" i="15"/>
  <c r="D16" i="13" l="1"/>
  <c r="L16" i="12"/>
  <c r="X16" i="12" s="1"/>
  <c r="Q16" i="12"/>
  <c r="H16" i="12"/>
  <c r="T16" i="12" s="1"/>
  <c r="P16" i="12"/>
  <c r="G16" i="12"/>
  <c r="S16" i="12" s="1"/>
  <c r="M16" i="12"/>
  <c r="N16" i="12"/>
  <c r="K16" i="12"/>
  <c r="W16" i="12" s="1"/>
  <c r="J16" i="12"/>
  <c r="V16" i="12" s="1"/>
  <c r="I16" i="12"/>
  <c r="U16" i="12" s="1"/>
  <c r="F16" i="12"/>
  <c r="R16" i="12" s="1"/>
  <c r="O16" i="12"/>
  <c r="L15" i="12"/>
  <c r="X15" i="12" s="1"/>
  <c r="O15" i="12"/>
  <c r="F15" i="12"/>
  <c r="R15" i="12" s="1"/>
  <c r="N15" i="12"/>
  <c r="D15" i="13"/>
  <c r="J15" i="12"/>
  <c r="V15" i="12" s="1"/>
  <c r="K15" i="12"/>
  <c r="W15" i="12" s="1"/>
  <c r="I15" i="12"/>
  <c r="U15" i="12" s="1"/>
  <c r="H15" i="12"/>
  <c r="T15" i="12" s="1"/>
  <c r="G15" i="12"/>
  <c r="S15" i="12" s="1"/>
  <c r="Q15" i="12"/>
  <c r="M15" i="12"/>
  <c r="P15" i="12"/>
  <c r="D8" i="13"/>
  <c r="K8" i="12"/>
  <c r="W8" i="12" s="1"/>
  <c r="J8" i="12"/>
  <c r="V8" i="12" s="1"/>
  <c r="Q8" i="12"/>
  <c r="G8" i="12"/>
  <c r="S8" i="12" s="1"/>
  <c r="P8" i="12"/>
  <c r="F8" i="12"/>
  <c r="R8" i="12" s="1"/>
  <c r="O8" i="12"/>
  <c r="N8" i="12"/>
  <c r="M8" i="12"/>
  <c r="L8" i="12"/>
  <c r="X8" i="12" s="1"/>
  <c r="H8" i="12"/>
  <c r="T8" i="12" s="1"/>
  <c r="I8" i="12"/>
  <c r="U8" i="12" s="1"/>
  <c r="F21" i="13"/>
  <c r="E21" i="13"/>
  <c r="Q21" i="13" s="1"/>
  <c r="P21" i="13"/>
  <c r="F9" i="13"/>
  <c r="P9" i="13"/>
  <c r="E9" i="13"/>
  <c r="Q9" i="13" s="1"/>
  <c r="E6" i="13"/>
  <c r="Q6" i="13" s="1"/>
  <c r="F6" i="13"/>
  <c r="P6" i="13"/>
  <c r="P26" i="13"/>
  <c r="F26" i="13"/>
  <c r="E26" i="13"/>
  <c r="Q26" i="13" s="1"/>
  <c r="E22" i="13"/>
  <c r="Q22" i="13" s="1"/>
  <c r="P22" i="13"/>
  <c r="F22" i="13"/>
  <c r="F32" i="13"/>
  <c r="E32" i="13"/>
  <c r="Q32" i="13" s="1"/>
  <c r="P32" i="13"/>
  <c r="AD17" i="12"/>
  <c r="AE17" i="12" s="1"/>
  <c r="H35" i="5"/>
  <c r="F25" i="13"/>
  <c r="P25" i="13"/>
  <c r="E25" i="13"/>
  <c r="Q25" i="13" s="1"/>
  <c r="AD18" i="12"/>
  <c r="AE18" i="12" s="1"/>
  <c r="L184" i="11"/>
  <c r="G9" i="7" s="1"/>
  <c r="K5" i="12"/>
  <c r="W5" i="12" s="1"/>
  <c r="J5" i="12"/>
  <c r="V5" i="12" s="1"/>
  <c r="H5" i="12"/>
  <c r="T5" i="12" s="1"/>
  <c r="E35" i="12"/>
  <c r="Q5" i="12"/>
  <c r="G5" i="12"/>
  <c r="S5" i="12" s="1"/>
  <c r="P5" i="12"/>
  <c r="F5" i="12"/>
  <c r="R5" i="12" s="1"/>
  <c r="O5" i="12"/>
  <c r="N5" i="12"/>
  <c r="M5" i="12"/>
  <c r="D5" i="13"/>
  <c r="I5" i="12"/>
  <c r="U5" i="12" s="1"/>
  <c r="L5" i="12"/>
  <c r="X5" i="12" s="1"/>
  <c r="P31" i="13"/>
  <c r="F31" i="13"/>
  <c r="E31" i="13"/>
  <c r="Q31" i="13" s="1"/>
  <c r="F30" i="13"/>
  <c r="P30" i="13"/>
  <c r="E30" i="13"/>
  <c r="Q30" i="13" s="1"/>
  <c r="AD14" i="12"/>
  <c r="AE14" i="12" s="1"/>
  <c r="F10" i="13"/>
  <c r="E10" i="13"/>
  <c r="Q10" i="13" s="1"/>
  <c r="P10" i="13"/>
  <c r="H184" i="11"/>
  <c r="AD32" i="12"/>
  <c r="AE32" i="12" s="1"/>
  <c r="L19" i="12"/>
  <c r="X19" i="12" s="1"/>
  <c r="O19" i="12"/>
  <c r="F19" i="12"/>
  <c r="R19" i="12" s="1"/>
  <c r="N19" i="12"/>
  <c r="J19" i="12"/>
  <c r="V19" i="12" s="1"/>
  <c r="D19" i="13"/>
  <c r="I19" i="12"/>
  <c r="U19" i="12" s="1"/>
  <c r="K19" i="12"/>
  <c r="W19" i="12" s="1"/>
  <c r="H19" i="12"/>
  <c r="T19" i="12" s="1"/>
  <c r="G19" i="12"/>
  <c r="S19" i="12" s="1"/>
  <c r="Q19" i="12"/>
  <c r="M19" i="12"/>
  <c r="P19" i="12"/>
  <c r="F17" i="13"/>
  <c r="E17" i="13"/>
  <c r="Q17" i="13" s="1"/>
  <c r="P17" i="13"/>
  <c r="AD30" i="12"/>
  <c r="AE30" i="12" s="1"/>
  <c r="F29" i="13"/>
  <c r="P29" i="13"/>
  <c r="E29" i="13"/>
  <c r="Q29" i="13" s="1"/>
  <c r="AD22" i="12"/>
  <c r="AE22" i="12" s="1"/>
  <c r="M11" i="18"/>
  <c r="L11" i="18"/>
  <c r="C10" i="4"/>
  <c r="AD23" i="12"/>
  <c r="AE23" i="12" s="1"/>
  <c r="F28" i="13"/>
  <c r="E28" i="13"/>
  <c r="Q28" i="13" s="1"/>
  <c r="P28" i="13"/>
  <c r="AD21" i="12"/>
  <c r="AE21" i="12" s="1"/>
  <c r="AD9" i="12"/>
  <c r="AE9" i="12" s="1"/>
  <c r="E12" i="13"/>
  <c r="Q12" i="13" s="1"/>
  <c r="P12" i="13"/>
  <c r="F12" i="13"/>
  <c r="F33" i="13"/>
  <c r="E33" i="13"/>
  <c r="Q33" i="13" s="1"/>
  <c r="P33" i="13"/>
  <c r="AD26" i="12"/>
  <c r="AE26" i="12" s="1"/>
  <c r="P14" i="13"/>
  <c r="E14" i="13"/>
  <c r="Q14" i="13" s="1"/>
  <c r="F14" i="13"/>
  <c r="L27" i="12"/>
  <c r="X27" i="12" s="1"/>
  <c r="D27" i="13"/>
  <c r="O27" i="12"/>
  <c r="F27" i="12"/>
  <c r="R27" i="12" s="1"/>
  <c r="N27" i="12"/>
  <c r="J27" i="12"/>
  <c r="V27" i="12" s="1"/>
  <c r="I27" i="12"/>
  <c r="U27" i="12" s="1"/>
  <c r="K27" i="12"/>
  <c r="W27" i="12" s="1"/>
  <c r="H27" i="12"/>
  <c r="T27" i="12" s="1"/>
  <c r="G27" i="12"/>
  <c r="S27" i="12" s="1"/>
  <c r="Q27" i="12"/>
  <c r="M27" i="12"/>
  <c r="P27" i="12"/>
  <c r="F18" i="13"/>
  <c r="P18" i="13"/>
  <c r="E18" i="13"/>
  <c r="Q18" i="13" s="1"/>
  <c r="I11" i="18"/>
  <c r="D11" i="13"/>
  <c r="K11" i="12"/>
  <c r="W11" i="12" s="1"/>
  <c r="J11" i="12"/>
  <c r="V11" i="12" s="1"/>
  <c r="O11" i="12"/>
  <c r="G11" i="12"/>
  <c r="S11" i="12" s="1"/>
  <c r="H11" i="12"/>
  <c r="T11" i="12" s="1"/>
  <c r="F11" i="12"/>
  <c r="R11" i="12" s="1"/>
  <c r="AD11" i="12" s="1"/>
  <c r="AE11" i="12" s="1"/>
  <c r="Q11" i="12"/>
  <c r="P11" i="12"/>
  <c r="N11" i="12"/>
  <c r="M11" i="12"/>
  <c r="I11" i="12"/>
  <c r="U11" i="12" s="1"/>
  <c r="L11" i="12"/>
  <c r="X11" i="12" s="1"/>
  <c r="AD28" i="12"/>
  <c r="AE28" i="12" s="1"/>
  <c r="AD13" i="12"/>
  <c r="AE13" i="12" s="1"/>
  <c r="E7" i="13"/>
  <c r="Q7" i="13" s="1"/>
  <c r="F7" i="13"/>
  <c r="P7" i="13"/>
  <c r="AD33" i="12"/>
  <c r="AE33" i="12" s="1"/>
  <c r="AD25" i="12"/>
  <c r="AE25" i="12" s="1"/>
  <c r="F13" i="13"/>
  <c r="P13" i="13"/>
  <c r="E13" i="13"/>
  <c r="Q13" i="13" s="1"/>
  <c r="E24" i="13"/>
  <c r="Q24" i="13" s="1"/>
  <c r="F24" i="13"/>
  <c r="P24" i="13"/>
  <c r="F20" i="13"/>
  <c r="P20" i="13"/>
  <c r="E20" i="13"/>
  <c r="Q20" i="13" s="1"/>
  <c r="E23" i="13"/>
  <c r="Q23" i="13" s="1"/>
  <c r="P23" i="13"/>
  <c r="F23" i="13"/>
  <c r="D11" i="7"/>
  <c r="AD31" i="12"/>
  <c r="AE31" i="12" s="1"/>
  <c r="AD12" i="12"/>
  <c r="AE12" i="12" s="1"/>
  <c r="AD10" i="12"/>
  <c r="AE10" i="12" s="1"/>
  <c r="E10" i="7" l="1"/>
  <c r="E9" i="7"/>
  <c r="E8" i="7"/>
  <c r="E7" i="7"/>
  <c r="E6" i="7"/>
  <c r="E5" i="7"/>
  <c r="H24" i="13"/>
  <c r="R24" i="13"/>
  <c r="J24" i="13"/>
  <c r="J7" i="13"/>
  <c r="R7" i="13"/>
  <c r="H7" i="13"/>
  <c r="P11" i="13"/>
  <c r="F11" i="13"/>
  <c r="E11" i="13"/>
  <c r="Q11" i="13" s="1"/>
  <c r="P27" i="13"/>
  <c r="F27" i="13"/>
  <c r="E27" i="13"/>
  <c r="Q27" i="13" s="1"/>
  <c r="H33" i="13"/>
  <c r="J33" i="13"/>
  <c r="R33" i="13"/>
  <c r="J28" i="13"/>
  <c r="H28" i="13"/>
  <c r="R28" i="13"/>
  <c r="H29" i="13"/>
  <c r="R29" i="13"/>
  <c r="J29" i="13"/>
  <c r="F5" i="13"/>
  <c r="E5" i="13"/>
  <c r="D35" i="13"/>
  <c r="P5" i="13"/>
  <c r="R25" i="13"/>
  <c r="H25" i="13"/>
  <c r="J25" i="13"/>
  <c r="AD16" i="12"/>
  <c r="AE16" i="12" s="1"/>
  <c r="AD19" i="12"/>
  <c r="AE19" i="12" s="1"/>
  <c r="J23" i="13"/>
  <c r="R23" i="13"/>
  <c r="H23" i="13"/>
  <c r="H12" i="13"/>
  <c r="R12" i="13"/>
  <c r="J12" i="13"/>
  <c r="R9" i="13"/>
  <c r="J9" i="13"/>
  <c r="H9" i="13"/>
  <c r="P8" i="13"/>
  <c r="F8" i="13"/>
  <c r="E8" i="13"/>
  <c r="Q8" i="13" s="1"/>
  <c r="F15" i="13"/>
  <c r="P15" i="13"/>
  <c r="E15" i="13"/>
  <c r="Q15" i="13" s="1"/>
  <c r="L185" i="11"/>
  <c r="I185" i="11"/>
  <c r="H185" i="11"/>
  <c r="J185" i="11"/>
  <c r="G13" i="7"/>
  <c r="G5" i="7"/>
  <c r="K185" i="11"/>
  <c r="H18" i="13"/>
  <c r="R18" i="13"/>
  <c r="J18" i="13"/>
  <c r="R17" i="13"/>
  <c r="J17" i="13"/>
  <c r="H17" i="13"/>
  <c r="F19" i="13"/>
  <c r="E19" i="13"/>
  <c r="Q19" i="13" s="1"/>
  <c r="P19" i="13"/>
  <c r="J31" i="13"/>
  <c r="H31" i="13"/>
  <c r="R31" i="13"/>
  <c r="AD5" i="12"/>
  <c r="H9" i="7"/>
  <c r="I9" i="7" s="1"/>
  <c r="J21" i="13"/>
  <c r="R21" i="13"/>
  <c r="H21" i="13"/>
  <c r="AD15" i="12"/>
  <c r="AE15" i="12" s="1"/>
  <c r="J30" i="13"/>
  <c r="H30" i="13"/>
  <c r="R30" i="13"/>
  <c r="H26" i="13"/>
  <c r="R26" i="13"/>
  <c r="J26" i="13"/>
  <c r="AD8" i="12"/>
  <c r="AE8" i="12" s="1"/>
  <c r="P16" i="13"/>
  <c r="E16" i="13"/>
  <c r="Q16" i="13" s="1"/>
  <c r="F16" i="13"/>
  <c r="H13" i="13"/>
  <c r="R13" i="13"/>
  <c r="J13" i="13"/>
  <c r="J32" i="13"/>
  <c r="H32" i="13"/>
  <c r="R32" i="13"/>
  <c r="H6" i="13"/>
  <c r="J6" i="13"/>
  <c r="R6" i="13"/>
  <c r="H14" i="13"/>
  <c r="J14" i="13"/>
  <c r="R14" i="13"/>
  <c r="R20" i="13"/>
  <c r="J20" i="13"/>
  <c r="H20" i="13"/>
  <c r="AD27" i="12"/>
  <c r="AE27" i="12" s="1"/>
  <c r="H10" i="13"/>
  <c r="R10" i="13"/>
  <c r="J10" i="13"/>
  <c r="H22" i="13"/>
  <c r="J22" i="13"/>
  <c r="R22" i="13"/>
  <c r="J27" i="13" l="1"/>
  <c r="H27" i="13"/>
  <c r="R27" i="13"/>
  <c r="K27" i="13"/>
  <c r="O27" i="13" s="1"/>
  <c r="I27" i="13"/>
  <c r="J19" i="13"/>
  <c r="K19" i="13"/>
  <c r="O19" i="13" s="1"/>
  <c r="R19" i="13"/>
  <c r="H19" i="13"/>
  <c r="H5" i="7"/>
  <c r="I5" i="7" s="1"/>
  <c r="J15" i="13"/>
  <c r="R15" i="13"/>
  <c r="H15" i="13"/>
  <c r="G16" i="13"/>
  <c r="S16" i="13" s="1"/>
  <c r="G14" i="13"/>
  <c r="G30" i="13"/>
  <c r="G17" i="13"/>
  <c r="G15" i="13"/>
  <c r="S15" i="13" s="1"/>
  <c r="G29" i="13"/>
  <c r="G26" i="13"/>
  <c r="G13" i="13"/>
  <c r="G33" i="13"/>
  <c r="G11" i="13"/>
  <c r="S11" i="13" s="1"/>
  <c r="G8" i="13"/>
  <c r="S8" i="13" s="1"/>
  <c r="AE5" i="12"/>
  <c r="G31" i="13"/>
  <c r="G28" i="13"/>
  <c r="G27" i="13"/>
  <c r="S27" i="13" s="1"/>
  <c r="G22" i="13"/>
  <c r="G20" i="13"/>
  <c r="G19" i="13"/>
  <c r="S19" i="13" s="1"/>
  <c r="G7" i="13"/>
  <c r="G25" i="13"/>
  <c r="G24" i="13"/>
  <c r="G23" i="13"/>
  <c r="G21" i="13"/>
  <c r="AD35" i="12"/>
  <c r="G18" i="13"/>
  <c r="G6" i="13"/>
  <c r="G10" i="13"/>
  <c r="G32" i="13"/>
  <c r="G12" i="13"/>
  <c r="G9" i="13"/>
  <c r="G5" i="13"/>
  <c r="Q5" i="13"/>
  <c r="Q35" i="13" s="1"/>
  <c r="E35" i="13"/>
  <c r="R5" i="13"/>
  <c r="I5" i="13"/>
  <c r="H5" i="13"/>
  <c r="F35" i="13"/>
  <c r="J5" i="13"/>
  <c r="H6" i="7"/>
  <c r="I6" i="7" s="1"/>
  <c r="H8" i="7"/>
  <c r="I8" i="7" s="1"/>
  <c r="H7" i="7"/>
  <c r="I7" i="7" s="1"/>
  <c r="J11" i="13"/>
  <c r="H11" i="13"/>
  <c r="R11" i="13"/>
  <c r="K16" i="13"/>
  <c r="O16" i="13" s="1"/>
  <c r="J16" i="13"/>
  <c r="D33" i="4" s="1"/>
  <c r="I16" i="13"/>
  <c r="H16" i="13"/>
  <c r="R16" i="13"/>
  <c r="H8" i="13"/>
  <c r="R8" i="13"/>
  <c r="J8" i="13"/>
  <c r="P35" i="13"/>
  <c r="S25" i="13" l="1"/>
  <c r="K25" i="13"/>
  <c r="I25" i="13"/>
  <c r="S7" i="13"/>
  <c r="I7" i="13"/>
  <c r="K7" i="13"/>
  <c r="D32" i="4"/>
  <c r="D36" i="4"/>
  <c r="S14" i="13"/>
  <c r="K14" i="13"/>
  <c r="I14" i="13"/>
  <c r="K8" i="13"/>
  <c r="O8" i="13" s="1"/>
  <c r="I11" i="13"/>
  <c r="S20" i="13"/>
  <c r="K20" i="13"/>
  <c r="I20" i="13"/>
  <c r="S33" i="13"/>
  <c r="K33" i="13"/>
  <c r="I33" i="13"/>
  <c r="S18" i="13"/>
  <c r="I18" i="13"/>
  <c r="K18" i="13"/>
  <c r="K11" i="13"/>
  <c r="O11" i="13" s="1"/>
  <c r="S22" i="13"/>
  <c r="K22" i="13"/>
  <c r="I22" i="13"/>
  <c r="S13" i="13"/>
  <c r="K13" i="13"/>
  <c r="I13" i="13"/>
  <c r="D44" i="4"/>
  <c r="S30" i="13"/>
  <c r="K30" i="13"/>
  <c r="I30" i="13"/>
  <c r="D25" i="4"/>
  <c r="R35" i="13"/>
  <c r="C11" i="4" s="1"/>
  <c r="G35" i="13"/>
  <c r="C7" i="4" s="1"/>
  <c r="S5" i="13"/>
  <c r="S21" i="13"/>
  <c r="K21" i="13"/>
  <c r="I21" i="13"/>
  <c r="S26" i="13"/>
  <c r="I26" i="13"/>
  <c r="K26" i="13"/>
  <c r="S32" i="13"/>
  <c r="I32" i="13"/>
  <c r="K32" i="13"/>
  <c r="S10" i="13"/>
  <c r="K10" i="13"/>
  <c r="I10" i="13"/>
  <c r="I8" i="13"/>
  <c r="I35" i="13"/>
  <c r="J35" i="13"/>
  <c r="H35" i="13"/>
  <c r="C6" i="4"/>
  <c r="S9" i="13"/>
  <c r="I9" i="13"/>
  <c r="K9" i="13"/>
  <c r="S23" i="13"/>
  <c r="I23" i="13"/>
  <c r="K23" i="13"/>
  <c r="S28" i="13"/>
  <c r="K28" i="13"/>
  <c r="I28" i="13"/>
  <c r="S29" i="13"/>
  <c r="I29" i="13"/>
  <c r="K29" i="13"/>
  <c r="I15" i="13"/>
  <c r="I19" i="13"/>
  <c r="S17" i="13"/>
  <c r="K17" i="13"/>
  <c r="I17" i="13"/>
  <c r="S6" i="13"/>
  <c r="K6" i="13"/>
  <c r="I6" i="13"/>
  <c r="K5" i="13"/>
  <c r="O5" i="13" s="1"/>
  <c r="S12" i="13"/>
  <c r="I12" i="13"/>
  <c r="K12" i="13"/>
  <c r="S24" i="13"/>
  <c r="K24" i="13"/>
  <c r="I24" i="13"/>
  <c r="S31" i="13"/>
  <c r="K31" i="13"/>
  <c r="I31" i="13"/>
  <c r="K15" i="13"/>
  <c r="O15" i="13" s="1"/>
  <c r="O21" i="13" l="1"/>
  <c r="D38" i="4"/>
  <c r="O18" i="13"/>
  <c r="D35" i="4"/>
  <c r="O7" i="13"/>
  <c r="D24" i="4"/>
  <c r="S35" i="13"/>
  <c r="C12" i="4" s="1"/>
  <c r="O24" i="13"/>
  <c r="D41" i="4"/>
  <c r="O9" i="13"/>
  <c r="D26" i="4"/>
  <c r="O26" i="13"/>
  <c r="D43" i="4"/>
  <c r="O23" i="13"/>
  <c r="D40" i="4"/>
  <c r="O31" i="13"/>
  <c r="D48" i="4"/>
  <c r="O6" i="13"/>
  <c r="D23" i="4"/>
  <c r="O22" i="13"/>
  <c r="D39" i="4"/>
  <c r="O33" i="13"/>
  <c r="D50" i="4"/>
  <c r="O14" i="13"/>
  <c r="D31" i="4"/>
  <c r="O25" i="13"/>
  <c r="D42" i="4"/>
  <c r="O32" i="13"/>
  <c r="D49" i="4"/>
  <c r="O20" i="13"/>
  <c r="D37" i="4"/>
  <c r="D28" i="4"/>
  <c r="O29" i="13"/>
  <c r="D46" i="4"/>
  <c r="K35" i="13"/>
  <c r="C8" i="4" s="1"/>
  <c r="O13" i="13"/>
  <c r="C17" i="4" s="1"/>
  <c r="D30" i="4"/>
  <c r="D22" i="4"/>
  <c r="O12" i="13"/>
  <c r="D29" i="4"/>
  <c r="O17" i="13"/>
  <c r="D34" i="4"/>
  <c r="O28" i="13"/>
  <c r="D45" i="4"/>
  <c r="O10" i="13"/>
  <c r="D27" i="4"/>
  <c r="O30" i="13"/>
  <c r="D47" i="4"/>
  <c r="E17" i="4" l="1"/>
  <c r="G17" i="4"/>
  <c r="F17" i="4"/>
  <c r="D17" i="4"/>
  <c r="C16" i="4"/>
  <c r="C18" i="4"/>
  <c r="G16" i="4" l="1"/>
  <c r="F16" i="4"/>
  <c r="E16" i="4"/>
  <c r="D16" i="4"/>
  <c r="F18" i="4"/>
  <c r="E18" i="4"/>
  <c r="D18" i="4"/>
  <c r="G18" i="4"/>
</calcChain>
</file>

<file path=xl/comments1.xml><?xml version="1.0" encoding="utf-8"?>
<comments xmlns="http://schemas.openxmlformats.org/spreadsheetml/2006/main">
  <authors>
    <author>Unknown Author</author>
  </authors>
  <commentList>
    <comment ref="D4" authorId="0" shapeId="0">
      <text>
        <r>
          <rPr>
            <sz val="10"/>
            <rFont val="Arial"/>
            <family val="2"/>
          </rPr>
          <t xml:space="preserve">apple:
</t>
        </r>
        <r>
          <rPr>
            <sz val="10"/>
            <rFont val="Noto Sans CJK SC"/>
            <family val="2"/>
          </rPr>
          <t>암호화 로직으로 항상 노랑색 유지</t>
        </r>
      </text>
    </comment>
  </commentList>
</comments>
</file>

<file path=xl/sharedStrings.xml><?xml version="1.0" encoding="utf-8"?>
<sst xmlns="http://schemas.openxmlformats.org/spreadsheetml/2006/main" count="2352" uniqueCount="831">
  <si>
    <t xml:space="preserve"> ※ 오픈된 엑셀 파일만 대상으로 선택 (선택 디폴트는 현재 파일)</t>
  </si>
  <si>
    <t>나눔고딕</t>
  </si>
  <si>
    <t xml:space="preserve"> ※ 암호 해제 조건에서 함수가 정상 동작합니다.</t>
  </si>
  <si>
    <t>Times New Roman</t>
  </si>
  <si>
    <t>fullPath</t>
  </si>
  <si>
    <t>C:\MyWork\evms\pilot_WBS-CA_draft_v2.xlsm</t>
  </si>
  <si>
    <r>
      <rPr>
        <sz val="10"/>
        <color theme="1"/>
        <rFont val="Times New Roman"/>
        <family val="1"/>
        <charset val="1"/>
      </rPr>
      <t>(</t>
    </r>
    <r>
      <rPr>
        <sz val="10"/>
        <color theme="1"/>
        <rFont val="Noto Sans CJK SC"/>
        <family val="2"/>
      </rPr>
      <t>미적용</t>
    </r>
    <r>
      <rPr>
        <sz val="10"/>
        <color theme="1"/>
        <rFont val="Times New Roman"/>
        <family val="1"/>
        <charset val="1"/>
      </rPr>
      <t>)</t>
    </r>
  </si>
  <si>
    <t>번호</t>
  </si>
  <si>
    <t>워크시트</t>
  </si>
  <si>
    <t>설명</t>
  </si>
  <si>
    <t>비고</t>
  </si>
  <si>
    <t>wsList</t>
  </si>
  <si>
    <t>내비게이션 시트</t>
  </si>
  <si>
    <t>Encrypt</t>
  </si>
  <si>
    <t>워크시트 암호 설정</t>
  </si>
  <si>
    <t>안내</t>
  </si>
  <si>
    <t>워크시트 기능에 대해서 요약, 설명해 주세요.</t>
  </si>
  <si>
    <r>
      <rPr>
        <sz val="10"/>
        <color theme="1"/>
        <rFont val="Times New Roman"/>
        <family val="1"/>
        <charset val="1"/>
      </rPr>
      <t>CA_</t>
    </r>
    <r>
      <rPr>
        <sz val="10"/>
        <color theme="1"/>
        <rFont val="Noto Sans CJK SC"/>
        <family val="2"/>
      </rPr>
      <t>개요</t>
    </r>
  </si>
  <si>
    <r>
      <rPr>
        <sz val="10"/>
        <color theme="1"/>
        <rFont val="Times New Roman"/>
        <family val="1"/>
        <charset val="1"/>
      </rPr>
      <t>WP_</t>
    </r>
    <r>
      <rPr>
        <sz val="10"/>
        <color theme="1"/>
        <rFont val="Noto Sans CJK SC"/>
        <family val="2"/>
      </rPr>
      <t>상세</t>
    </r>
  </si>
  <si>
    <t>마일스톤_요약</t>
  </si>
  <si>
    <r>
      <rPr>
        <sz val="10"/>
        <color theme="1"/>
        <rFont val="Times New Roman"/>
        <family val="1"/>
        <charset val="1"/>
      </rPr>
      <t>LOE_</t>
    </r>
    <r>
      <rPr>
        <sz val="10"/>
        <color theme="1"/>
        <rFont val="Noto Sans CJK SC"/>
        <family val="2"/>
      </rPr>
      <t>계정</t>
    </r>
  </si>
  <si>
    <t>가정</t>
  </si>
  <si>
    <t>계획곡선_후보</t>
  </si>
  <si>
    <t>계획곡선_보정</t>
  </si>
  <si>
    <t>실적MM_입력</t>
  </si>
  <si>
    <r>
      <rPr>
        <sz val="10"/>
        <color theme="1"/>
        <rFont val="Times New Roman"/>
        <family val="1"/>
        <charset val="1"/>
      </rPr>
      <t>EVMS_</t>
    </r>
    <r>
      <rPr>
        <sz val="10"/>
        <color theme="1"/>
        <rFont val="Noto Sans CJK SC"/>
        <family val="2"/>
      </rPr>
      <t>대시보드</t>
    </r>
  </si>
  <si>
    <r>
      <rPr>
        <sz val="10"/>
        <color theme="1"/>
        <rFont val="Times New Roman"/>
        <family val="1"/>
        <charset val="1"/>
      </rPr>
      <t>SWE34_</t>
    </r>
    <r>
      <rPr>
        <sz val="10"/>
        <color theme="1"/>
        <rFont val="Noto Sans CJK SC"/>
        <family val="2"/>
      </rPr>
      <t>계층별</t>
    </r>
    <r>
      <rPr>
        <sz val="10"/>
        <color theme="1"/>
        <rFont val="Times New Roman"/>
        <family val="1"/>
        <charset val="1"/>
      </rPr>
      <t>_</t>
    </r>
    <r>
      <rPr>
        <sz val="10"/>
        <color theme="1"/>
        <rFont val="Noto Sans CJK SC"/>
        <family val="2"/>
      </rPr>
      <t>채점보충</t>
    </r>
  </si>
  <si>
    <t>수기채점_가이드</t>
  </si>
  <si>
    <t>재기준선_변경로그</t>
  </si>
  <si>
    <t>배포게이트_체크리스트</t>
  </si>
  <si>
    <t>★ 워크시트 E:N열 암호조건을 설정하세요. (R:W열의 가이드 참조)</t>
  </si>
  <si>
    <r>
      <rPr>
        <sz val="9"/>
        <color rgb="FFFF0000"/>
        <rFont val="Times New Roman"/>
        <family val="1"/>
        <charset val="1"/>
      </rPr>
      <t>(</t>
    </r>
    <r>
      <rPr>
        <sz val="9"/>
        <color rgb="FFFF0000"/>
        <rFont val="Noto Sans CJK SC"/>
        <family val="2"/>
      </rPr>
      <t>수기 편집 불가 열</t>
    </r>
    <r>
      <rPr>
        <sz val="9"/>
        <color rgb="FFFF0000"/>
        <rFont val="Times New Roman"/>
        <family val="1"/>
        <charset val="1"/>
      </rPr>
      <t>)</t>
    </r>
  </si>
  <si>
    <t>Variant</t>
  </si>
  <si>
    <t>Boolean</t>
  </si>
  <si>
    <t>No</t>
  </si>
  <si>
    <t>Sheets</t>
  </si>
  <si>
    <t>InputColorRGB</t>
  </si>
  <si>
    <t>ForceFullLock_NoException</t>
  </si>
  <si>
    <t>UserInterfaceOnly</t>
  </si>
  <si>
    <t>AllowFormatting</t>
  </si>
  <si>
    <t>AllowInserting</t>
  </si>
  <si>
    <t>AllowDeleting</t>
  </si>
  <si>
    <t>AllowSorting</t>
  </si>
  <si>
    <t>AllowFiltering</t>
  </si>
  <si>
    <t>LockShapes</t>
  </si>
  <si>
    <t>LockOLEObjects</t>
  </si>
  <si>
    <t>파라미터명</t>
  </si>
  <si>
    <t>타입</t>
  </si>
  <si>
    <t>기본값</t>
  </si>
  <si>
    <t>필수여부</t>
  </si>
  <si>
    <t>기능 설명</t>
  </si>
  <si>
    <t>사용 예시</t>
  </si>
  <si>
    <t>ws</t>
  </si>
  <si>
    <t>Worksheet</t>
  </si>
  <si>
    <r>
      <rPr>
        <sz val="10"/>
        <rFont val="Times New Roman"/>
        <family val="1"/>
        <charset val="1"/>
      </rPr>
      <t>(</t>
    </r>
    <r>
      <rPr>
        <sz val="10"/>
        <rFont val="Noto Sans CJK SC"/>
        <family val="2"/>
      </rPr>
      <t>필수</t>
    </r>
    <r>
      <rPr>
        <sz val="10"/>
        <rFont val="Times New Roman"/>
        <family val="1"/>
        <charset val="1"/>
      </rPr>
      <t>)</t>
    </r>
  </si>
  <si>
    <t>잠금 처리 대상 워크시트 객체</t>
  </si>
  <si>
    <t>wsProtect_template(Worksheets("TARA_Report"))</t>
  </si>
  <si>
    <t>Password</t>
  </si>
  <si>
    <t>String</t>
  </si>
  <si>
    <t>Const</t>
  </si>
  <si>
    <t>시트 보호(Unprotect 포함) 시 사용할 암호</t>
  </si>
  <si>
    <t>Password:="MyPwd2026"</t>
  </si>
  <si>
    <t>Empty</t>
  </si>
  <si>
    <t>선택</t>
  </si>
  <si>
    <t>입력셀로 인식할 채우기색의 RGB Long값. Empty면 색상 스캔 생략(기존 Locked 상태 유지). 노란색(255,255,0)은 65535</t>
  </si>
  <si>
    <t>InputColorRGB:=65535</t>
  </si>
  <si>
    <t>False</t>
  </si>
  <si>
    <r>
      <rPr>
        <sz val="10"/>
        <rFont val="Times New Roman"/>
        <family val="1"/>
        <charset val="1"/>
      </rPr>
      <t xml:space="preserve">True </t>
    </r>
    <r>
      <rPr>
        <sz val="10"/>
        <rFont val="Noto Sans CJK SC"/>
        <family val="2"/>
      </rPr>
      <t>시 색상과 무관하게 시트 전체를 예외 없이 잠금</t>
    </r>
    <r>
      <rPr>
        <sz val="10"/>
        <rFont val="Times New Roman"/>
        <family val="1"/>
        <charset val="1"/>
      </rPr>
      <t xml:space="preserve">/False </t>
    </r>
    <r>
      <rPr>
        <sz val="10"/>
        <rFont val="Noto Sans CJK SC"/>
        <family val="2"/>
      </rPr>
      <t>시</t>
    </r>
    <r>
      <rPr>
        <sz val="10"/>
        <rFont val="Times New Roman"/>
        <family val="1"/>
        <charset val="1"/>
      </rPr>
      <t xml:space="preserve">, InputColorRGB </t>
    </r>
    <r>
      <rPr>
        <sz val="10"/>
        <rFont val="Noto Sans CJK SC"/>
        <family val="2"/>
      </rPr>
      <t xml:space="preserve">조건에 따름
</t>
    </r>
    <r>
      <rPr>
        <sz val="10"/>
        <rFont val="Times New Roman"/>
        <family val="1"/>
        <charset val="1"/>
      </rPr>
      <t xml:space="preserve">Ref.* </t>
    </r>
    <r>
      <rPr>
        <sz val="10"/>
        <rFont val="Noto Sans CJK SC"/>
        <family val="2"/>
      </rPr>
      <t>시트처럼 편집모드가 아니면 전부 잠가야 하는 경우 사용</t>
    </r>
  </si>
  <si>
    <t>ForceFullLock_NoException:=True</t>
  </si>
  <si>
    <r>
      <rPr>
        <sz val="10"/>
        <rFont val="Times New Roman"/>
        <family val="1"/>
        <charset val="1"/>
      </rPr>
      <t xml:space="preserve">True </t>
    </r>
    <r>
      <rPr>
        <sz val="10"/>
        <rFont val="Noto Sans CJK SC"/>
        <family val="2"/>
      </rPr>
      <t xml:space="preserve">시 사용자는 편집 불가하지만 </t>
    </r>
    <r>
      <rPr>
        <sz val="10"/>
        <rFont val="Times New Roman"/>
        <family val="1"/>
        <charset val="1"/>
      </rPr>
      <t xml:space="preserve">VBA </t>
    </r>
    <r>
      <rPr>
        <sz val="10"/>
        <rFont val="Noto Sans CJK SC"/>
        <family val="2"/>
      </rPr>
      <t>코드는 보호된 상태에서도 셀 값을 갱신 가능</t>
    </r>
    <r>
      <rPr>
        <sz val="10"/>
        <rFont val="Times New Roman"/>
        <family val="1"/>
        <charset val="1"/>
      </rPr>
      <t xml:space="preserve">. TARA </t>
    </r>
    <r>
      <rPr>
        <sz val="10"/>
        <rFont val="Noto Sans CJK SC"/>
        <family val="2"/>
      </rPr>
      <t>종료 후 결과를 자동 기록해야 하는 시트에 사용</t>
    </r>
  </si>
  <si>
    <t>UserInterfaceOnly:=True</t>
  </si>
  <si>
    <t>셀/열/행 서식 변경 허용 여부 (3개 옵션 통합). True 시 색상,글꼴,테두리 등 서식 변경 가능</t>
  </si>
  <si>
    <t>AllowFormatting:=True</t>
  </si>
  <si>
    <t>행/열 삽입 허용 여부 (2개 옵션 통합)</t>
  </si>
  <si>
    <t>AllowInserting:=False</t>
  </si>
  <si>
    <t>행/열 삭제 허용 여부 (2개 옵션 통합)</t>
  </si>
  <si>
    <t>AllowDeleting:=False</t>
  </si>
  <si>
    <t>정렬 기능 허용 여부</t>
  </si>
  <si>
    <t>AllowSorting:=True</t>
  </si>
  <si>
    <t>자동필터 사용 허용 여부</t>
  </si>
  <si>
    <t>AllowFiltering:=True</t>
  </si>
  <si>
    <t>True</t>
  </si>
  <si>
    <t>일반 도형(텍스트박스, 이미지, AutoShape) 잠금 여부. 폼컨트롤(매크로 버튼)은 이 값과 무관하게 항상 예외 처리(고정)되어 클릭 가능</t>
  </si>
  <si>
    <t>LockShapes:=False</t>
  </si>
  <si>
    <t>임베디드 OLE 개체(삽입된 파일 등) 잠금 여부</t>
  </si>
  <si>
    <t>LockOLEObjects:=True</t>
  </si>
  <si>
    <t>항목</t>
  </si>
  <si>
    <t>작성 근거</t>
  </si>
  <si>
    <t>첨부 자가평가 워크북의 ProcessBP_Product 시트(27개 ASPICE 프로세스, 165개 BP/산출물)와 프로젝트 프로파일 시트의 기본 마일스톤 매핑(M-Car/Proto/P1/P2/SoP, '표준수행' 기준)을 그대로 사용.</t>
  </si>
  <si>
    <r>
      <rPr>
        <b/>
        <sz val="10"/>
        <rFont val="Times New Roman"/>
        <family val="1"/>
        <charset val="1"/>
      </rPr>
      <t xml:space="preserve">CA </t>
    </r>
    <r>
      <rPr>
        <b/>
        <sz val="10"/>
        <rFont val="Noto Sans CJK SC"/>
        <family val="2"/>
      </rPr>
      <t>정의 방식</t>
    </r>
  </si>
  <si>
    <t>설계문서 3장 원칙에 따라 ASPICE 프로세스 1개 = CA(Control Account) 1개로 정의하되, SWE.3(상세설계/단위구현)·SWE.4(단위검증)는 ASW/BSW 계층별 담당(자체/외주)이 갈리므로 각각 2개 CA로 분리하여 총 29개 CA로 구성.</t>
  </si>
  <si>
    <r>
      <rPr>
        <b/>
        <sz val="10"/>
        <rFont val="Times New Roman"/>
        <family val="1"/>
        <charset val="1"/>
      </rPr>
      <t xml:space="preserve">WP </t>
    </r>
    <r>
      <rPr>
        <b/>
        <sz val="10"/>
        <rFont val="Noto Sans CJK SC"/>
        <family val="2"/>
      </rPr>
      <t>정의 방식</t>
    </r>
  </si>
  <si>
    <t>설계문서 4장 원칙에 따라 각 BP/산출물 1개 = Discrete WP 1개로 정의. SWE.3·SWE.4는 ASW/BSW 두 벌로 복제되어 총 175개 WP.</t>
  </si>
  <si>
    <r>
      <rPr>
        <b/>
        <sz val="10"/>
        <rFont val="Times New Roman"/>
        <family val="1"/>
        <charset val="1"/>
      </rPr>
      <t xml:space="preserve">Discrete/LOE </t>
    </r>
    <r>
      <rPr>
        <b/>
        <sz val="10"/>
        <rFont val="Noto Sans CJK SC"/>
        <family val="2"/>
      </rPr>
      <t>구분</t>
    </r>
  </si>
  <si>
    <t>설계문서 6장 원칙(PM/QA/CM은 혼합, 기술프로세스는 Discrete)에 따라 CA 유형을 우선 지정하고, '혼합' CA는 산출물명 키워드로 1차 제안함(수기 검토 필요 — WP_상세 시트 F열 참고).</t>
  </si>
  <si>
    <t>입력 셀 색상 구분(중요)</t>
  </si>
  <si>
    <t>파랑=계획단계 1회성 입력(PM/기획이 프로젝트 착수 시 확정: CAM 지정, 시나리오 선택, BAC 관련 가정, 최초작성비중 등) / 초록=진행중 담당자·CAM이 정기 입력(WP_상세 진도율·상태·근거자료, 실적MM_입력의 월별 실적MM, SWE34 채점) / 주황=진행중 PM·관리조직이 입력·검토(EVMS_대시보드 현재시점, 표본재검토 기록, 재기준선 로그, 배포게이트 상태). 노란색 셀은 남아있지 않음 — 모든 입력 셀이 이 3색 중 하나로 분류됨.</t>
  </si>
  <si>
    <t>아직 반영되지 않은 것</t>
  </si>
  <si>
    <t>① 실제 MM/원가 배분(BAC 금액) — 설계문서 5장 원칙대로 산출물 진도와 별도로 타임시트 등에서 수집 필요. ② LOE_계정 시트의 공통경비/출장비는 ASPICE 산출물 구조 밖에 있으므로 별도 관리.</t>
  </si>
  <si>
    <t>자가평가 워크북과의 연계</t>
  </si>
  <si>
    <r>
      <rPr>
        <sz val="11"/>
        <color theme="1"/>
        <rFont val="Times New Roman"/>
        <family val="1"/>
        <charset val="1"/>
      </rPr>
      <t>WP_</t>
    </r>
    <r>
      <rPr>
        <sz val="11"/>
        <color theme="1"/>
        <rFont val="Noto Sans CJK SC"/>
        <family val="2"/>
      </rPr>
      <t xml:space="preserve">상세 시트의 </t>
    </r>
    <r>
      <rPr>
        <sz val="11"/>
        <color theme="1"/>
        <rFont val="Times New Roman"/>
        <family val="1"/>
        <charset val="1"/>
      </rPr>
      <t>'BP#'</t>
    </r>
    <r>
      <rPr>
        <sz val="11"/>
        <color theme="1"/>
        <rFont val="Noto Sans CJK SC"/>
        <family val="2"/>
      </rPr>
      <t xml:space="preserve">는 원본 워크북의 </t>
    </r>
    <r>
      <rPr>
        <sz val="11"/>
        <color theme="1"/>
        <rFont val="Times New Roman"/>
        <family val="1"/>
        <charset val="1"/>
      </rPr>
      <t xml:space="preserve">M-Car~SoP </t>
    </r>
    <r>
      <rPr>
        <sz val="11"/>
        <color theme="1"/>
        <rFont val="Noto Sans CJK SC"/>
        <family val="2"/>
      </rPr>
      <t xml:space="preserve">마일스톤 시트의 </t>
    </r>
    <r>
      <rPr>
        <sz val="11"/>
        <color theme="1"/>
        <rFont val="Times New Roman"/>
        <family val="1"/>
        <charset val="1"/>
      </rPr>
      <t xml:space="preserve">BP </t>
    </r>
    <r>
      <rPr>
        <sz val="11"/>
        <color theme="1"/>
        <rFont val="Noto Sans CJK SC"/>
        <family val="2"/>
      </rPr>
      <t>번호와 동일하다</t>
    </r>
    <r>
      <rPr>
        <sz val="11"/>
        <color theme="1"/>
        <rFont val="Times New Roman"/>
        <family val="1"/>
        <charset val="1"/>
      </rPr>
      <t xml:space="preserve">. </t>
    </r>
    <r>
      <rPr>
        <sz val="11"/>
        <color theme="1"/>
        <rFont val="Noto Sans CJK SC"/>
        <family val="2"/>
      </rPr>
      <t xml:space="preserve">마일스톤 자가평가에서 산출된 </t>
    </r>
    <r>
      <rPr>
        <sz val="11"/>
        <color theme="1"/>
        <rFont val="Times New Roman"/>
        <family val="1"/>
        <charset val="1"/>
      </rPr>
      <t>100</t>
    </r>
    <r>
      <rPr>
        <sz val="11"/>
        <color theme="1"/>
        <rFont val="Noto Sans CJK SC"/>
        <family val="2"/>
      </rPr>
      <t xml:space="preserve">점 환산 점수를 그대로 해당 </t>
    </r>
    <r>
      <rPr>
        <sz val="11"/>
        <color theme="1"/>
        <rFont val="Times New Roman"/>
        <family val="1"/>
        <charset val="1"/>
      </rPr>
      <t>WP</t>
    </r>
    <r>
      <rPr>
        <sz val="11"/>
        <color theme="1"/>
        <rFont val="Noto Sans CJK SC"/>
        <family val="2"/>
      </rPr>
      <t>의 진도율</t>
    </r>
    <r>
      <rPr>
        <sz val="11"/>
        <color theme="1"/>
        <rFont val="Times New Roman"/>
        <family val="1"/>
        <charset val="1"/>
      </rPr>
      <t>(%)</t>
    </r>
    <r>
      <rPr>
        <sz val="11"/>
        <color theme="1"/>
        <rFont val="Noto Sans CJK SC"/>
        <family val="2"/>
      </rPr>
      <t xml:space="preserve">로 사용하면 설계문서 </t>
    </r>
    <r>
      <rPr>
        <sz val="11"/>
        <color theme="1"/>
        <rFont val="Times New Roman"/>
        <family val="1"/>
        <charset val="1"/>
      </rPr>
      <t>4</t>
    </r>
    <r>
      <rPr>
        <sz val="11"/>
        <color theme="1"/>
        <rFont val="Noto Sans CJK SC"/>
        <family val="2"/>
      </rPr>
      <t xml:space="preserve">장의 </t>
    </r>
    <r>
      <rPr>
        <sz val="11"/>
        <color theme="1"/>
        <rFont val="Times New Roman"/>
        <family val="1"/>
        <charset val="1"/>
      </rPr>
      <t xml:space="preserve">BCWP </t>
    </r>
    <r>
      <rPr>
        <sz val="11"/>
        <color theme="1"/>
        <rFont val="Noto Sans CJK SC"/>
        <family val="2"/>
      </rPr>
      <t>산정 방법과 일치한다</t>
    </r>
    <r>
      <rPr>
        <sz val="11"/>
        <color theme="1"/>
        <rFont val="Times New Roman"/>
        <family val="1"/>
        <charset val="1"/>
      </rPr>
      <t>.</t>
    </r>
  </si>
  <si>
    <t>프로젝트 프로파일 커스터마이징 필요</t>
  </si>
  <si>
    <t>원본 워크북의 '프로젝트 프로파일' 시트는 아직 비어 있어(신규/파생개발 유형 미지정) 기본값(표준수행)을 사용했다. 실제 파일럿 프로젝트가 파생개발이거나 일부 프로세스를 재사용/제외한다면, 그 시트를 먼저 채운 뒤 이 초안의 마일스톤 배정을 조정해야 한다.</t>
  </si>
  <si>
    <t>경영보고_요약 시트(신규)</t>
  </si>
  <si>
    <r>
      <rPr>
        <sz val="11"/>
        <color theme="1"/>
        <rFont val="Calibri"/>
        <family val="2"/>
        <charset val="1"/>
      </rPr>
      <t xml:space="preserve">SPI/CPI </t>
    </r>
    <r>
      <rPr>
        <sz val="11"/>
        <color theme="1"/>
        <rFont val="Noto Sans CJK SC"/>
        <family val="2"/>
      </rPr>
      <t>용어 없이 정상</t>
    </r>
    <r>
      <rPr>
        <sz val="11"/>
        <color theme="1"/>
        <rFont val="Calibri"/>
        <family val="2"/>
        <charset val="1"/>
      </rPr>
      <t>/</t>
    </r>
    <r>
      <rPr>
        <sz val="11"/>
        <color theme="1"/>
        <rFont val="Noto Sans CJK SC"/>
        <family val="2"/>
      </rPr>
      <t>주의</t>
    </r>
    <r>
      <rPr>
        <sz val="11"/>
        <color theme="1"/>
        <rFont val="Calibri"/>
        <family val="2"/>
        <charset val="1"/>
      </rPr>
      <t>/</t>
    </r>
    <r>
      <rPr>
        <sz val="11"/>
        <color theme="1"/>
        <rFont val="Noto Sans CJK SC"/>
        <family val="2"/>
      </rPr>
      <t>위험 신호등만으로 프로젝트 상태를 보여주는 임원</t>
    </r>
    <r>
      <rPr>
        <sz val="11"/>
        <color theme="1"/>
        <rFont val="Calibri"/>
        <family val="2"/>
        <charset val="1"/>
      </rPr>
      <t>/</t>
    </r>
    <r>
      <rPr>
        <sz val="11"/>
        <color theme="1"/>
        <rFont val="Noto Sans CJK SC"/>
        <family val="2"/>
      </rPr>
      <t>보고용 시트</t>
    </r>
    <r>
      <rPr>
        <sz val="11"/>
        <color theme="1"/>
        <rFont val="Calibri"/>
        <family val="2"/>
        <charset val="1"/>
      </rPr>
      <t xml:space="preserve">. </t>
    </r>
    <r>
      <rPr>
        <sz val="11"/>
        <color theme="1"/>
        <rFont val="Noto Sans CJK SC"/>
        <family val="2"/>
      </rPr>
      <t xml:space="preserve">전체 신호등이 </t>
    </r>
    <r>
      <rPr>
        <sz val="11"/>
        <color theme="1"/>
        <rFont val="Calibri"/>
        <family val="2"/>
        <charset val="1"/>
      </rPr>
      <t>'</t>
    </r>
    <r>
      <rPr>
        <sz val="11"/>
        <color theme="1"/>
        <rFont val="Noto Sans CJK SC"/>
        <family val="2"/>
      </rPr>
      <t>정상</t>
    </r>
    <r>
      <rPr>
        <sz val="11"/>
        <color theme="1"/>
        <rFont val="Calibri"/>
        <family val="2"/>
        <charset val="1"/>
      </rPr>
      <t>'</t>
    </r>
    <r>
      <rPr>
        <sz val="11"/>
        <color theme="1"/>
        <rFont val="Noto Sans CJK SC"/>
        <family val="2"/>
      </rPr>
      <t xml:space="preserve">이어도 하위 </t>
    </r>
    <r>
      <rPr>
        <sz val="11"/>
        <color theme="1"/>
        <rFont val="Calibri"/>
        <family val="2"/>
        <charset val="1"/>
      </rPr>
      <t>3</t>
    </r>
    <r>
      <rPr>
        <sz val="11"/>
        <color theme="1"/>
        <rFont val="Noto Sans CJK SC"/>
        <family val="2"/>
      </rPr>
      <t xml:space="preserve">개 </t>
    </r>
    <r>
      <rPr>
        <sz val="11"/>
        <color theme="1"/>
        <rFont val="Calibri"/>
        <family val="2"/>
        <charset val="1"/>
      </rPr>
      <t>CA</t>
    </r>
    <r>
      <rPr>
        <sz val="11"/>
        <color theme="1"/>
        <rFont val="Noto Sans CJK SC"/>
        <family val="2"/>
      </rPr>
      <t>는 항상 함께 표시해</t>
    </r>
    <r>
      <rPr>
        <sz val="11"/>
        <color theme="1"/>
        <rFont val="Calibri"/>
        <family val="2"/>
        <charset val="1"/>
      </rPr>
      <t xml:space="preserve">, </t>
    </r>
    <r>
      <rPr>
        <sz val="11"/>
        <color theme="1"/>
        <rFont val="Noto Sans CJK SC"/>
        <family val="2"/>
      </rPr>
      <t xml:space="preserve">기존 신호등 방식이 놓쳤던 부분 </t>
    </r>
    <r>
      <rPr>
        <sz val="11"/>
        <color theme="1"/>
        <rFont val="Calibri"/>
        <family val="2"/>
        <charset val="1"/>
      </rPr>
      <t xml:space="preserve">CA </t>
    </r>
    <r>
      <rPr>
        <sz val="11"/>
        <color theme="1"/>
        <rFont val="Noto Sans CJK SC"/>
        <family val="2"/>
      </rPr>
      <t>리스크를 보여준다</t>
    </r>
    <r>
      <rPr>
        <sz val="11"/>
        <color theme="1"/>
        <rFont val="Calibri"/>
        <family val="2"/>
        <charset val="1"/>
      </rPr>
      <t xml:space="preserve">. </t>
    </r>
    <r>
      <rPr>
        <sz val="11"/>
        <color theme="1"/>
        <rFont val="Noto Sans CJK SC"/>
        <family val="2"/>
      </rPr>
      <t xml:space="preserve">근거가 필요하면 </t>
    </r>
    <r>
      <rPr>
        <sz val="11"/>
        <color theme="1"/>
        <rFont val="Calibri"/>
        <family val="2"/>
        <charset val="1"/>
      </rPr>
      <t>EVMS_</t>
    </r>
    <r>
      <rPr>
        <sz val="11"/>
        <color theme="1"/>
        <rFont val="Noto Sans CJK SC"/>
        <family val="2"/>
      </rPr>
      <t>대시보드로 내려가서 확인 가능</t>
    </r>
    <r>
      <rPr>
        <sz val="11"/>
        <color theme="1"/>
        <rFont val="Calibri"/>
        <family val="2"/>
        <charset val="1"/>
      </rPr>
      <t>.</t>
    </r>
  </si>
  <si>
    <t>프로젝트예산_현금성 시트(신규)</t>
  </si>
  <si>
    <r>
      <rPr>
        <sz val="11"/>
        <color theme="1"/>
        <rFont val="Calibri"/>
        <family val="2"/>
        <charset val="1"/>
      </rPr>
      <t>CA_</t>
    </r>
    <r>
      <rPr>
        <sz val="11"/>
        <color theme="1"/>
        <rFont val="Noto Sans CJK SC"/>
        <family val="2"/>
      </rPr>
      <t>개요</t>
    </r>
    <r>
      <rPr>
        <sz val="11"/>
        <color theme="1"/>
        <rFont val="Calibri"/>
        <family val="2"/>
        <charset val="1"/>
      </rPr>
      <t>/</t>
    </r>
    <r>
      <rPr>
        <sz val="11"/>
        <color theme="1"/>
        <rFont val="Noto Sans CJK SC"/>
        <family val="2"/>
      </rPr>
      <t>실적</t>
    </r>
    <r>
      <rPr>
        <sz val="11"/>
        <color theme="1"/>
        <rFont val="Calibri"/>
        <family val="2"/>
        <charset val="1"/>
      </rPr>
      <t>MM_</t>
    </r>
    <r>
      <rPr>
        <sz val="11"/>
        <color theme="1"/>
        <rFont val="Noto Sans CJK SC"/>
        <family val="2"/>
      </rPr>
      <t>입력</t>
    </r>
    <r>
      <rPr>
        <sz val="11"/>
        <color theme="1"/>
        <rFont val="Calibri"/>
        <family val="2"/>
        <charset val="1"/>
      </rPr>
      <t>/EVMS_</t>
    </r>
    <r>
      <rPr>
        <sz val="11"/>
        <color theme="1"/>
        <rFont val="Noto Sans CJK SC"/>
        <family val="2"/>
      </rPr>
      <t xml:space="preserve">대시보드는 전부 </t>
    </r>
    <r>
      <rPr>
        <sz val="11"/>
        <color theme="1"/>
        <rFont val="Calibri"/>
        <family val="2"/>
        <charset val="1"/>
      </rPr>
      <t>MM(</t>
    </r>
    <r>
      <rPr>
        <sz val="11"/>
        <color theme="1"/>
        <rFont val="Noto Sans CJK SC"/>
        <family val="2"/>
      </rPr>
      <t>인월</t>
    </r>
    <r>
      <rPr>
        <sz val="11"/>
        <color theme="1"/>
        <rFont val="Calibri"/>
        <family val="2"/>
        <charset val="1"/>
      </rPr>
      <t xml:space="preserve">) </t>
    </r>
    <r>
      <rPr>
        <sz val="11"/>
        <color theme="1"/>
        <rFont val="Noto Sans CJK SC"/>
        <family val="2"/>
      </rPr>
      <t>단위라 외주용역비</t>
    </r>
    <r>
      <rPr>
        <sz val="11"/>
        <color theme="1"/>
        <rFont val="Calibri"/>
        <family val="2"/>
        <charset val="1"/>
      </rPr>
      <t>·</t>
    </r>
    <r>
      <rPr>
        <sz val="11"/>
        <color theme="1"/>
        <rFont val="Noto Sans CJK SC"/>
        <family val="2"/>
      </rPr>
      <t>시작품 제작비 같은 현금성 프로젝트 예산이 보이지 않았다</t>
    </r>
    <r>
      <rPr>
        <sz val="11"/>
        <color theme="1"/>
        <rFont val="Calibri"/>
        <family val="2"/>
        <charset val="1"/>
      </rPr>
      <t xml:space="preserve">. </t>
    </r>
    <r>
      <rPr>
        <sz val="11"/>
        <color theme="1"/>
        <rFont val="Noto Sans CJK SC"/>
        <family val="2"/>
      </rPr>
      <t xml:space="preserve">이 시트가 그 공백을 메운다 — </t>
    </r>
    <r>
      <rPr>
        <sz val="11"/>
        <color theme="1"/>
        <rFont val="Calibri"/>
        <family val="2"/>
        <charset val="1"/>
      </rPr>
      <t xml:space="preserve">BSW </t>
    </r>
    <r>
      <rPr>
        <sz val="11"/>
        <color theme="1"/>
        <rFont val="Noto Sans CJK SC"/>
        <family val="2"/>
      </rPr>
      <t>외주개발</t>
    </r>
    <r>
      <rPr>
        <sz val="11"/>
        <color theme="1"/>
        <rFont val="Calibri"/>
        <family val="2"/>
        <charset val="1"/>
      </rPr>
      <t>/</t>
    </r>
    <r>
      <rPr>
        <sz val="11"/>
        <color theme="1"/>
        <rFont val="Noto Sans CJK SC"/>
        <family val="2"/>
      </rPr>
      <t>검증 용역비</t>
    </r>
    <r>
      <rPr>
        <sz val="11"/>
        <color theme="1"/>
        <rFont val="Calibri"/>
        <family val="2"/>
        <charset val="1"/>
      </rPr>
      <t xml:space="preserve">, </t>
    </r>
    <r>
      <rPr>
        <sz val="11"/>
        <color theme="1"/>
        <rFont val="Noto Sans CJK SC"/>
        <family val="2"/>
      </rPr>
      <t>시작용 제어기 제작비</t>
    </r>
    <r>
      <rPr>
        <sz val="11"/>
        <color theme="1"/>
        <rFont val="Calibri"/>
        <family val="2"/>
        <charset val="1"/>
      </rPr>
      <t>(A/B</t>
    </r>
    <r>
      <rPr>
        <sz val="11"/>
        <color theme="1"/>
        <rFont val="Noto Sans CJK SC"/>
        <family val="2"/>
      </rPr>
      <t>샘플</t>
    </r>
    <r>
      <rPr>
        <sz val="11"/>
        <color theme="1"/>
        <rFont val="Calibri"/>
        <family val="2"/>
        <charset val="1"/>
      </rPr>
      <t>)</t>
    </r>
    <r>
      <rPr>
        <sz val="11"/>
        <color theme="1"/>
        <rFont val="Noto Sans CJK SC"/>
        <family val="2"/>
      </rPr>
      <t>를 계획금액</t>
    </r>
    <r>
      <rPr>
        <sz val="11"/>
        <color theme="1"/>
        <rFont val="Calibri"/>
        <family val="2"/>
        <charset val="1"/>
      </rPr>
      <t>(</t>
    </r>
    <r>
      <rPr>
        <sz val="11"/>
        <color theme="1"/>
        <rFont val="Noto Sans CJK SC"/>
        <family val="2"/>
      </rPr>
      <t>원</t>
    </r>
    <r>
      <rPr>
        <sz val="11"/>
        <color theme="1"/>
        <rFont val="Calibri"/>
        <family val="2"/>
        <charset val="1"/>
      </rPr>
      <t xml:space="preserve">) </t>
    </r>
    <r>
      <rPr>
        <sz val="11"/>
        <color theme="1"/>
        <rFont val="Noto Sans CJK SC"/>
        <family val="2"/>
      </rPr>
      <t>기준으로 별도 추적하며</t>
    </r>
    <r>
      <rPr>
        <sz val="11"/>
        <color theme="1"/>
        <rFont val="Calibri"/>
        <family val="2"/>
        <charset val="1"/>
      </rPr>
      <t xml:space="preserve">, </t>
    </r>
    <r>
      <rPr>
        <sz val="11"/>
        <color theme="1"/>
        <rFont val="Noto Sans CJK SC"/>
        <family val="2"/>
      </rPr>
      <t xml:space="preserve">진도율은 </t>
    </r>
    <r>
      <rPr>
        <sz val="11"/>
        <color theme="1"/>
        <rFont val="Calibri"/>
        <family val="2"/>
        <charset val="1"/>
      </rPr>
      <t>CA_</t>
    </r>
    <r>
      <rPr>
        <sz val="11"/>
        <color theme="1"/>
        <rFont val="Noto Sans CJK SC"/>
        <family val="2"/>
      </rPr>
      <t xml:space="preserve">개요의 </t>
    </r>
    <r>
      <rPr>
        <sz val="11"/>
        <color theme="1"/>
        <rFont val="Calibri"/>
        <family val="2"/>
        <charset val="1"/>
      </rPr>
      <t>CA</t>
    </r>
    <r>
      <rPr>
        <sz val="11"/>
        <color theme="1"/>
        <rFont val="Noto Sans CJK SC"/>
        <family val="2"/>
      </rPr>
      <t>평가점수를 그대로 재사용해 이중입력을 피한다</t>
    </r>
    <r>
      <rPr>
        <sz val="11"/>
        <color theme="1"/>
        <rFont val="Calibri"/>
        <family val="2"/>
        <charset val="1"/>
      </rPr>
      <t xml:space="preserve">. </t>
    </r>
    <r>
      <rPr>
        <sz val="11"/>
        <color theme="1"/>
        <rFont val="Noto Sans CJK SC"/>
        <family val="2"/>
      </rPr>
      <t xml:space="preserve">노무단가 환산은 아직 하지 않으므로 </t>
    </r>
    <r>
      <rPr>
        <sz val="11"/>
        <color theme="1"/>
        <rFont val="Calibri"/>
        <family val="2"/>
        <charset val="1"/>
      </rPr>
      <t xml:space="preserve">MM </t>
    </r>
    <r>
      <rPr>
        <sz val="11"/>
        <color theme="1"/>
        <rFont val="Noto Sans CJK SC"/>
        <family val="2"/>
      </rPr>
      <t xml:space="preserve">기반 </t>
    </r>
    <r>
      <rPr>
        <sz val="11"/>
        <color theme="1"/>
        <rFont val="Calibri"/>
        <family val="2"/>
        <charset val="1"/>
      </rPr>
      <t>EVMS</t>
    </r>
    <r>
      <rPr>
        <sz val="11"/>
        <color theme="1"/>
        <rFont val="Noto Sans CJK SC"/>
        <family val="2"/>
      </rPr>
      <t>와는 독립된 축으로 운영된다</t>
    </r>
    <r>
      <rPr>
        <sz val="11"/>
        <color theme="1"/>
        <rFont val="Calibri"/>
        <family val="2"/>
        <charset val="1"/>
      </rPr>
      <t>.</t>
    </r>
  </si>
  <si>
    <t>약어</t>
  </si>
  <si>
    <t>원어</t>
  </si>
  <si>
    <t>의미</t>
  </si>
  <si>
    <t>EVMS</t>
  </si>
  <si>
    <t>Earned Value Management System</t>
  </si>
  <si>
    <t>획득가치 관리체계. 일정과 원가(성과)를 하나의 지표 체계로 통합 관리하는 기법</t>
  </si>
  <si>
    <t>WBS</t>
  </si>
  <si>
    <t>Work Breakdown Structure</t>
  </si>
  <si>
    <t>작업분류체계. 프로젝트 범위를 계층적으로 분해한 구조</t>
  </si>
  <si>
    <t>CA</t>
  </si>
  <si>
    <t>Control Account</t>
  </si>
  <si>
    <t>통제계정. WBS와 조직(책임자)이 교차하는 지점으로 EVMS 성과측정의 기본 단위</t>
  </si>
  <si>
    <t>WP</t>
  </si>
  <si>
    <t>Work Package</t>
  </si>
  <si>
    <t>작업패키지. CA 하위의 더 세분화된 실행단위(성과측정의 최소 단위)</t>
  </si>
  <si>
    <t>CAM</t>
  </si>
  <si>
    <t>Control Account Manager</t>
  </si>
  <si>
    <t>통제계정 관리자. 특정 CA의 일정/원가/성과에 대한 책임자</t>
  </si>
  <si>
    <t>LOE</t>
  </si>
  <si>
    <t>Level of Effort</t>
  </si>
  <si>
    <t>노력수준 활동. 명확한 산출물 없이 시간에 비례해 진행되는 활동</t>
  </si>
  <si>
    <t>PV / BCWS</t>
  </si>
  <si>
    <t>Planned Value / Budgeted Cost of Work Scheduled</t>
  </si>
  <si>
    <t>계획가치. 특정 시점까지 계획된 작업량의 예산가치</t>
  </si>
  <si>
    <t>EV / BCWP</t>
  </si>
  <si>
    <t>Earned Value / Budgeted Cost of Work Performed</t>
  </si>
  <si>
    <t>획득가치. 실제 완료된 작업량을 예산가치로 환산한 값(성과)</t>
  </si>
  <si>
    <t>AC / ACWP</t>
  </si>
  <si>
    <t>Actual Cost / Actual Cost of Work Performed</t>
  </si>
  <si>
    <t>실적원가. 실제 투입된 원가</t>
  </si>
  <si>
    <t>SV</t>
  </si>
  <si>
    <t>Schedule Variance</t>
  </si>
  <si>
    <t>일정차이 = BCWP − BCWS</t>
  </si>
  <si>
    <t>CV</t>
  </si>
  <si>
    <t>Cost Variance</t>
  </si>
  <si>
    <t>원가차이 = BCWP − ACWP</t>
  </si>
  <si>
    <t>SPI</t>
  </si>
  <si>
    <t>Schedule Performance Index</t>
  </si>
  <si>
    <t>일정성과지수 = BCWP / BCWS</t>
  </si>
  <si>
    <t>CPI</t>
  </si>
  <si>
    <t>Cost Performance Index</t>
  </si>
  <si>
    <t>원가성과지수 = BCWP / ACWP</t>
  </si>
  <si>
    <t>BAC</t>
  </si>
  <si>
    <t>Budget at Completion</t>
  </si>
  <si>
    <t>완료시점 총예산(해당 CA/WP/프로젝트에 배분된 계획예산 총액)</t>
  </si>
  <si>
    <t>EAC</t>
  </si>
  <si>
    <t>Estimate at Completion</t>
  </si>
  <si>
    <t>완료시점 예측원가 = 실적 + 잔여작업 예측원가</t>
  </si>
  <si>
    <t>PMB</t>
  </si>
  <si>
    <t>Performance Measurement Baseline</t>
  </si>
  <si>
    <t>성과측정기준선(시간에 따라 배분된 PV의 누적곡선)</t>
  </si>
  <si>
    <t>MM</t>
  </si>
  <si>
    <t>Man-Month</t>
  </si>
  <si>
    <t>인월. 투입 인력 공수 단위</t>
  </si>
  <si>
    <t>ASPICE</t>
  </si>
  <si>
    <t>Automotive SPICE</t>
  </si>
  <si>
    <t>자동차 SW 개발 프로세스 성숙도 평가 모델</t>
  </si>
  <si>
    <t>BP</t>
  </si>
  <si>
    <t>Base Practice</t>
  </si>
  <si>
    <r>
      <rPr>
        <sz val="10"/>
        <color theme="1"/>
        <rFont val="Times New Roman"/>
        <family val="1"/>
        <charset val="1"/>
      </rPr>
      <t xml:space="preserve">ASPICE </t>
    </r>
    <r>
      <rPr>
        <sz val="10"/>
        <color theme="1"/>
        <rFont val="Noto Sans CJK SC"/>
        <family val="2"/>
      </rPr>
      <t>프로세스별 정의된 기본 실천사항</t>
    </r>
    <r>
      <rPr>
        <sz val="10"/>
        <color theme="1"/>
        <rFont val="Times New Roman"/>
        <family val="1"/>
        <charset val="1"/>
      </rPr>
      <t>(</t>
    </r>
    <r>
      <rPr>
        <sz val="10"/>
        <color theme="1"/>
        <rFont val="Noto Sans CJK SC"/>
        <family val="2"/>
      </rPr>
      <t>역량평가 최소 단위</t>
    </r>
    <r>
      <rPr>
        <sz val="10"/>
        <color theme="1"/>
        <rFont val="Times New Roman"/>
        <family val="1"/>
        <charset val="1"/>
      </rPr>
      <t>)</t>
    </r>
  </si>
  <si>
    <t>CM</t>
  </si>
  <si>
    <t>Configuration Management</t>
  </si>
  <si>
    <t>형상관리</t>
  </si>
  <si>
    <t>ANSI/EIA-748</t>
  </si>
  <si>
    <t>—</t>
  </si>
  <si>
    <t>미국 EVMS 표준(32개 가이드라인, 정통 EVMS의 근거 표준)</t>
  </si>
  <si>
    <t>지표</t>
  </si>
  <si>
    <t>값</t>
  </si>
  <si>
    <t>기준 시점</t>
  </si>
  <si>
    <t>전체 진행률</t>
  </si>
  <si>
    <t>예산 소진율</t>
  </si>
  <si>
    <t>전체 신호등</t>
  </si>
  <si>
    <t>현금성 예산 집행률</t>
  </si>
  <si>
    <t>현금성 예산 신호등</t>
  </si>
  <si>
    <t>통합 진행률 (MM원화+현금성 합산)</t>
  </si>
  <si>
    <t>통합 신호등 (MM원화+현금성 합산)</t>
  </si>
  <si>
    <t>가장 주의가 필요한 영역 (하위 3개 CA)</t>
  </si>
  <si>
    <t>순위</t>
  </si>
  <si>
    <t>참고코드</t>
  </si>
  <si>
    <r>
      <rPr>
        <b/>
        <sz val="10"/>
        <color rgb="FFFFFFFF"/>
        <rFont val="Times New Roman"/>
        <family val="1"/>
        <charset val="1"/>
      </rPr>
      <t>CA</t>
    </r>
    <r>
      <rPr>
        <b/>
        <sz val="10"/>
        <color rgb="FFFFFFFF"/>
        <rFont val="Noto Sans CJK SC"/>
        <family val="2"/>
      </rPr>
      <t>명</t>
    </r>
  </si>
  <si>
    <t>담당자</t>
  </si>
  <si>
    <t>신호등</t>
  </si>
  <si>
    <t>핵심메모</t>
  </si>
  <si>
    <t>전체 CA 신호등 목록</t>
  </si>
  <si>
    <t>카테고리</t>
  </si>
  <si>
    <t>기존 신호등 방식과 달라진 점</t>
  </si>
  <si>
    <t>•</t>
  </si>
  <si>
    <t>전체가 '정상'으로 보여도 위 Top3 표에서 실제로 어떤 영역이 취약한지 항상 함께 보여준다(설계문서 15장: 전체 지표만으로는 CA 단위 문제를 가릴 수 있음이 6개 파일럿 시나리오에서 실증됨).</t>
  </si>
  <si>
    <t>신호등 색은 담당자의 주관적 판단이 아니라 WP_상세의 진도율과 실적MM_입력의 실적 공수를 결합한 계산값(EVMS_대시보드)에서 자동 산출된다.</t>
  </si>
  <si>
    <t>보고받는 사람은 이 시트만 보면 되고, 근거가 필요하면 EVMS_대시보드·WP_상세로 내려가서 확인할 수 있다.</t>
  </si>
  <si>
    <t>CA No</t>
  </si>
  <si>
    <t>Process(ASPICE)</t>
  </si>
  <si>
    <r>
      <rPr>
        <b/>
        <sz val="10"/>
        <color rgb="FFFFFFFF"/>
        <rFont val="Times New Roman"/>
        <family val="1"/>
        <charset val="1"/>
      </rPr>
      <t>CA</t>
    </r>
    <r>
      <rPr>
        <b/>
        <sz val="10"/>
        <color rgb="FFFFFFFF"/>
        <rFont val="Noto Sans CJK SC"/>
        <family val="2"/>
      </rPr>
      <t>명</t>
    </r>
    <r>
      <rPr>
        <b/>
        <sz val="10"/>
        <color rgb="FFFFFFFF"/>
        <rFont val="Times New Roman"/>
        <family val="1"/>
        <charset val="1"/>
      </rPr>
      <t>(</t>
    </r>
    <r>
      <rPr>
        <b/>
        <sz val="10"/>
        <color rgb="FFFFFFFF"/>
        <rFont val="Noto Sans CJK SC"/>
        <family val="2"/>
      </rPr>
      <t>국문</t>
    </r>
    <r>
      <rPr>
        <b/>
        <sz val="10"/>
        <color rgb="FFFFFFFF"/>
        <rFont val="Times New Roman"/>
        <family val="1"/>
        <charset val="1"/>
      </rPr>
      <t>)</t>
    </r>
  </si>
  <si>
    <t>관리유형</t>
  </si>
  <si>
    <t>기본 마일스톤 배정</t>
  </si>
  <si>
    <r>
      <rPr>
        <b/>
        <sz val="10"/>
        <color rgb="FFFFFFFF"/>
        <rFont val="Times New Roman"/>
        <family val="1"/>
        <charset val="1"/>
      </rPr>
      <t>CAM(</t>
    </r>
    <r>
      <rPr>
        <b/>
        <sz val="10"/>
        <color rgb="FFFFFFFF"/>
        <rFont val="Noto Sans CJK SC"/>
        <family val="2"/>
      </rPr>
      <t>담당자</t>
    </r>
    <r>
      <rPr>
        <b/>
        <sz val="10"/>
        <color rgb="FFFFFFFF"/>
        <rFont val="Times New Roman"/>
        <family val="1"/>
        <charset val="1"/>
      </rPr>
      <t>)</t>
    </r>
  </si>
  <si>
    <r>
      <rPr>
        <b/>
        <sz val="10"/>
        <color rgb="FFFFFFFF"/>
        <rFont val="Times New Roman"/>
        <family val="1"/>
        <charset val="1"/>
      </rPr>
      <t xml:space="preserve">BAC </t>
    </r>
    <r>
      <rPr>
        <b/>
        <sz val="10"/>
        <color rgb="FFFFFFFF"/>
        <rFont val="Noto Sans CJK SC"/>
        <family val="2"/>
      </rPr>
      <t>배분비중</t>
    </r>
    <r>
      <rPr>
        <b/>
        <sz val="10"/>
        <color rgb="FFFFFFFF"/>
        <rFont val="Times New Roman"/>
        <family val="1"/>
        <charset val="1"/>
      </rPr>
      <t>(%)</t>
    </r>
  </si>
  <si>
    <t>소속 WP 개수</t>
  </si>
  <si>
    <r>
      <rPr>
        <b/>
        <sz val="10"/>
        <color rgb="FFFFFFFF"/>
        <rFont val="Times New Roman"/>
        <family val="1"/>
        <charset val="1"/>
      </rPr>
      <t xml:space="preserve">CA </t>
    </r>
    <r>
      <rPr>
        <b/>
        <sz val="10"/>
        <color rgb="FFFFFFFF"/>
        <rFont val="Noto Sans CJK SC"/>
        <family val="2"/>
      </rPr>
      <t>평가점수</t>
    </r>
    <r>
      <rPr>
        <b/>
        <sz val="10"/>
        <color rgb="FFFFFFFF"/>
        <rFont val="Times New Roman"/>
        <family val="1"/>
        <charset val="1"/>
      </rPr>
      <t>(100</t>
    </r>
    <r>
      <rPr>
        <b/>
        <sz val="10"/>
        <color rgb="FFFFFFFF"/>
        <rFont val="Noto Sans CJK SC"/>
        <family val="2"/>
      </rPr>
      <t>점</t>
    </r>
    <r>
      <rPr>
        <b/>
        <sz val="10"/>
        <color rgb="FFFFFFFF"/>
        <rFont val="Times New Roman"/>
        <family val="1"/>
        <charset val="1"/>
      </rPr>
      <t>,</t>
    </r>
    <r>
      <rPr>
        <b/>
        <sz val="10"/>
        <color rgb="FFFFFFFF"/>
        <rFont val="Noto Sans CJK SC"/>
        <family val="2"/>
      </rPr>
      <t>자동</t>
    </r>
    <r>
      <rPr>
        <b/>
        <sz val="10"/>
        <color rgb="FFFFFFFF"/>
        <rFont val="Times New Roman"/>
        <family val="1"/>
        <charset val="1"/>
      </rPr>
      <t>)</t>
    </r>
  </si>
  <si>
    <t>ACQ.4</t>
  </si>
  <si>
    <t>협약/공급자 모니터링</t>
  </si>
  <si>
    <t>혼합</t>
  </si>
  <si>
    <t>조달</t>
  </si>
  <si>
    <t>M-Car~P1</t>
  </si>
  <si>
    <t>외주용역(개발/검증시험) 계약이 있는 경우 사용. 외주 비중이 클수록 조달 CA 비중도 커짐(가정 시트 시나리오 참조)</t>
  </si>
  <si>
    <t>SPL.2</t>
  </si>
  <si>
    <t>제품 릴리스 관리</t>
  </si>
  <si>
    <t>Discrete</t>
  </si>
  <si>
    <t>릴리스</t>
  </si>
  <si>
    <t>릴리즈이력 별도관리</t>
  </si>
  <si>
    <t>설계문서 8장의 '고객 합의 SW 배포' 마일스톤과 직결되는 CA. 원본 워크북 릴리즈이력 시트로 별도 상세관리</t>
  </si>
  <si>
    <t>MAN.3</t>
  </si>
  <si>
    <t>프로젝트 관리</t>
  </si>
  <si>
    <t>혼합(LOE 위주)</t>
  </si>
  <si>
    <t>관리/LOE</t>
  </si>
  <si>
    <r>
      <rPr>
        <sz val="10"/>
        <rFont val="Times New Roman"/>
        <family val="1"/>
        <charset val="1"/>
      </rPr>
      <t>BP10(</t>
    </r>
    <r>
      <rPr>
        <sz val="10"/>
        <rFont val="Noto Sans CJK SC"/>
        <family val="2"/>
      </rPr>
      <t>진척현황보고서</t>
    </r>
    <r>
      <rPr>
        <sz val="10"/>
        <rFont val="Times New Roman"/>
        <family val="1"/>
        <charset val="1"/>
      </rPr>
      <t>)</t>
    </r>
    <r>
      <rPr>
        <sz val="10"/>
        <rFont val="Noto Sans CJK SC"/>
        <family val="2"/>
      </rPr>
      <t xml:space="preserve">만 </t>
    </r>
    <r>
      <rPr>
        <sz val="10"/>
        <rFont val="Times New Roman"/>
        <family val="1"/>
        <charset val="1"/>
      </rPr>
      <t xml:space="preserve">LOE </t>
    </r>
    <r>
      <rPr>
        <sz val="10"/>
        <rFont val="Noto Sans CJK SC"/>
        <family val="2"/>
      </rPr>
      <t>제안</t>
    </r>
    <r>
      <rPr>
        <sz val="10"/>
        <rFont val="Times New Roman"/>
        <family val="1"/>
        <charset val="1"/>
      </rPr>
      <t xml:space="preserve">, </t>
    </r>
    <r>
      <rPr>
        <sz val="10"/>
        <rFont val="Noto Sans CJK SC"/>
        <family val="2"/>
      </rPr>
      <t xml:space="preserve">나머지는 </t>
    </r>
    <r>
      <rPr>
        <sz val="10"/>
        <rFont val="Times New Roman"/>
        <family val="1"/>
        <charset val="1"/>
      </rPr>
      <t>1</t>
    </r>
    <r>
      <rPr>
        <sz val="10"/>
        <rFont val="Noto Sans CJK SC"/>
        <family val="2"/>
      </rPr>
      <t xml:space="preserve">회성 계획서로 </t>
    </r>
    <r>
      <rPr>
        <sz val="10"/>
        <rFont val="Times New Roman"/>
        <family val="1"/>
        <charset val="1"/>
      </rPr>
      <t xml:space="preserve">Discrete </t>
    </r>
    <r>
      <rPr>
        <sz val="10"/>
        <rFont val="Noto Sans CJK SC"/>
        <family val="2"/>
      </rPr>
      <t>제안</t>
    </r>
  </si>
  <si>
    <t>SUP.1</t>
  </si>
  <si>
    <t>품질보증(QA)</t>
  </si>
  <si>
    <t>정기 QA활동은 LOE, 감사보고서 발행 등 이벤트는 Discrete로 WP_상세에서 구분</t>
  </si>
  <si>
    <t>SUP.8</t>
  </si>
  <si>
    <t>형상관리(CM)</t>
  </si>
  <si>
    <t>일상 형상통제는 LOE, 베이스라인 수립 등 이벤트는 Discrete로 WP_상세에서 구분</t>
  </si>
  <si>
    <t>SUP.9</t>
  </si>
  <si>
    <t>문제해결관리</t>
  </si>
  <si>
    <r>
      <rPr>
        <sz val="10"/>
        <rFont val="Times New Roman"/>
        <family val="1"/>
        <charset val="1"/>
      </rPr>
      <t xml:space="preserve">LOE </t>
    </r>
    <r>
      <rPr>
        <sz val="10"/>
        <rFont val="Noto Sans CJK SC"/>
        <family val="2"/>
      </rPr>
      <t>위주</t>
    </r>
  </si>
  <si>
    <r>
      <rPr>
        <sz val="10"/>
        <rFont val="Times New Roman"/>
        <family val="1"/>
        <charset val="1"/>
      </rPr>
      <t>Proto~P1(</t>
    </r>
    <r>
      <rPr>
        <sz val="10"/>
        <rFont val="Noto Sans CJK SC"/>
        <family val="2"/>
      </rPr>
      <t>반복</t>
    </r>
    <r>
      <rPr>
        <sz val="10"/>
        <rFont val="Times New Roman"/>
        <family val="1"/>
        <charset val="1"/>
      </rPr>
      <t>:M-Car,Proto,P1)</t>
    </r>
  </si>
  <si>
    <t>이슈 특성상 대부분 LOE 제안. 반복평가(M-Car/Proto/P1) 마일스톤 스냅샷은 원본 워크북 참조</t>
  </si>
  <si>
    <t>SUP.10</t>
  </si>
  <si>
    <t>변경요청관리</t>
  </si>
  <si>
    <t>Proto~P1</t>
  </si>
  <si>
    <t>일상 변경요청 처리는 LOE, 추적성매트릭스 등은 Discrete로 WP_상세에서 구분</t>
  </si>
  <si>
    <t>SUP.11</t>
  </si>
  <si>
    <r>
      <rPr>
        <sz val="10"/>
        <rFont val="Times New Roman"/>
        <family val="1"/>
        <charset val="1"/>
      </rPr>
      <t xml:space="preserve">ML </t>
    </r>
    <r>
      <rPr>
        <sz val="10"/>
        <rFont val="Noto Sans CJK SC"/>
        <family val="2"/>
      </rPr>
      <t>데이터관리</t>
    </r>
    <r>
      <rPr>
        <sz val="10"/>
        <rFont val="Times New Roman"/>
        <family val="1"/>
        <charset val="1"/>
      </rPr>
      <t>(ASW</t>
    </r>
    <r>
      <rPr>
        <sz val="10"/>
        <rFont val="Noto Sans CJK SC"/>
        <family val="2"/>
      </rPr>
      <t>에 포함</t>
    </r>
    <r>
      <rPr>
        <sz val="10"/>
        <rFont val="Times New Roman"/>
        <family val="1"/>
        <charset val="1"/>
      </rPr>
      <t>)</t>
    </r>
  </si>
  <si>
    <t>ASW</t>
  </si>
  <si>
    <r>
      <rPr>
        <sz val="10"/>
        <rFont val="Times New Roman"/>
        <family val="1"/>
        <charset val="1"/>
      </rPr>
      <t>ML</t>
    </r>
    <r>
      <rPr>
        <sz val="10"/>
        <rFont val="Noto Sans CJK SC"/>
        <family val="2"/>
      </rPr>
      <t xml:space="preserve">을 별도 관리하지 않고 </t>
    </r>
    <r>
      <rPr>
        <sz val="10"/>
        <rFont val="Times New Roman"/>
        <family val="1"/>
        <charset val="1"/>
      </rPr>
      <t>ASW</t>
    </r>
    <r>
      <rPr>
        <sz val="10"/>
        <rFont val="Noto Sans CJK SC"/>
        <family val="2"/>
      </rPr>
      <t>의 일부로 취급</t>
    </r>
    <r>
      <rPr>
        <sz val="10"/>
        <rFont val="Times New Roman"/>
        <family val="1"/>
        <charset val="1"/>
      </rPr>
      <t>(</t>
    </r>
    <r>
      <rPr>
        <sz val="10"/>
        <rFont val="Noto Sans CJK SC"/>
        <family val="2"/>
      </rPr>
      <t>가정</t>
    </r>
    <r>
      <rPr>
        <sz val="10"/>
        <rFont val="Times New Roman"/>
        <family val="1"/>
        <charset val="1"/>
      </rPr>
      <t>)</t>
    </r>
    <r>
      <rPr>
        <sz val="10"/>
        <rFont val="Noto Sans CJK SC"/>
        <family val="2"/>
      </rPr>
      <t>하되</t>
    </r>
    <r>
      <rPr>
        <sz val="10"/>
        <rFont val="Times New Roman"/>
        <family val="1"/>
        <charset val="1"/>
      </rPr>
      <t xml:space="preserve">, </t>
    </r>
    <r>
      <rPr>
        <sz val="10"/>
        <rFont val="Noto Sans CJK SC"/>
        <family val="2"/>
      </rPr>
      <t xml:space="preserve">원본 워크북 </t>
    </r>
    <r>
      <rPr>
        <sz val="10"/>
        <rFont val="Times New Roman"/>
        <family val="1"/>
        <charset val="1"/>
      </rPr>
      <t xml:space="preserve">BP </t>
    </r>
    <r>
      <rPr>
        <sz val="10"/>
        <rFont val="Noto Sans CJK SC"/>
        <family val="2"/>
      </rPr>
      <t xml:space="preserve">구조를 유지하기 위해 </t>
    </r>
    <r>
      <rPr>
        <sz val="10"/>
        <rFont val="Times New Roman"/>
        <family val="1"/>
        <charset val="1"/>
      </rPr>
      <t>CA</t>
    </r>
    <r>
      <rPr>
        <sz val="10"/>
        <rFont val="Noto Sans CJK SC"/>
        <family val="2"/>
      </rPr>
      <t>는 별도로 남김</t>
    </r>
  </si>
  <si>
    <t>SYS.2</t>
  </si>
  <si>
    <t>시스템 요구사항분석</t>
  </si>
  <si>
    <t>시스템</t>
  </si>
  <si>
    <t>M-Car</t>
  </si>
  <si>
    <t>SYS.3</t>
  </si>
  <si>
    <t>시스템 아키텍처설계</t>
  </si>
  <si>
    <t>SYS.4</t>
  </si>
  <si>
    <t>시스템 통합/통합검증</t>
  </si>
  <si>
    <t>SYS.5</t>
  </si>
  <si>
    <t>시스템 검증</t>
  </si>
  <si>
    <t>P1~P2</t>
  </si>
  <si>
    <t>SWE.1</t>
  </si>
  <si>
    <r>
      <rPr>
        <sz val="10"/>
        <rFont val="Times New Roman"/>
        <family val="1"/>
        <charset val="1"/>
      </rPr>
      <t xml:space="preserve">SW </t>
    </r>
    <r>
      <rPr>
        <sz val="10"/>
        <rFont val="Noto Sans CJK SC"/>
        <family val="2"/>
      </rPr>
      <t>요구사항분석</t>
    </r>
  </si>
  <si>
    <t>공통(SW설계)</t>
  </si>
  <si>
    <t>SWE.2</t>
  </si>
  <si>
    <r>
      <rPr>
        <sz val="10"/>
        <rFont val="Times New Roman"/>
        <family val="1"/>
        <charset val="1"/>
      </rPr>
      <t xml:space="preserve">SW </t>
    </r>
    <r>
      <rPr>
        <sz val="10"/>
        <rFont val="Noto Sans CJK SC"/>
        <family val="2"/>
      </rPr>
      <t>아키텍처설계</t>
    </r>
  </si>
  <si>
    <t>SWE.3-ASW</t>
  </si>
  <si>
    <r>
      <rPr>
        <sz val="10"/>
        <rFont val="Times New Roman"/>
        <family val="1"/>
        <charset val="1"/>
      </rPr>
      <t xml:space="preserve">SW </t>
    </r>
    <r>
      <rPr>
        <sz val="10"/>
        <rFont val="Noto Sans CJK SC"/>
        <family val="2"/>
      </rPr>
      <t>상세설계</t>
    </r>
    <r>
      <rPr>
        <sz val="10"/>
        <rFont val="Times New Roman"/>
        <family val="1"/>
        <charset val="1"/>
      </rPr>
      <t>/</t>
    </r>
    <r>
      <rPr>
        <sz val="10"/>
        <rFont val="Noto Sans CJK SC"/>
        <family val="2"/>
      </rPr>
      <t>단위구현</t>
    </r>
    <r>
      <rPr>
        <sz val="10"/>
        <rFont val="Times New Roman"/>
        <family val="1"/>
        <charset val="1"/>
      </rPr>
      <t>(ASW)</t>
    </r>
  </si>
  <si>
    <t>Proto</t>
  </si>
  <si>
    <t>원본 워크북은 계층 구분이 없어 SWE.3 BP를 그대로 복제. 자가평가 시 ASW분과 BSW분을 각자 채점 필요</t>
  </si>
  <si>
    <t>SWE.3-BSW</t>
  </si>
  <si>
    <r>
      <rPr>
        <sz val="10"/>
        <rFont val="Times New Roman"/>
        <family val="1"/>
        <charset val="1"/>
      </rPr>
      <t xml:space="preserve">SW </t>
    </r>
    <r>
      <rPr>
        <sz val="10"/>
        <rFont val="Noto Sans CJK SC"/>
        <family val="2"/>
      </rPr>
      <t>상세설계</t>
    </r>
    <r>
      <rPr>
        <sz val="10"/>
        <rFont val="Times New Roman"/>
        <family val="1"/>
        <charset val="1"/>
      </rPr>
      <t>/</t>
    </r>
    <r>
      <rPr>
        <sz val="10"/>
        <rFont val="Noto Sans CJK SC"/>
        <family val="2"/>
      </rPr>
      <t>단위구현</t>
    </r>
    <r>
      <rPr>
        <sz val="10"/>
        <rFont val="Times New Roman"/>
        <family val="1"/>
        <charset val="1"/>
      </rPr>
      <t>(BSW)</t>
    </r>
  </si>
  <si>
    <t>BSW</t>
  </si>
  <si>
    <t>외주 또는 AUTOSAR 구매 시 이 CA가 조달(ACQ.4)과 함께 커짐. 원본 워크북은 계층 구분이 없어 SWE.3 BP를 그대로 복제</t>
  </si>
  <si>
    <t>SWE.4-ASW</t>
  </si>
  <si>
    <r>
      <rPr>
        <sz val="10"/>
        <rFont val="Times New Roman"/>
        <family val="1"/>
        <charset val="1"/>
      </rPr>
      <t xml:space="preserve">SW </t>
    </r>
    <r>
      <rPr>
        <sz val="10"/>
        <rFont val="Noto Sans CJK SC"/>
        <family val="2"/>
      </rPr>
      <t>단위검증</t>
    </r>
    <r>
      <rPr>
        <sz val="10"/>
        <rFont val="Times New Roman"/>
        <family val="1"/>
        <charset val="1"/>
      </rPr>
      <t>(ASW)</t>
    </r>
  </si>
  <si>
    <t>원본 워크북은 계층 구분이 없어 SWE.4 BP를 그대로 복제. 자가평가 시 ASW분과 BSW분을 각자 채점 필요</t>
  </si>
  <si>
    <t>SWE.4-BSW</t>
  </si>
  <si>
    <r>
      <rPr>
        <sz val="10"/>
        <rFont val="Times New Roman"/>
        <family val="1"/>
        <charset val="1"/>
      </rPr>
      <t xml:space="preserve">SW </t>
    </r>
    <r>
      <rPr>
        <sz val="10"/>
        <rFont val="Noto Sans CJK SC"/>
        <family val="2"/>
      </rPr>
      <t>단위검증</t>
    </r>
    <r>
      <rPr>
        <sz val="10"/>
        <rFont val="Times New Roman"/>
        <family val="1"/>
        <charset val="1"/>
      </rPr>
      <t>(BSW)</t>
    </r>
  </si>
  <si>
    <t>외주 또는 AUTOSAR 구매 시 이 CA가 조달(ACQ.4)과 함께 커짐. 원본 워크북은 계층 구분이 없어 SWE.4 BP를 그대로 복제</t>
  </si>
  <si>
    <t>SWE.5</t>
  </si>
  <si>
    <r>
      <rPr>
        <sz val="10"/>
        <rFont val="Times New Roman"/>
        <family val="1"/>
        <charset val="1"/>
      </rPr>
      <t xml:space="preserve">SW </t>
    </r>
    <r>
      <rPr>
        <sz val="10"/>
        <rFont val="Noto Sans CJK SC"/>
        <family val="2"/>
      </rPr>
      <t>통합</t>
    </r>
    <r>
      <rPr>
        <sz val="10"/>
        <rFont val="Times New Roman"/>
        <family val="1"/>
        <charset val="1"/>
      </rPr>
      <t>/</t>
    </r>
    <r>
      <rPr>
        <sz val="10"/>
        <rFont val="Noto Sans CJK SC"/>
        <family val="2"/>
      </rPr>
      <t>통합검증</t>
    </r>
  </si>
  <si>
    <t>통합</t>
  </si>
  <si>
    <t>SWE.6</t>
  </si>
  <si>
    <r>
      <rPr>
        <sz val="10"/>
        <rFont val="Times New Roman"/>
        <family val="1"/>
        <charset val="1"/>
      </rPr>
      <t xml:space="preserve">SW </t>
    </r>
    <r>
      <rPr>
        <sz val="10"/>
        <rFont val="Noto Sans CJK SC"/>
        <family val="2"/>
      </rPr>
      <t>검증</t>
    </r>
  </si>
  <si>
    <t>검증</t>
  </si>
  <si>
    <t>VAL.1</t>
  </si>
  <si>
    <t>제품확인(Validation)</t>
  </si>
  <si>
    <t>P2</t>
  </si>
  <si>
    <t>MLE.1</t>
  </si>
  <si>
    <r>
      <rPr>
        <sz val="10"/>
        <rFont val="Times New Roman"/>
        <family val="1"/>
        <charset val="1"/>
      </rPr>
      <t xml:space="preserve">ML </t>
    </r>
    <r>
      <rPr>
        <sz val="10"/>
        <rFont val="Noto Sans CJK SC"/>
        <family val="2"/>
      </rPr>
      <t>요구사항분석</t>
    </r>
    <r>
      <rPr>
        <sz val="10"/>
        <rFont val="Times New Roman"/>
        <family val="1"/>
        <charset val="1"/>
      </rPr>
      <t>(ASW</t>
    </r>
    <r>
      <rPr>
        <sz val="10"/>
        <rFont val="Noto Sans CJK SC"/>
        <family val="2"/>
      </rPr>
      <t>에 포함</t>
    </r>
    <r>
      <rPr>
        <sz val="10"/>
        <rFont val="Times New Roman"/>
        <family val="1"/>
        <charset val="1"/>
      </rPr>
      <t>)</t>
    </r>
  </si>
  <si>
    <r>
      <rPr>
        <sz val="10"/>
        <rFont val="Times New Roman"/>
        <family val="1"/>
        <charset val="1"/>
      </rPr>
      <t>ML</t>
    </r>
    <r>
      <rPr>
        <sz val="10"/>
        <rFont val="Noto Sans CJK SC"/>
        <family val="2"/>
      </rPr>
      <t xml:space="preserve">을 별도 관리하지 않고 </t>
    </r>
    <r>
      <rPr>
        <sz val="10"/>
        <rFont val="Times New Roman"/>
        <family val="1"/>
        <charset val="1"/>
      </rPr>
      <t>ASW</t>
    </r>
    <r>
      <rPr>
        <sz val="10"/>
        <rFont val="Noto Sans CJK SC"/>
        <family val="2"/>
      </rPr>
      <t>의 일부로 취급</t>
    </r>
    <r>
      <rPr>
        <sz val="10"/>
        <rFont val="Times New Roman"/>
        <family val="1"/>
        <charset val="1"/>
      </rPr>
      <t>(</t>
    </r>
    <r>
      <rPr>
        <sz val="10"/>
        <rFont val="Noto Sans CJK SC"/>
        <family val="2"/>
      </rPr>
      <t>가정</t>
    </r>
    <r>
      <rPr>
        <sz val="10"/>
        <rFont val="Times New Roman"/>
        <family val="1"/>
        <charset val="1"/>
      </rPr>
      <t>)</t>
    </r>
  </si>
  <si>
    <t>MLE.2</t>
  </si>
  <si>
    <r>
      <rPr>
        <sz val="10"/>
        <rFont val="Times New Roman"/>
        <family val="1"/>
        <charset val="1"/>
      </rPr>
      <t xml:space="preserve">ML </t>
    </r>
    <r>
      <rPr>
        <sz val="10"/>
        <rFont val="Noto Sans CJK SC"/>
        <family val="2"/>
      </rPr>
      <t>아키텍처설계</t>
    </r>
    <r>
      <rPr>
        <sz val="10"/>
        <rFont val="Times New Roman"/>
        <family val="1"/>
        <charset val="1"/>
      </rPr>
      <t>(ASW</t>
    </r>
    <r>
      <rPr>
        <sz val="10"/>
        <rFont val="Noto Sans CJK SC"/>
        <family val="2"/>
      </rPr>
      <t>에 포함</t>
    </r>
    <r>
      <rPr>
        <sz val="10"/>
        <rFont val="Times New Roman"/>
        <family val="1"/>
        <charset val="1"/>
      </rPr>
      <t>)</t>
    </r>
  </si>
  <si>
    <t>MLE.3</t>
  </si>
  <si>
    <r>
      <rPr>
        <sz val="10"/>
        <rFont val="Times New Roman"/>
        <family val="1"/>
        <charset val="1"/>
      </rPr>
      <t xml:space="preserve">ML </t>
    </r>
    <r>
      <rPr>
        <sz val="10"/>
        <rFont val="Noto Sans CJK SC"/>
        <family val="2"/>
      </rPr>
      <t>훈련</t>
    </r>
    <r>
      <rPr>
        <sz val="10"/>
        <rFont val="Times New Roman"/>
        <family val="1"/>
        <charset val="1"/>
      </rPr>
      <t>/</t>
    </r>
    <r>
      <rPr>
        <sz val="10"/>
        <rFont val="Noto Sans CJK SC"/>
        <family val="2"/>
      </rPr>
      <t>검증</t>
    </r>
    <r>
      <rPr>
        <sz val="10"/>
        <rFont val="Times New Roman"/>
        <family val="1"/>
        <charset val="1"/>
      </rPr>
      <t>(ASW</t>
    </r>
    <r>
      <rPr>
        <sz val="10"/>
        <rFont val="Noto Sans CJK SC"/>
        <family val="2"/>
      </rPr>
      <t>에 포함</t>
    </r>
    <r>
      <rPr>
        <sz val="10"/>
        <rFont val="Times New Roman"/>
        <family val="1"/>
        <charset val="1"/>
      </rPr>
      <t>)</t>
    </r>
  </si>
  <si>
    <t>MLE.4</t>
  </si>
  <si>
    <r>
      <rPr>
        <sz val="10"/>
        <rFont val="Times New Roman"/>
        <family val="1"/>
        <charset val="1"/>
      </rPr>
      <t xml:space="preserve">ML </t>
    </r>
    <r>
      <rPr>
        <sz val="10"/>
        <rFont val="Noto Sans CJK SC"/>
        <family val="2"/>
      </rPr>
      <t>테스트</t>
    </r>
    <r>
      <rPr>
        <sz val="10"/>
        <rFont val="Times New Roman"/>
        <family val="1"/>
        <charset val="1"/>
      </rPr>
      <t>(ASW</t>
    </r>
    <r>
      <rPr>
        <sz val="10"/>
        <rFont val="Noto Sans CJK SC"/>
        <family val="2"/>
      </rPr>
      <t>에 포함</t>
    </r>
    <r>
      <rPr>
        <sz val="10"/>
        <rFont val="Times New Roman"/>
        <family val="1"/>
        <charset val="1"/>
      </rPr>
      <t>)</t>
    </r>
  </si>
  <si>
    <t>HWE.1</t>
  </si>
  <si>
    <r>
      <rPr>
        <sz val="10"/>
        <rFont val="Times New Roman"/>
        <family val="1"/>
        <charset val="1"/>
      </rPr>
      <t xml:space="preserve">HW </t>
    </r>
    <r>
      <rPr>
        <sz val="10"/>
        <rFont val="Noto Sans CJK SC"/>
        <family val="2"/>
      </rPr>
      <t>요구사항분석</t>
    </r>
  </si>
  <si>
    <t>HW</t>
  </si>
  <si>
    <r>
      <rPr>
        <sz val="10"/>
        <rFont val="Times New Roman"/>
        <family val="1"/>
        <charset val="1"/>
      </rPr>
      <t xml:space="preserve">A/B </t>
    </r>
    <r>
      <rPr>
        <sz val="10"/>
        <rFont val="Noto Sans CJK SC"/>
        <family val="2"/>
      </rPr>
      <t xml:space="preserve">샘플 개발 등 </t>
    </r>
    <r>
      <rPr>
        <sz val="10"/>
        <rFont val="Times New Roman"/>
        <family val="1"/>
        <charset val="1"/>
      </rPr>
      <t xml:space="preserve">HW </t>
    </r>
    <r>
      <rPr>
        <sz val="10"/>
        <rFont val="Noto Sans CJK SC"/>
        <family val="2"/>
      </rPr>
      <t>병행개발 존재를 가정하여 실질 비중 배정</t>
    </r>
  </si>
  <si>
    <t>HWE.2</t>
  </si>
  <si>
    <r>
      <rPr>
        <sz val="10"/>
        <rFont val="Times New Roman"/>
        <family val="1"/>
        <charset val="1"/>
      </rPr>
      <t xml:space="preserve">HW </t>
    </r>
    <r>
      <rPr>
        <sz val="10"/>
        <rFont val="Noto Sans CJK SC"/>
        <family val="2"/>
      </rPr>
      <t>아키텍처</t>
    </r>
    <r>
      <rPr>
        <sz val="10"/>
        <rFont val="Times New Roman"/>
        <family val="1"/>
        <charset val="1"/>
      </rPr>
      <t>/</t>
    </r>
    <r>
      <rPr>
        <sz val="10"/>
        <rFont val="Noto Sans CJK SC"/>
        <family val="2"/>
      </rPr>
      <t>상세설계</t>
    </r>
  </si>
  <si>
    <t>HWE.3</t>
  </si>
  <si>
    <r>
      <rPr>
        <sz val="10"/>
        <rFont val="Times New Roman"/>
        <family val="1"/>
        <charset val="1"/>
      </rPr>
      <t xml:space="preserve">HW </t>
    </r>
    <r>
      <rPr>
        <sz val="10"/>
        <rFont val="Noto Sans CJK SC"/>
        <family val="2"/>
      </rPr>
      <t>설계검증</t>
    </r>
  </si>
  <si>
    <t>HWE.4</t>
  </si>
  <si>
    <r>
      <rPr>
        <sz val="10"/>
        <rFont val="Times New Roman"/>
        <family val="1"/>
        <charset val="1"/>
      </rPr>
      <t xml:space="preserve">HW </t>
    </r>
    <r>
      <rPr>
        <sz val="10"/>
        <rFont val="Noto Sans CJK SC"/>
        <family val="2"/>
      </rPr>
      <t>요구사항검증</t>
    </r>
  </si>
  <si>
    <t>합계(=100 확인)</t>
  </si>
  <si>
    <t>Process(CA)</t>
  </si>
  <si>
    <r>
      <rPr>
        <b/>
        <sz val="10"/>
        <color rgb="FFFFFFFF"/>
        <rFont val="Times New Roman"/>
        <family val="1"/>
        <charset val="1"/>
      </rPr>
      <t>SW</t>
    </r>
    <r>
      <rPr>
        <b/>
        <sz val="10"/>
        <color rgb="FFFFFFFF"/>
        <rFont val="Noto Sans CJK SC"/>
        <family val="2"/>
      </rPr>
      <t>계층</t>
    </r>
  </si>
  <si>
    <t>BP#</t>
  </si>
  <si>
    <r>
      <rPr>
        <b/>
        <sz val="10"/>
        <color rgb="FFFFFFFF"/>
        <rFont val="Times New Roman"/>
        <family val="1"/>
        <charset val="1"/>
      </rPr>
      <t>WP</t>
    </r>
    <r>
      <rPr>
        <b/>
        <sz val="10"/>
        <color rgb="FFFFFFFF"/>
        <rFont val="Noto Sans CJK SC"/>
        <family val="2"/>
      </rPr>
      <t>명</t>
    </r>
    <r>
      <rPr>
        <b/>
        <sz val="10"/>
        <color rgb="FFFFFFFF"/>
        <rFont val="Times New Roman"/>
        <family val="1"/>
        <charset val="1"/>
      </rPr>
      <t>(</t>
    </r>
    <r>
      <rPr>
        <b/>
        <sz val="10"/>
        <color rgb="FFFFFFFF"/>
        <rFont val="Noto Sans CJK SC"/>
        <family val="2"/>
      </rPr>
      <t>산출물</t>
    </r>
    <r>
      <rPr>
        <b/>
        <sz val="10"/>
        <color rgb="FFFFFFFF"/>
        <rFont val="Times New Roman"/>
        <family val="1"/>
        <charset val="1"/>
      </rPr>
      <t>)</t>
    </r>
  </si>
  <si>
    <t>목표 마일스톤</t>
  </si>
  <si>
    <t>관리방식(확정)</t>
  </si>
  <si>
    <t>유지보수반영</t>
  </si>
  <si>
    <t>최초작성비중(%)</t>
  </si>
  <si>
    <t>채점기준 연계</t>
  </si>
  <si>
    <t>진도율(%)</t>
  </si>
  <si>
    <t>상태</t>
  </si>
  <si>
    <t>수기검토 비고</t>
  </si>
  <si>
    <t>근거자료</t>
  </si>
  <si>
    <r>
      <rPr>
        <sz val="9"/>
        <rFont val="Times New Roman"/>
        <family val="1"/>
        <charset val="1"/>
      </rPr>
      <t xml:space="preserve">Commitment/Agreement / </t>
    </r>
    <r>
      <rPr>
        <sz val="9"/>
        <rFont val="Noto Sans CJK SC"/>
        <family val="2"/>
      </rPr>
      <t>공급자 관리 합의서</t>
    </r>
    <r>
      <rPr>
        <sz val="9"/>
        <rFont val="Times New Roman"/>
        <family val="1"/>
        <charset val="1"/>
      </rPr>
      <t>/</t>
    </r>
    <r>
      <rPr>
        <sz val="9"/>
        <rFont val="Noto Sans CJK SC"/>
        <family val="2"/>
      </rPr>
      <t>협약서</t>
    </r>
  </si>
  <si>
    <t>N</t>
  </si>
  <si>
    <t>자가평가워크북 [M-Car] 시트 BP#1 동일</t>
  </si>
  <si>
    <t>완료</t>
  </si>
  <si>
    <r>
      <rPr>
        <sz val="9"/>
        <rFont val="Times New Roman"/>
        <family val="1"/>
        <charset val="1"/>
      </rPr>
      <t xml:space="preserve">Communication Evidence / </t>
    </r>
    <r>
      <rPr>
        <sz val="9"/>
        <rFont val="Noto Sans CJK SC"/>
        <family val="2"/>
      </rPr>
      <t>공급자 교신</t>
    </r>
    <r>
      <rPr>
        <sz val="9"/>
        <rFont val="Times New Roman"/>
        <family val="1"/>
        <charset val="1"/>
      </rPr>
      <t>/</t>
    </r>
    <r>
      <rPr>
        <sz val="9"/>
        <rFont val="Noto Sans CJK SC"/>
        <family val="2"/>
      </rPr>
      <t>커뮤니케이션 증적</t>
    </r>
  </si>
  <si>
    <t>자가평가워크북 [Proto] 시트 BP#2 동일</t>
  </si>
  <si>
    <r>
      <rPr>
        <sz val="9"/>
        <rFont val="Times New Roman"/>
        <family val="1"/>
        <charset val="1"/>
      </rPr>
      <t xml:space="preserve">Review Evidence / </t>
    </r>
    <r>
      <rPr>
        <sz val="9"/>
        <rFont val="Noto Sans CJK SC"/>
        <family val="2"/>
      </rPr>
      <t>개발 작업산출물 공동검토 기록</t>
    </r>
  </si>
  <si>
    <t>자가평가워크북 [Proto] 시트 BP#3 동일</t>
  </si>
  <si>
    <t>자동제안 Discrete → 수기검토 LOE</t>
  </si>
  <si>
    <r>
      <rPr>
        <sz val="9"/>
        <rFont val="Times New Roman"/>
        <family val="1"/>
        <charset val="1"/>
      </rPr>
      <t xml:space="preserve">Progress Status / </t>
    </r>
    <r>
      <rPr>
        <sz val="9"/>
        <rFont val="Noto Sans CJK SC"/>
        <family val="2"/>
      </rPr>
      <t>공급자 진척현황 보고서</t>
    </r>
  </si>
  <si>
    <t>자가평가워크북 [Proto] 시트 BP#4 동일</t>
  </si>
  <si>
    <r>
      <rPr>
        <sz val="9"/>
        <rFont val="Times New Roman"/>
        <family val="1"/>
        <charset val="1"/>
      </rPr>
      <t xml:space="preserve">Corrective Action / </t>
    </r>
    <r>
      <rPr>
        <sz val="9"/>
        <rFont val="Noto Sans CJK SC"/>
        <family val="2"/>
      </rPr>
      <t>시정조치 기록서</t>
    </r>
  </si>
  <si>
    <t>P1</t>
  </si>
  <si>
    <t>자가평가워크북 [P1] 시트 BP#5 동일</t>
  </si>
  <si>
    <t>검토중</t>
  </si>
  <si>
    <r>
      <rPr>
        <sz val="9"/>
        <rFont val="Times New Roman"/>
        <family val="1"/>
        <charset val="1"/>
      </rPr>
      <t xml:space="preserve">Product Release Criteria / </t>
    </r>
    <r>
      <rPr>
        <sz val="9"/>
        <rFont val="Noto Sans CJK SC"/>
        <family val="2"/>
      </rPr>
      <t>릴리스 기능내용</t>
    </r>
    <r>
      <rPr>
        <sz val="9"/>
        <rFont val="Times New Roman"/>
        <family val="1"/>
        <charset val="1"/>
      </rPr>
      <t>/</t>
    </r>
    <r>
      <rPr>
        <sz val="9"/>
        <rFont val="Noto Sans CJK SC"/>
        <family val="2"/>
      </rPr>
      <t>기준 정의서</t>
    </r>
  </si>
  <si>
    <t>릴리즈이력 참조</t>
  </si>
  <si>
    <t>자가평가워크북 [릴리즈이력 참조] 시트 BP#1 동일</t>
  </si>
  <si>
    <r>
      <rPr>
        <sz val="9"/>
        <rFont val="Times New Roman"/>
        <family val="1"/>
        <charset val="1"/>
      </rPr>
      <t xml:space="preserve">Product Release Criteria / </t>
    </r>
    <r>
      <rPr>
        <sz val="9"/>
        <rFont val="Noto Sans CJK SC"/>
        <family val="2"/>
      </rPr>
      <t>릴리스 패키지 정의서</t>
    </r>
  </si>
  <si>
    <t>자가평가워크북 [릴리즈이력 참조] 시트 BP#2 동일</t>
  </si>
  <si>
    <r>
      <rPr>
        <sz val="9"/>
        <rFont val="Times New Roman"/>
        <family val="1"/>
        <charset val="1"/>
      </rPr>
      <t xml:space="preserve">Release Note / </t>
    </r>
    <r>
      <rPr>
        <sz val="9"/>
        <rFont val="Noto Sans CJK SC"/>
        <family val="2"/>
      </rPr>
      <t>릴리스 고유식별</t>
    </r>
    <r>
      <rPr>
        <sz val="9"/>
        <rFont val="Times New Roman"/>
        <family val="1"/>
        <charset val="1"/>
      </rPr>
      <t>/</t>
    </r>
    <r>
      <rPr>
        <sz val="9"/>
        <rFont val="Noto Sans CJK SC"/>
        <family val="2"/>
      </rPr>
      <t>번호체계 문서</t>
    </r>
    <r>
      <rPr>
        <sz val="9"/>
        <rFont val="Times New Roman"/>
        <family val="1"/>
        <charset val="1"/>
      </rPr>
      <t>(</t>
    </r>
    <r>
      <rPr>
        <sz val="9"/>
        <rFont val="Noto Sans CJK SC"/>
        <family val="2"/>
      </rPr>
      <t>릴리스 노트 내 포함</t>
    </r>
    <r>
      <rPr>
        <sz val="9"/>
        <rFont val="Times New Roman"/>
        <family val="1"/>
        <charset val="1"/>
      </rPr>
      <t>)</t>
    </r>
  </si>
  <si>
    <t>자가평가워크북 [릴리즈이력 참조] 시트 BP#3 동일</t>
  </si>
  <si>
    <r>
      <rPr>
        <sz val="9"/>
        <rFont val="Times New Roman"/>
        <family val="1"/>
        <charset val="1"/>
      </rPr>
      <t xml:space="preserve">Product Release Package / </t>
    </r>
    <r>
      <rPr>
        <sz val="9"/>
        <rFont val="Noto Sans CJK SC"/>
        <family val="2"/>
      </rPr>
      <t>릴리스 패키지</t>
    </r>
    <r>
      <rPr>
        <sz val="9"/>
        <rFont val="Times New Roman"/>
        <family val="1"/>
        <charset val="1"/>
      </rPr>
      <t>(</t>
    </r>
    <r>
      <rPr>
        <sz val="9"/>
        <rFont val="Noto Sans CJK SC"/>
        <family val="2"/>
      </rPr>
      <t>형상통제 항목 기반 빌드</t>
    </r>
    <r>
      <rPr>
        <sz val="9"/>
        <rFont val="Times New Roman"/>
        <family val="1"/>
        <charset val="1"/>
      </rPr>
      <t>)</t>
    </r>
  </si>
  <si>
    <t>자가평가워크북 [릴리즈이력 참조] 시트 BP#4 동일</t>
  </si>
  <si>
    <r>
      <rPr>
        <sz val="9"/>
        <rFont val="Times New Roman"/>
        <family val="1"/>
        <charset val="1"/>
      </rPr>
      <t xml:space="preserve">Product Release Approval / </t>
    </r>
    <r>
      <rPr>
        <sz val="9"/>
        <rFont val="Noto Sans CJK SC"/>
        <family val="2"/>
      </rPr>
      <t>릴리스 승인서</t>
    </r>
  </si>
  <si>
    <t>자가평가워크북 [릴리즈이력 참조] 시트 BP#5 동일</t>
  </si>
  <si>
    <t>진행중</t>
  </si>
  <si>
    <r>
      <rPr>
        <sz val="9"/>
        <rFont val="Times New Roman"/>
        <family val="1"/>
        <charset val="1"/>
      </rPr>
      <t xml:space="preserve">Release Note / </t>
    </r>
    <r>
      <rPr>
        <sz val="9"/>
        <rFont val="Noto Sans CJK SC"/>
        <family val="2"/>
      </rPr>
      <t>릴리스 노트</t>
    </r>
  </si>
  <si>
    <t>자가평가워크북 [릴리즈이력 참조] 시트 BP#6 동일</t>
  </si>
  <si>
    <r>
      <rPr>
        <sz val="9"/>
        <rFont val="Times New Roman"/>
        <family val="1"/>
        <charset val="1"/>
      </rPr>
      <t xml:space="preserve">Release Note / </t>
    </r>
    <r>
      <rPr>
        <sz val="9"/>
        <rFont val="Noto Sans CJK SC"/>
        <family val="2"/>
      </rPr>
      <t>릴리스 지원유형</t>
    </r>
    <r>
      <rPr>
        <sz val="9"/>
        <rFont val="Times New Roman"/>
        <family val="1"/>
        <charset val="1"/>
      </rPr>
      <t>/</t>
    </r>
    <r>
      <rPr>
        <sz val="9"/>
        <rFont val="Noto Sans CJK SC"/>
        <family val="2"/>
      </rPr>
      <t>수준</t>
    </r>
    <r>
      <rPr>
        <sz val="9"/>
        <rFont val="Times New Roman"/>
        <family val="1"/>
        <charset val="1"/>
      </rPr>
      <t>/</t>
    </r>
    <r>
      <rPr>
        <sz val="9"/>
        <rFont val="Noto Sans CJK SC"/>
        <family val="2"/>
      </rPr>
      <t>기간 안내서</t>
    </r>
    <r>
      <rPr>
        <sz val="9"/>
        <rFont val="Times New Roman"/>
        <family val="1"/>
        <charset val="1"/>
      </rPr>
      <t>(</t>
    </r>
    <r>
      <rPr>
        <sz val="9"/>
        <rFont val="Noto Sans CJK SC"/>
        <family val="2"/>
      </rPr>
      <t>릴리스 노트 내 포함</t>
    </r>
    <r>
      <rPr>
        <sz val="9"/>
        <rFont val="Times New Roman"/>
        <family val="1"/>
        <charset val="1"/>
      </rPr>
      <t>)</t>
    </r>
  </si>
  <si>
    <t>자가평가워크북 [릴리즈이력 참조] 시트 BP#7 동일</t>
  </si>
  <si>
    <r>
      <rPr>
        <sz val="9"/>
        <rFont val="Times New Roman"/>
        <family val="1"/>
        <charset val="1"/>
      </rPr>
      <t xml:space="preserve">Delivery Evidence / </t>
    </r>
    <r>
      <rPr>
        <sz val="9"/>
        <rFont val="Noto Sans CJK SC"/>
        <family val="2"/>
      </rPr>
      <t>릴리스 패키지 인도</t>
    </r>
    <r>
      <rPr>
        <sz val="9"/>
        <rFont val="Times New Roman"/>
        <family val="1"/>
        <charset val="1"/>
      </rPr>
      <t>/</t>
    </r>
    <r>
      <rPr>
        <sz val="9"/>
        <rFont val="Noto Sans CJK SC"/>
        <family val="2"/>
      </rPr>
      <t>납품 증적</t>
    </r>
  </si>
  <si>
    <t>자가평가워크북 [릴리즈이력 참조] 시트 BP#8 동일</t>
  </si>
  <si>
    <r>
      <rPr>
        <sz val="9"/>
        <rFont val="Times New Roman"/>
        <family val="1"/>
        <charset val="1"/>
      </rPr>
      <t xml:space="preserve">Project Plan / </t>
    </r>
    <r>
      <rPr>
        <sz val="9"/>
        <rFont val="Noto Sans CJK SC"/>
        <family val="2"/>
      </rPr>
      <t>프로젝트 작업범위 정의서</t>
    </r>
    <r>
      <rPr>
        <sz val="9"/>
        <rFont val="Times New Roman"/>
        <family val="1"/>
        <charset val="1"/>
      </rPr>
      <t>(</t>
    </r>
    <r>
      <rPr>
        <sz val="9"/>
        <rFont val="Noto Sans CJK SC"/>
        <family val="2"/>
      </rPr>
      <t>프로젝트 계획서 내 포함</t>
    </r>
    <r>
      <rPr>
        <sz val="9"/>
        <rFont val="Times New Roman"/>
        <family val="1"/>
        <charset val="1"/>
      </rPr>
      <t>)</t>
    </r>
  </si>
  <si>
    <t>Y</t>
  </si>
  <si>
    <r>
      <rPr>
        <sz val="9"/>
        <rFont val="Times New Roman"/>
        <family val="1"/>
        <charset val="1"/>
      </rPr>
      <t xml:space="preserve">Project Plan / </t>
    </r>
    <r>
      <rPr>
        <sz val="9"/>
        <rFont val="Noto Sans CJK SC"/>
        <family val="2"/>
      </rPr>
      <t>프로젝트 생명주기 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</si>
  <si>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BP#2 동일</t>
  </si>
  <si>
    <r>
      <rPr>
        <sz val="9"/>
        <rFont val="Times New Roman"/>
        <family val="1"/>
        <charset val="1"/>
      </rPr>
      <t xml:space="preserve">Analysis Results / </t>
    </r>
    <r>
      <rPr>
        <sz val="9"/>
        <rFont val="Noto Sans CJK SC"/>
        <family val="2"/>
      </rPr>
      <t>프로젝트 실현가능성 분석서</t>
    </r>
  </si>
  <si>
    <t>자가평가워크북 [M-Car] 시트 BP#3 동일</t>
  </si>
  <si>
    <r>
      <rPr>
        <sz val="9"/>
        <rFont val="Times New Roman"/>
        <family val="1"/>
        <charset val="1"/>
      </rPr>
      <t xml:space="preserve">Project Plan / </t>
    </r>
    <r>
      <rPr>
        <sz val="9"/>
        <rFont val="Noto Sans CJK SC"/>
        <family val="2"/>
      </rPr>
      <t>작업패키지</t>
    </r>
    <r>
      <rPr>
        <sz val="9"/>
        <rFont val="Times New Roman"/>
        <family val="1"/>
        <charset val="1"/>
      </rPr>
      <t xml:space="preserve">/WBS </t>
    </r>
    <r>
      <rPr>
        <sz val="9"/>
        <rFont val="Noto Sans CJK SC"/>
        <family val="2"/>
      </rPr>
      <t>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</si>
  <si>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BP#4 동일</t>
  </si>
  <si>
    <r>
      <rPr>
        <sz val="9"/>
        <rFont val="Times New Roman"/>
        <family val="1"/>
        <charset val="1"/>
      </rPr>
      <t xml:space="preserve">Project Plan / </t>
    </r>
    <r>
      <rPr>
        <sz val="9"/>
        <rFont val="Noto Sans CJK SC"/>
        <family val="2"/>
      </rPr>
      <t>프로젝트 산정치 및 자원계획서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</si>
  <si>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BP#5 동일</t>
  </si>
  <si>
    <r>
      <rPr>
        <sz val="9"/>
        <rFont val="Times New Roman"/>
        <family val="1"/>
        <charset val="1"/>
      </rPr>
      <t xml:space="preserve">Project Plan / </t>
    </r>
    <r>
      <rPr>
        <sz val="9"/>
        <rFont val="Noto Sans CJK SC"/>
        <family val="2"/>
      </rPr>
      <t>필요 기술</t>
    </r>
    <r>
      <rPr>
        <sz val="9"/>
        <rFont val="Times New Roman"/>
        <family val="1"/>
        <charset val="1"/>
      </rPr>
      <t>/</t>
    </r>
    <r>
      <rPr>
        <sz val="9"/>
        <rFont val="Noto Sans CJK SC"/>
        <family val="2"/>
      </rPr>
      <t>지식</t>
    </r>
    <r>
      <rPr>
        <sz val="9"/>
        <rFont val="Times New Roman"/>
        <family val="1"/>
        <charset val="1"/>
      </rPr>
      <t>/</t>
    </r>
    <r>
      <rPr>
        <sz val="9"/>
        <rFont val="Noto Sans CJK SC"/>
        <family val="2"/>
      </rPr>
      <t>경험</t>
    </r>
    <r>
      <rPr>
        <sz val="9"/>
        <rFont val="Times New Roman"/>
        <family val="1"/>
        <charset val="1"/>
      </rPr>
      <t>(</t>
    </r>
    <r>
      <rPr>
        <sz val="9"/>
        <rFont val="Noto Sans CJK SC"/>
        <family val="2"/>
      </rPr>
      <t>역량</t>
    </r>
    <r>
      <rPr>
        <sz val="9"/>
        <rFont val="Times New Roman"/>
        <family val="1"/>
        <charset val="1"/>
      </rPr>
      <t xml:space="preserve">) </t>
    </r>
    <r>
      <rPr>
        <sz val="9"/>
        <rFont val="Noto Sans CJK SC"/>
        <family val="2"/>
      </rPr>
      <t>계획서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</si>
  <si>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BP#6 동일</t>
  </si>
  <si>
    <r>
      <rPr>
        <sz val="9"/>
        <rFont val="Times New Roman"/>
        <family val="1"/>
        <charset val="1"/>
      </rPr>
      <t xml:space="preserve">Project Plan / </t>
    </r>
    <r>
      <rPr>
        <sz val="9"/>
        <rFont val="Noto Sans CJK SC"/>
        <family val="2"/>
      </rPr>
      <t>프로젝트 인터페이스 및 합의된 약속사항 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</si>
  <si>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BP#7 동일</t>
  </si>
  <si>
    <r>
      <rPr>
        <sz val="9"/>
        <rFont val="Times New Roman"/>
        <family val="1"/>
        <charset val="1"/>
      </rPr>
      <t xml:space="preserve">Project Plan / </t>
    </r>
    <r>
      <rPr>
        <sz val="9"/>
        <rFont val="Noto Sans CJK SC"/>
        <family val="2"/>
      </rPr>
      <t>프로젝트 일정표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</si>
  <si>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BP#8 동일</t>
  </si>
  <si>
    <r>
      <rPr>
        <sz val="9"/>
        <rFont val="Times New Roman"/>
        <family val="1"/>
        <charset val="1"/>
      </rPr>
      <t xml:space="preserve">Consistency Evidence / </t>
    </r>
    <r>
      <rPr>
        <sz val="9"/>
        <rFont val="Noto Sans CJK SC"/>
        <family val="2"/>
      </rPr>
      <t>프로젝트 계획 일관성 검증 근거</t>
    </r>
  </si>
  <si>
    <t>자가평가워크북 [P1] 시트 BP#9 동일</t>
  </si>
  <si>
    <r>
      <rPr>
        <sz val="9"/>
        <rFont val="Times New Roman"/>
        <family val="1"/>
        <charset val="1"/>
      </rPr>
      <t xml:space="preserve">Progress Status / </t>
    </r>
    <r>
      <rPr>
        <sz val="9"/>
        <rFont val="Noto Sans CJK SC"/>
        <family val="2"/>
      </rPr>
      <t>프로젝트 진척현황 보고서</t>
    </r>
  </si>
  <si>
    <t>자가평가워크북 [P1] 시트 BP#10 동일</t>
  </si>
  <si>
    <r>
      <rPr>
        <sz val="9"/>
        <rFont val="Times New Roman"/>
        <family val="1"/>
        <charset val="1"/>
      </rPr>
      <t xml:space="preserve">Quality Assurance Plan / </t>
    </r>
    <r>
      <rPr>
        <sz val="9"/>
        <rFont val="Noto Sans CJK SC"/>
        <family val="2"/>
      </rPr>
      <t>품질보증 독립성 명시 문서</t>
    </r>
    <r>
      <rPr>
        <sz val="9"/>
        <rFont val="Times New Roman"/>
        <family val="1"/>
        <charset val="1"/>
      </rPr>
      <t>(</t>
    </r>
    <r>
      <rPr>
        <sz val="9"/>
        <rFont val="Noto Sans CJK SC"/>
        <family val="2"/>
      </rPr>
      <t>품질보증계획서 내 포함</t>
    </r>
    <r>
      <rPr>
        <sz val="9"/>
        <rFont val="Times New Roman"/>
        <family val="1"/>
        <charset val="1"/>
      </rPr>
      <t>)</t>
    </r>
  </si>
  <si>
    <r>
      <rPr>
        <sz val="9"/>
        <rFont val="Times New Roman"/>
        <family val="1"/>
        <charset val="1"/>
      </rPr>
      <t xml:space="preserve">Quality Assurance Plan / </t>
    </r>
    <r>
      <rPr>
        <sz val="9"/>
        <rFont val="Noto Sans CJK SC"/>
        <family val="2"/>
      </rPr>
      <t>품질보증 기준</t>
    </r>
    <r>
      <rPr>
        <sz val="9"/>
        <rFont val="Times New Roman"/>
        <family val="1"/>
        <charset val="1"/>
      </rPr>
      <t>/</t>
    </r>
    <r>
      <rPr>
        <sz val="9"/>
        <rFont val="Noto Sans CJK SC"/>
        <family val="2"/>
      </rPr>
      <t>체크리스트</t>
    </r>
    <r>
      <rPr>
        <sz val="9"/>
        <rFont val="Times New Roman"/>
        <family val="1"/>
        <charset val="1"/>
      </rPr>
      <t>(</t>
    </r>
    <r>
      <rPr>
        <sz val="9"/>
        <rFont val="Noto Sans CJK SC"/>
        <family val="2"/>
      </rPr>
      <t>품질보증계획서 내 포함</t>
    </r>
    <r>
      <rPr>
        <sz val="9"/>
        <rFont val="Times New Roman"/>
        <family val="1"/>
        <charset val="1"/>
      </rPr>
      <t>)</t>
    </r>
  </si>
  <si>
    <r>
      <rPr>
        <sz val="9"/>
        <rFont val="Times New Roman"/>
        <family val="1"/>
        <charset val="1"/>
      </rPr>
      <t xml:space="preserve">Review Evidence / </t>
    </r>
    <r>
      <rPr>
        <sz val="9"/>
        <rFont val="Noto Sans CJK SC"/>
        <family val="2"/>
      </rPr>
      <t>작업산출물 품질검토 기록</t>
    </r>
  </si>
  <si>
    <r>
      <rPr>
        <sz val="9"/>
        <rFont val="Times New Roman"/>
        <family val="1"/>
        <charset val="1"/>
      </rPr>
      <t xml:space="preserve">Audit Report / </t>
    </r>
    <r>
      <rPr>
        <sz val="9"/>
        <rFont val="Noto Sans CJK SC"/>
        <family val="2"/>
      </rPr>
      <t>프로세스 활동 품질감사 보고서</t>
    </r>
  </si>
  <si>
    <r>
      <rPr>
        <sz val="9"/>
        <rFont val="Times New Roman"/>
        <family val="1"/>
        <charset val="1"/>
      </rPr>
      <t xml:space="preserve">Communication Evidence / </t>
    </r>
    <r>
      <rPr>
        <sz val="9"/>
        <rFont val="Noto Sans CJK SC"/>
        <family val="2"/>
      </rPr>
      <t>품질보증 활동</t>
    </r>
    <r>
      <rPr>
        <sz val="9"/>
        <rFont val="Times New Roman"/>
        <family val="1"/>
        <charset val="1"/>
      </rPr>
      <t>/</t>
    </r>
    <r>
      <rPr>
        <sz val="9"/>
        <rFont val="Noto Sans CJK SC"/>
        <family val="2"/>
      </rPr>
      <t>결과 요약보고서</t>
    </r>
  </si>
  <si>
    <r>
      <rPr>
        <sz val="9"/>
        <rFont val="Times New Roman"/>
        <family val="1"/>
        <charset val="1"/>
      </rPr>
      <t xml:space="preserve">Corrective Action / </t>
    </r>
    <r>
      <rPr>
        <sz val="9"/>
        <rFont val="Noto Sans CJK SC"/>
        <family val="2"/>
      </rPr>
      <t>부적합사항 시정조치 기록</t>
    </r>
  </si>
  <si>
    <t>자가평가워크북 [P1] 시트 BP#6 동일</t>
  </si>
  <si>
    <r>
      <rPr>
        <sz val="9"/>
        <rFont val="Times New Roman"/>
        <family val="1"/>
        <charset val="1"/>
      </rPr>
      <t xml:space="preserve">Corrective Action / </t>
    </r>
    <r>
      <rPr>
        <sz val="9"/>
        <rFont val="Noto Sans CJK SC"/>
        <family val="2"/>
      </rPr>
      <t>부적합사항 에스컬레이션</t>
    </r>
    <r>
      <rPr>
        <sz val="9"/>
        <rFont val="Times New Roman"/>
        <family val="1"/>
        <charset val="1"/>
      </rPr>
      <t>(</t>
    </r>
    <r>
      <rPr>
        <sz val="9"/>
        <rFont val="Noto Sans CJK SC"/>
        <family val="2"/>
      </rPr>
      <t>상위보고</t>
    </r>
    <r>
      <rPr>
        <sz val="9"/>
        <rFont val="Times New Roman"/>
        <family val="1"/>
        <charset val="1"/>
      </rPr>
      <t xml:space="preserve">) </t>
    </r>
    <r>
      <rPr>
        <sz val="9"/>
        <rFont val="Noto Sans CJK SC"/>
        <family val="2"/>
      </rPr>
      <t>기록</t>
    </r>
  </si>
  <si>
    <t>자가평가워크북 [P1] 시트 BP#7 동일</t>
  </si>
  <si>
    <r>
      <rPr>
        <sz val="9"/>
        <rFont val="Times New Roman"/>
        <family val="1"/>
        <charset val="1"/>
      </rPr>
      <t xml:space="preserve">Configuration Item List / </t>
    </r>
    <r>
      <rPr>
        <sz val="9"/>
        <rFont val="Noto Sans CJK SC"/>
        <family val="2"/>
      </rPr>
      <t>형상항목 식별목록</t>
    </r>
  </si>
  <si>
    <r>
      <rPr>
        <sz val="9"/>
        <rFont val="Times New Roman"/>
        <family val="1"/>
        <charset val="1"/>
      </rPr>
      <t xml:space="preserve">Configuration Item List / </t>
    </r>
    <r>
      <rPr>
        <sz val="9"/>
        <rFont val="Noto Sans CJK SC"/>
        <family val="2"/>
      </rPr>
      <t>형상항목 속성정의서</t>
    </r>
  </si>
  <si>
    <r>
      <rPr>
        <sz val="9"/>
        <rFont val="Times New Roman"/>
        <family val="1"/>
        <charset val="1"/>
      </rPr>
      <t xml:space="preserve">Configuration Management Plan / </t>
    </r>
    <r>
      <rPr>
        <sz val="9"/>
        <rFont val="Noto Sans CJK SC"/>
        <family val="2"/>
      </rPr>
      <t>형상관리계획서</t>
    </r>
  </si>
  <si>
    <r>
      <rPr>
        <sz val="9"/>
        <rFont val="Times New Roman"/>
        <family val="1"/>
        <charset val="1"/>
      </rPr>
      <t xml:space="preserve">Change Request / </t>
    </r>
    <r>
      <rPr>
        <sz val="9"/>
        <rFont val="Noto Sans CJK SC"/>
        <family val="2"/>
      </rPr>
      <t>형상항목 변경통제 기록</t>
    </r>
  </si>
  <si>
    <r>
      <rPr>
        <sz val="9"/>
        <rFont val="Times New Roman"/>
        <family val="1"/>
        <charset val="1"/>
      </rPr>
      <t xml:space="preserve">Baseline / </t>
    </r>
    <r>
      <rPr>
        <sz val="9"/>
        <rFont val="Noto Sans CJK SC"/>
        <family val="2"/>
      </rPr>
      <t>베이스라인 기록서</t>
    </r>
  </si>
  <si>
    <t>자가평가워크북 [Proto] 시트 BP#5 동일</t>
  </si>
  <si>
    <r>
      <rPr>
        <sz val="9"/>
        <rFont val="Times New Roman"/>
        <family val="1"/>
        <charset val="1"/>
      </rPr>
      <t xml:space="preserve">Communication Evidence / </t>
    </r>
    <r>
      <rPr>
        <sz val="9"/>
        <rFont val="Noto Sans CJK SC"/>
        <family val="2"/>
      </rPr>
      <t>형상현황 요약</t>
    </r>
    <r>
      <rPr>
        <sz val="9"/>
        <rFont val="Times New Roman"/>
        <family val="1"/>
        <charset val="1"/>
      </rPr>
      <t>/</t>
    </r>
    <r>
      <rPr>
        <sz val="9"/>
        <rFont val="Noto Sans CJK SC"/>
        <family val="2"/>
      </rPr>
      <t>공유 보고서</t>
    </r>
  </si>
  <si>
    <r>
      <rPr>
        <sz val="9"/>
        <rFont val="Times New Roman"/>
        <family val="1"/>
        <charset val="1"/>
      </rPr>
      <t xml:space="preserve">Consistency Evidence / </t>
    </r>
    <r>
      <rPr>
        <sz val="9"/>
        <rFont val="Noto Sans CJK SC"/>
        <family val="2"/>
      </rPr>
      <t>형상항목 완전성</t>
    </r>
    <r>
      <rPr>
        <sz val="9"/>
        <rFont val="Times New Roman"/>
        <family val="1"/>
        <charset val="1"/>
      </rPr>
      <t>/</t>
    </r>
    <r>
      <rPr>
        <sz val="9"/>
        <rFont val="Noto Sans CJK SC"/>
        <family val="2"/>
      </rPr>
      <t>일관성 검증 기록</t>
    </r>
  </si>
  <si>
    <r>
      <rPr>
        <sz val="9"/>
        <rFont val="Times New Roman"/>
        <family val="1"/>
        <charset val="1"/>
      </rPr>
      <t xml:space="preserve">Verification Results / </t>
    </r>
    <r>
      <rPr>
        <sz val="9"/>
        <rFont val="Noto Sans CJK SC"/>
        <family val="2"/>
      </rPr>
      <t>백업 및 복구 메커니즘 가용성 검증 기록</t>
    </r>
  </si>
  <si>
    <t>자가평가워크북 [P1] 시트 BP#8 동일</t>
  </si>
  <si>
    <r>
      <rPr>
        <sz val="9"/>
        <rFont val="Times New Roman"/>
        <family val="1"/>
        <charset val="1"/>
      </rPr>
      <t xml:space="preserve">Problem Record / </t>
    </r>
    <r>
      <rPr>
        <sz val="9"/>
        <rFont val="Noto Sans CJK SC"/>
        <family val="2"/>
      </rPr>
      <t>문제 식별</t>
    </r>
    <r>
      <rPr>
        <sz val="9"/>
        <rFont val="Times New Roman"/>
        <family val="1"/>
        <charset val="1"/>
      </rPr>
      <t>/</t>
    </r>
    <r>
      <rPr>
        <sz val="9"/>
        <rFont val="Noto Sans CJK SC"/>
        <family val="2"/>
      </rPr>
      <t>기록서</t>
    </r>
  </si>
  <si>
    <t>자가평가워크북 [Proto] 시트 BP#1 동일</t>
  </si>
  <si>
    <r>
      <rPr>
        <sz val="9"/>
        <rFont val="Times New Roman"/>
        <family val="1"/>
        <charset val="1"/>
      </rPr>
      <t xml:space="preserve">Analysis Results / </t>
    </r>
    <r>
      <rPr>
        <sz val="9"/>
        <rFont val="Noto Sans CJK SC"/>
        <family val="2"/>
      </rPr>
      <t>문제 원인 및 영향 분석서</t>
    </r>
  </si>
  <si>
    <r>
      <rPr>
        <sz val="9"/>
        <rFont val="Times New Roman"/>
        <family val="1"/>
        <charset val="1"/>
      </rPr>
      <t xml:space="preserve">Corrective Action / </t>
    </r>
    <r>
      <rPr>
        <sz val="9"/>
        <rFont val="Noto Sans CJK SC"/>
        <family val="2"/>
      </rPr>
      <t>긴급 해결조치 승인기록</t>
    </r>
  </si>
  <si>
    <r>
      <rPr>
        <sz val="9"/>
        <rFont val="Times New Roman"/>
        <family val="1"/>
        <charset val="1"/>
      </rPr>
      <t xml:space="preserve">Communication Evidence / </t>
    </r>
    <r>
      <rPr>
        <sz val="9"/>
        <rFont val="Noto Sans CJK SC"/>
        <family val="2"/>
      </rPr>
      <t>경고 알림 통지서</t>
    </r>
  </si>
  <si>
    <r>
      <rPr>
        <sz val="9"/>
        <rFont val="Times New Roman"/>
        <family val="1"/>
        <charset val="1"/>
      </rPr>
      <t xml:space="preserve">Corrective Action / </t>
    </r>
    <r>
      <rPr>
        <sz val="9"/>
        <rFont val="Noto Sans CJK SC"/>
        <family val="2"/>
      </rPr>
      <t>문제해결 개시 기록</t>
    </r>
  </si>
  <si>
    <r>
      <rPr>
        <sz val="9"/>
        <rFont val="Times New Roman"/>
        <family val="1"/>
        <charset val="1"/>
      </rPr>
      <t xml:space="preserve">Problem Record / </t>
    </r>
    <r>
      <rPr>
        <sz val="9"/>
        <rFont val="Noto Sans CJK SC"/>
        <family val="2"/>
      </rPr>
      <t>문제 종결추적 기록서</t>
    </r>
  </si>
  <si>
    <r>
      <rPr>
        <sz val="9"/>
        <rFont val="Times New Roman"/>
        <family val="1"/>
        <charset val="1"/>
      </rPr>
      <t xml:space="preserve">Communication Evidence / </t>
    </r>
    <r>
      <rPr>
        <sz val="9"/>
        <rFont val="Noto Sans CJK SC"/>
        <family val="2"/>
      </rPr>
      <t>문제해결 활동 상태보고서</t>
    </r>
  </si>
  <si>
    <r>
      <rPr>
        <sz val="9"/>
        <rFont val="Times New Roman"/>
        <family val="1"/>
        <charset val="1"/>
      </rPr>
      <t xml:space="preserve">Change Request / </t>
    </r>
    <r>
      <rPr>
        <sz val="9"/>
        <rFont val="Noto Sans CJK SC"/>
        <family val="2"/>
      </rPr>
      <t>변경요청 식별</t>
    </r>
    <r>
      <rPr>
        <sz val="9"/>
        <rFont val="Times New Roman"/>
        <family val="1"/>
        <charset val="1"/>
      </rPr>
      <t>/</t>
    </r>
    <r>
      <rPr>
        <sz val="9"/>
        <rFont val="Noto Sans CJK SC"/>
        <family val="2"/>
      </rPr>
      <t>기록서</t>
    </r>
  </si>
  <si>
    <r>
      <rPr>
        <sz val="9"/>
        <rFont val="Times New Roman"/>
        <family val="1"/>
        <charset val="1"/>
      </rPr>
      <t xml:space="preserve">Analysis Results / </t>
    </r>
    <r>
      <rPr>
        <sz val="9"/>
        <rFont val="Noto Sans CJK SC"/>
        <family val="2"/>
      </rPr>
      <t>변경요청 분석</t>
    </r>
    <r>
      <rPr>
        <sz val="9"/>
        <rFont val="Times New Roman"/>
        <family val="1"/>
        <charset val="1"/>
      </rPr>
      <t>/</t>
    </r>
    <r>
      <rPr>
        <sz val="9"/>
        <rFont val="Noto Sans CJK SC"/>
        <family val="2"/>
      </rPr>
      <t>평가서</t>
    </r>
  </si>
  <si>
    <r>
      <rPr>
        <sz val="9"/>
        <rFont val="Times New Roman"/>
        <family val="1"/>
        <charset val="1"/>
      </rPr>
      <t xml:space="preserve">Change Request / </t>
    </r>
    <r>
      <rPr>
        <sz val="9"/>
        <rFont val="Noto Sans CJK SC"/>
        <family val="2"/>
      </rPr>
      <t>변경요청 구현 전 승인기록</t>
    </r>
  </si>
  <si>
    <r>
      <rPr>
        <sz val="9"/>
        <rFont val="Times New Roman"/>
        <family val="1"/>
        <charset val="1"/>
      </rPr>
      <t xml:space="preserve">Consistency Evidence / </t>
    </r>
    <r>
      <rPr>
        <sz val="9"/>
        <rFont val="Noto Sans CJK SC"/>
        <family val="2"/>
      </rPr>
      <t>변경요청 양방향 추적성 매트릭스</t>
    </r>
  </si>
  <si>
    <t>자가평가워크북 [P1] 시트 BP#4 동일</t>
  </si>
  <si>
    <r>
      <rPr>
        <sz val="9"/>
        <rFont val="Times New Roman"/>
        <family val="1"/>
        <charset val="1"/>
      </rPr>
      <t xml:space="preserve">Verification Results / </t>
    </r>
    <r>
      <rPr>
        <sz val="9"/>
        <rFont val="Noto Sans CJK SC"/>
        <family val="2"/>
      </rPr>
      <t>변경요청 구현 확인기록</t>
    </r>
  </si>
  <si>
    <r>
      <rPr>
        <sz val="9"/>
        <rFont val="Times New Roman"/>
        <family val="1"/>
        <charset val="1"/>
      </rPr>
      <t xml:space="preserve">Change Request / </t>
    </r>
    <r>
      <rPr>
        <sz val="9"/>
        <rFont val="Noto Sans CJK SC"/>
        <family val="2"/>
      </rPr>
      <t>변경요청 종결추적</t>
    </r>
    <r>
      <rPr>
        <sz val="9"/>
        <rFont val="Times New Roman"/>
        <family val="1"/>
        <charset val="1"/>
      </rPr>
      <t>/</t>
    </r>
    <r>
      <rPr>
        <sz val="9"/>
        <rFont val="Noto Sans CJK SC"/>
        <family val="2"/>
      </rPr>
      <t>현황 보고서</t>
    </r>
  </si>
  <si>
    <r>
      <rPr>
        <sz val="9"/>
        <rFont val="Times New Roman"/>
        <family val="1"/>
        <charset val="1"/>
      </rPr>
      <t xml:space="preserve">ML </t>
    </r>
    <r>
      <rPr>
        <sz val="9"/>
        <rFont val="Noto Sans CJK SC"/>
        <family val="2"/>
      </rPr>
      <t>데이터관리</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</si>
  <si>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Data Management Plan / ML </t>
    </r>
    <r>
      <rPr>
        <sz val="9"/>
        <rFont val="Noto Sans CJK SC"/>
        <family val="2"/>
      </rPr>
      <t>데이터 관리체계 정의서</t>
    </r>
  </si>
  <si>
    <r>
      <rPr>
        <sz val="9"/>
        <rFont val="Times New Roman"/>
        <family val="1"/>
        <charset val="1"/>
      </rPr>
      <t xml:space="preserve">ML Data Quality Plan / ML </t>
    </r>
    <r>
      <rPr>
        <sz val="9"/>
        <rFont val="Noto Sans CJK SC"/>
        <family val="2"/>
      </rPr>
      <t>데이터 품질 접근방식</t>
    </r>
    <r>
      <rPr>
        <sz val="9"/>
        <rFont val="Times New Roman"/>
        <family val="1"/>
        <charset val="1"/>
      </rPr>
      <t>/</t>
    </r>
    <r>
      <rPr>
        <sz val="9"/>
        <rFont val="Noto Sans CJK SC"/>
        <family val="2"/>
      </rPr>
      <t>기준서</t>
    </r>
  </si>
  <si>
    <r>
      <rPr>
        <sz val="9"/>
        <rFont val="Times New Roman"/>
        <family val="1"/>
        <charset val="1"/>
      </rPr>
      <t xml:space="preserve">ML Data Set / ML </t>
    </r>
    <r>
      <rPr>
        <sz val="9"/>
        <rFont val="Noto Sans CJK SC"/>
        <family val="2"/>
      </rPr>
      <t>원시 데이터 수집셋</t>
    </r>
  </si>
  <si>
    <r>
      <rPr>
        <sz val="9"/>
        <rFont val="Times New Roman"/>
        <family val="1"/>
        <charset val="1"/>
      </rPr>
      <t xml:space="preserve">ML Data Set / ML </t>
    </r>
    <r>
      <rPr>
        <sz val="9"/>
        <rFont val="Noto Sans CJK SC"/>
        <family val="2"/>
      </rPr>
      <t>가공</t>
    </r>
    <r>
      <rPr>
        <sz val="9"/>
        <rFont val="Times New Roman"/>
        <family val="1"/>
        <charset val="1"/>
      </rPr>
      <t>(</t>
    </r>
    <r>
      <rPr>
        <sz val="9"/>
        <rFont val="Noto Sans CJK SC"/>
        <family val="2"/>
      </rPr>
      <t>처리</t>
    </r>
    <r>
      <rPr>
        <sz val="9"/>
        <rFont val="Times New Roman"/>
        <family val="1"/>
        <charset val="1"/>
      </rPr>
      <t xml:space="preserve">) </t>
    </r>
    <r>
      <rPr>
        <sz val="9"/>
        <rFont val="Noto Sans CJK SC"/>
        <family val="2"/>
      </rPr>
      <t>데이터셋</t>
    </r>
  </si>
  <si>
    <r>
      <rPr>
        <sz val="9"/>
        <rFont val="Times New Roman"/>
        <family val="1"/>
        <charset val="1"/>
      </rPr>
      <t xml:space="preserve">Verification Results / ML </t>
    </r>
    <r>
      <rPr>
        <sz val="9"/>
        <rFont val="Noto Sans CJK SC"/>
        <family val="2"/>
      </rPr>
      <t>데이터 품질보증 기록</t>
    </r>
  </si>
  <si>
    <r>
      <rPr>
        <sz val="9"/>
        <rFont val="Times New Roman"/>
        <family val="1"/>
        <charset val="1"/>
      </rPr>
      <t xml:space="preserve">Communication Evidence / </t>
    </r>
    <r>
      <rPr>
        <sz val="9"/>
        <rFont val="Noto Sans CJK SC"/>
        <family val="2"/>
      </rPr>
      <t xml:space="preserve">합의된 처리완료 </t>
    </r>
    <r>
      <rPr>
        <sz val="9"/>
        <rFont val="Times New Roman"/>
        <family val="1"/>
        <charset val="1"/>
      </rPr>
      <t xml:space="preserve">ML </t>
    </r>
    <r>
      <rPr>
        <sz val="9"/>
        <rFont val="Noto Sans CJK SC"/>
        <family val="2"/>
      </rPr>
      <t>데이터 공유기록</t>
    </r>
  </si>
  <si>
    <r>
      <rPr>
        <sz val="9"/>
        <rFont val="Times New Roman"/>
        <family val="1"/>
        <charset val="1"/>
      </rPr>
      <t xml:space="preserve">Requirement / </t>
    </r>
    <r>
      <rPr>
        <sz val="9"/>
        <rFont val="Noto Sans CJK SC"/>
        <family val="2"/>
      </rPr>
      <t>시스템 요구사항 명세서</t>
    </r>
  </si>
  <si>
    <r>
      <rPr>
        <sz val="9"/>
        <rFont val="Times New Roman"/>
        <family val="1"/>
        <charset val="1"/>
      </rPr>
      <t xml:space="preserve">Requirement Attribute / </t>
    </r>
    <r>
      <rPr>
        <sz val="9"/>
        <rFont val="Noto Sans CJK SC"/>
        <family val="2"/>
      </rPr>
      <t>시스템 요구사항 구조화</t>
    </r>
    <r>
      <rPr>
        <sz val="9"/>
        <rFont val="Times New Roman"/>
        <family val="1"/>
        <charset val="1"/>
      </rPr>
      <t>/</t>
    </r>
    <r>
      <rPr>
        <sz val="9"/>
        <rFont val="Noto Sans CJK SC"/>
        <family val="2"/>
      </rPr>
      <t>우선순위 문서</t>
    </r>
  </si>
  <si>
    <r>
      <rPr>
        <sz val="9"/>
        <rFont val="Times New Roman"/>
        <family val="1"/>
        <charset val="1"/>
      </rPr>
      <t xml:space="preserve">Analysis Results / </t>
    </r>
    <r>
      <rPr>
        <sz val="9"/>
        <rFont val="Noto Sans CJK SC"/>
        <family val="2"/>
      </rPr>
      <t>시스템 요구사항 분석서</t>
    </r>
  </si>
  <si>
    <r>
      <rPr>
        <sz val="9"/>
        <rFont val="Times New Roman"/>
        <family val="1"/>
        <charset val="1"/>
      </rPr>
      <t xml:space="preserve">Analysis Results / </t>
    </r>
    <r>
      <rPr>
        <sz val="9"/>
        <rFont val="Noto Sans CJK SC"/>
        <family val="2"/>
      </rPr>
      <t>시스템 컨텍스트 영향분석서</t>
    </r>
  </si>
  <si>
    <r>
      <rPr>
        <sz val="9"/>
        <rFont val="Times New Roman"/>
        <family val="1"/>
        <charset val="1"/>
      </rPr>
      <t xml:space="preserve">Consistency Evidence / </t>
    </r>
    <r>
      <rPr>
        <sz val="9"/>
        <rFont val="Noto Sans CJK SC"/>
        <family val="2"/>
      </rPr>
      <t>시스템요구사항</t>
    </r>
    <r>
      <rPr>
        <sz val="9"/>
        <rFont val="Times New Roman"/>
        <family val="1"/>
        <charset val="1"/>
      </rPr>
      <t>-</t>
    </r>
    <r>
      <rPr>
        <sz val="9"/>
        <rFont val="Noto Sans CJK SC"/>
        <family val="2"/>
      </rPr>
      <t>이해관계자요구사항 추적성 매트릭스</t>
    </r>
  </si>
  <si>
    <r>
      <rPr>
        <sz val="9"/>
        <rFont val="Times New Roman"/>
        <family val="1"/>
        <charset val="1"/>
      </rPr>
      <t xml:space="preserve">Communication Evidence / </t>
    </r>
    <r>
      <rPr>
        <sz val="9"/>
        <rFont val="Noto Sans CJK SC"/>
        <family val="2"/>
      </rPr>
      <t>합의된 시스템 요구사항 공유기록</t>
    </r>
  </si>
  <si>
    <r>
      <rPr>
        <sz val="9"/>
        <rFont val="Times New Roman"/>
        <family val="1"/>
        <charset val="1"/>
      </rPr>
      <t xml:space="preserve">System Architecture / </t>
    </r>
    <r>
      <rPr>
        <sz val="9"/>
        <rFont val="Noto Sans CJK SC"/>
        <family val="2"/>
      </rPr>
      <t>시스템 아키텍처 정적측면 설계서</t>
    </r>
  </si>
  <si>
    <r>
      <rPr>
        <sz val="9"/>
        <rFont val="Times New Roman"/>
        <family val="1"/>
        <charset val="1"/>
      </rPr>
      <t xml:space="preserve">System Architecture / </t>
    </r>
    <r>
      <rPr>
        <sz val="9"/>
        <rFont val="Noto Sans CJK SC"/>
        <family val="2"/>
      </rPr>
      <t>시스템 아키텍처 동적측면 설계서</t>
    </r>
  </si>
  <si>
    <r>
      <rPr>
        <sz val="9"/>
        <rFont val="Times New Roman"/>
        <family val="1"/>
        <charset val="1"/>
      </rPr>
      <t xml:space="preserve">Analysis Results / </t>
    </r>
    <r>
      <rPr>
        <sz val="9"/>
        <rFont val="Noto Sans CJK SC"/>
        <family val="2"/>
      </rPr>
      <t>시스템 아키텍처 분석서</t>
    </r>
    <r>
      <rPr>
        <sz val="9"/>
        <rFont val="Times New Roman"/>
        <family val="1"/>
        <charset val="1"/>
      </rPr>
      <t>(</t>
    </r>
    <r>
      <rPr>
        <sz val="9"/>
        <rFont val="Noto Sans CJK SC"/>
        <family val="2"/>
      </rPr>
      <t>특별특성 포함</t>
    </r>
    <r>
      <rPr>
        <sz val="9"/>
        <rFont val="Times New Roman"/>
        <family val="1"/>
        <charset val="1"/>
      </rPr>
      <t>)</t>
    </r>
  </si>
  <si>
    <r>
      <rPr>
        <sz val="9"/>
        <rFont val="Times New Roman"/>
        <family val="1"/>
        <charset val="1"/>
      </rPr>
      <t xml:space="preserve">Consistency Evidence / </t>
    </r>
    <r>
      <rPr>
        <sz val="9"/>
        <rFont val="Noto Sans CJK SC"/>
        <family val="2"/>
      </rPr>
      <t>시스템아키텍처</t>
    </r>
    <r>
      <rPr>
        <sz val="9"/>
        <rFont val="Times New Roman"/>
        <family val="1"/>
        <charset val="1"/>
      </rPr>
      <t>-</t>
    </r>
    <r>
      <rPr>
        <sz val="9"/>
        <rFont val="Noto Sans CJK SC"/>
        <family val="2"/>
      </rPr>
      <t>시스템요구사항 추적성 매트릭스</t>
    </r>
  </si>
  <si>
    <r>
      <rPr>
        <sz val="9"/>
        <rFont val="Times New Roman"/>
        <family val="1"/>
        <charset val="1"/>
      </rPr>
      <t xml:space="preserve">Communication Evidence / </t>
    </r>
    <r>
      <rPr>
        <sz val="9"/>
        <rFont val="Noto Sans CJK SC"/>
        <family val="2"/>
      </rPr>
      <t>합의된 시스템 아키텍처 공유기록</t>
    </r>
  </si>
  <si>
    <r>
      <rPr>
        <sz val="9"/>
        <rFont val="Times New Roman"/>
        <family val="1"/>
        <charset val="1"/>
      </rPr>
      <t xml:space="preserve">Verification Measure / </t>
    </r>
    <r>
      <rPr>
        <sz val="9"/>
        <rFont val="Noto Sans CJK SC"/>
        <family val="2"/>
      </rPr>
      <t>시스템 통합검증 방안서</t>
    </r>
  </si>
  <si>
    <r>
      <rPr>
        <sz val="9"/>
        <rFont val="Times New Roman"/>
        <family val="1"/>
        <charset val="1"/>
      </rPr>
      <t xml:space="preserve">Verification Measure Selection Set / </t>
    </r>
    <r>
      <rPr>
        <sz val="9"/>
        <rFont val="Noto Sans CJK SC"/>
        <family val="2"/>
      </rPr>
      <t>통합검증 방안 선정목록</t>
    </r>
  </si>
  <si>
    <r>
      <rPr>
        <sz val="9"/>
        <rFont val="Times New Roman"/>
        <family val="1"/>
        <charset val="1"/>
      </rPr>
      <t xml:space="preserve">Verification Results / </t>
    </r>
    <r>
      <rPr>
        <sz val="9"/>
        <rFont val="Noto Sans CJK SC"/>
        <family val="2"/>
      </rPr>
      <t>시스템 통합</t>
    </r>
    <r>
      <rPr>
        <sz val="9"/>
        <rFont val="Times New Roman"/>
        <family val="1"/>
        <charset val="1"/>
      </rPr>
      <t>/</t>
    </r>
    <r>
      <rPr>
        <sz val="9"/>
        <rFont val="Noto Sans CJK SC"/>
        <family val="2"/>
      </rPr>
      <t>통합검증 결과서</t>
    </r>
  </si>
  <si>
    <t>자가평가워크북 [P1] 시트 BP#3 동일</t>
  </si>
  <si>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시스템아키텍처</t>
    </r>
    <r>
      <rPr>
        <sz val="9"/>
        <rFont val="Times New Roman"/>
        <family val="1"/>
        <charset val="1"/>
      </rPr>
      <t>/</t>
    </r>
    <r>
      <rPr>
        <sz val="9"/>
        <rFont val="Noto Sans CJK SC"/>
        <family val="2"/>
      </rPr>
      <t>검증결과 추적성 매트릭스</t>
    </r>
  </si>
  <si>
    <r>
      <rPr>
        <sz val="9"/>
        <rFont val="Times New Roman"/>
        <family val="1"/>
        <charset val="1"/>
      </rPr>
      <t xml:space="preserve">Communication Evidence / </t>
    </r>
    <r>
      <rPr>
        <sz val="9"/>
        <rFont val="Noto Sans CJK SC"/>
        <family val="2"/>
      </rPr>
      <t>시스템 통합검증 결과 요약보고서</t>
    </r>
  </si>
  <si>
    <r>
      <rPr>
        <sz val="9"/>
        <rFont val="Times New Roman"/>
        <family val="1"/>
        <charset val="1"/>
      </rPr>
      <t xml:space="preserve">Verification Measure / </t>
    </r>
    <r>
      <rPr>
        <sz val="9"/>
        <rFont val="Noto Sans CJK SC"/>
        <family val="2"/>
      </rPr>
      <t>시스템 검증방안서</t>
    </r>
  </si>
  <si>
    <t>자가평가워크북 [P1] 시트 BP#1 동일</t>
  </si>
  <si>
    <r>
      <rPr>
        <sz val="9"/>
        <rFont val="Times New Roman"/>
        <family val="1"/>
        <charset val="1"/>
      </rPr>
      <t xml:space="preserve">Verification Measure Selection Set / </t>
    </r>
    <r>
      <rPr>
        <sz val="9"/>
        <rFont val="Noto Sans CJK SC"/>
        <family val="2"/>
      </rPr>
      <t>시스템검증 방안 선정목록</t>
    </r>
  </si>
  <si>
    <t>자가평가워크북 [P1] 시트 BP#2 동일</t>
  </si>
  <si>
    <r>
      <rPr>
        <sz val="9"/>
        <rFont val="Times New Roman"/>
        <family val="1"/>
        <charset val="1"/>
      </rPr>
      <t xml:space="preserve">Verification Results / </t>
    </r>
    <r>
      <rPr>
        <sz val="9"/>
        <rFont val="Noto Sans CJK SC"/>
        <family val="2"/>
      </rPr>
      <t>시스템 검증결과서</t>
    </r>
  </si>
  <si>
    <t>자가평가워크북 [P2] 시트 BP#3 동일</t>
  </si>
  <si>
    <t>미착수</t>
  </si>
  <si>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시스템요구사항</t>
    </r>
    <r>
      <rPr>
        <sz val="9"/>
        <rFont val="Times New Roman"/>
        <family val="1"/>
        <charset val="1"/>
      </rPr>
      <t>/</t>
    </r>
    <r>
      <rPr>
        <sz val="9"/>
        <rFont val="Noto Sans CJK SC"/>
        <family val="2"/>
      </rPr>
      <t>검증결과 추적성 매트릭스</t>
    </r>
  </si>
  <si>
    <t>자가평가워크북 [P2] 시트 BP#4 동일</t>
  </si>
  <si>
    <r>
      <rPr>
        <sz val="9"/>
        <rFont val="Times New Roman"/>
        <family val="1"/>
        <charset val="1"/>
      </rPr>
      <t xml:space="preserve">Communication Evidence / </t>
    </r>
    <r>
      <rPr>
        <sz val="9"/>
        <rFont val="Noto Sans CJK SC"/>
        <family val="2"/>
      </rPr>
      <t>시스템 검증결과 요약보고서</t>
    </r>
  </si>
  <si>
    <t>자가평가워크북 [P2] 시트 BP#5 동일</t>
  </si>
  <si>
    <r>
      <rPr>
        <sz val="9"/>
        <rFont val="Times New Roman"/>
        <family val="1"/>
        <charset val="1"/>
      </rPr>
      <t xml:space="preserve">SW </t>
    </r>
    <r>
      <rPr>
        <sz val="9"/>
        <rFont val="Noto Sans CJK SC"/>
        <family val="2"/>
      </rPr>
      <t>요구사항분석</t>
    </r>
  </si>
  <si>
    <r>
      <rPr>
        <sz val="9"/>
        <rFont val="Times New Roman"/>
        <family val="1"/>
        <charset val="1"/>
      </rPr>
      <t xml:space="preserve">Requirement / </t>
    </r>
    <r>
      <rPr>
        <sz val="9"/>
        <rFont val="Noto Sans CJK SC"/>
        <family val="2"/>
      </rPr>
      <t>소프트웨어 요구사항 명세서</t>
    </r>
  </si>
  <si>
    <r>
      <rPr>
        <sz val="9"/>
        <rFont val="Times New Roman"/>
        <family val="1"/>
        <charset val="1"/>
      </rPr>
      <t xml:space="preserve">Requirement Attribute / </t>
    </r>
    <r>
      <rPr>
        <sz val="9"/>
        <rFont val="Noto Sans CJK SC"/>
        <family val="2"/>
      </rPr>
      <t>소프트웨어 요구사항 구조화</t>
    </r>
    <r>
      <rPr>
        <sz val="9"/>
        <rFont val="Times New Roman"/>
        <family val="1"/>
        <charset val="1"/>
      </rPr>
      <t>/</t>
    </r>
    <r>
      <rPr>
        <sz val="9"/>
        <rFont val="Noto Sans CJK SC"/>
        <family val="2"/>
      </rPr>
      <t>우선순위 문서</t>
    </r>
  </si>
  <si>
    <r>
      <rPr>
        <sz val="9"/>
        <rFont val="Times New Roman"/>
        <family val="1"/>
        <charset val="1"/>
      </rPr>
      <t xml:space="preserve">Analysis Results / </t>
    </r>
    <r>
      <rPr>
        <sz val="9"/>
        <rFont val="Noto Sans CJK SC"/>
        <family val="2"/>
      </rPr>
      <t>소프트웨어 요구사항 분석서</t>
    </r>
  </si>
  <si>
    <r>
      <rPr>
        <sz val="9"/>
        <rFont val="Times New Roman"/>
        <family val="1"/>
        <charset val="1"/>
      </rPr>
      <t xml:space="preserve">Analysis Results / </t>
    </r>
    <r>
      <rPr>
        <sz val="9"/>
        <rFont val="Noto Sans CJK SC"/>
        <family val="2"/>
      </rPr>
      <t>운영환경 영향분석서</t>
    </r>
  </si>
  <si>
    <r>
      <rPr>
        <sz val="9"/>
        <rFont val="Times New Roman"/>
        <family val="1"/>
        <charset val="1"/>
      </rPr>
      <t>Consistency Evidence / SW</t>
    </r>
    <r>
      <rPr>
        <sz val="9"/>
        <rFont val="Noto Sans CJK SC"/>
        <family val="2"/>
      </rPr>
      <t>요구사항</t>
    </r>
    <r>
      <rPr>
        <sz val="9"/>
        <rFont val="Times New Roman"/>
        <family val="1"/>
        <charset val="1"/>
      </rPr>
      <t>-</t>
    </r>
    <r>
      <rPr>
        <sz val="9"/>
        <rFont val="Noto Sans CJK SC"/>
        <family val="2"/>
      </rPr>
      <t>시스템요구사항</t>
    </r>
    <r>
      <rPr>
        <sz val="9"/>
        <rFont val="Times New Roman"/>
        <family val="1"/>
        <charset val="1"/>
      </rPr>
      <t>/</t>
    </r>
    <r>
      <rPr>
        <sz val="9"/>
        <rFont val="Noto Sans CJK SC"/>
        <family val="2"/>
      </rPr>
      <t>아키텍처 추적성 매트릭스</t>
    </r>
  </si>
  <si>
    <r>
      <rPr>
        <sz val="9"/>
        <rFont val="Times New Roman"/>
        <family val="1"/>
        <charset val="1"/>
      </rPr>
      <t xml:space="preserve">Communication Evidence / </t>
    </r>
    <r>
      <rPr>
        <sz val="9"/>
        <rFont val="Noto Sans CJK SC"/>
        <family val="2"/>
      </rPr>
      <t>합의된 소프트웨어 요구사항 공유기록</t>
    </r>
  </si>
  <si>
    <r>
      <rPr>
        <sz val="9"/>
        <rFont val="Times New Roman"/>
        <family val="1"/>
        <charset val="1"/>
      </rPr>
      <t xml:space="preserve">SW </t>
    </r>
    <r>
      <rPr>
        <sz val="9"/>
        <rFont val="Noto Sans CJK SC"/>
        <family val="2"/>
      </rPr>
      <t>아키텍처설계</t>
    </r>
  </si>
  <si>
    <r>
      <rPr>
        <sz val="9"/>
        <rFont val="Times New Roman"/>
        <family val="1"/>
        <charset val="1"/>
      </rPr>
      <t xml:space="preserve">Software Architecture / </t>
    </r>
    <r>
      <rPr>
        <sz val="9"/>
        <rFont val="Noto Sans CJK SC"/>
        <family val="2"/>
      </rPr>
      <t>소프트웨어 아키텍처 정적측면 설계서</t>
    </r>
  </si>
  <si>
    <r>
      <rPr>
        <sz val="9"/>
        <rFont val="Times New Roman"/>
        <family val="1"/>
        <charset val="1"/>
      </rPr>
      <t xml:space="preserve">Software Architecture / </t>
    </r>
    <r>
      <rPr>
        <sz val="9"/>
        <rFont val="Noto Sans CJK SC"/>
        <family val="2"/>
      </rPr>
      <t>소프트웨어 아키텍처 동적측면 설계서</t>
    </r>
  </si>
  <si>
    <r>
      <rPr>
        <sz val="9"/>
        <rFont val="Times New Roman"/>
        <family val="1"/>
        <charset val="1"/>
      </rPr>
      <t xml:space="preserve">Analysis Results / </t>
    </r>
    <r>
      <rPr>
        <sz val="9"/>
        <rFont val="Noto Sans CJK SC"/>
        <family val="2"/>
      </rPr>
      <t>소프트웨어 아키텍처 분석서</t>
    </r>
  </si>
  <si>
    <r>
      <rPr>
        <sz val="9"/>
        <rFont val="Times New Roman"/>
        <family val="1"/>
        <charset val="1"/>
      </rPr>
      <t>Consistency Evidence / SW</t>
    </r>
    <r>
      <rPr>
        <sz val="9"/>
        <rFont val="Noto Sans CJK SC"/>
        <family val="2"/>
      </rPr>
      <t>아키텍처</t>
    </r>
    <r>
      <rPr>
        <sz val="9"/>
        <rFont val="Times New Roman"/>
        <family val="1"/>
        <charset val="1"/>
      </rPr>
      <t>-SW</t>
    </r>
    <r>
      <rPr>
        <sz val="9"/>
        <rFont val="Noto Sans CJK SC"/>
        <family val="2"/>
      </rPr>
      <t>요구사항 추적성 매트릭스</t>
    </r>
  </si>
  <si>
    <r>
      <rPr>
        <sz val="9"/>
        <rFont val="Times New Roman"/>
        <family val="1"/>
        <charset val="1"/>
      </rPr>
      <t xml:space="preserve">Communication Evidence / </t>
    </r>
    <r>
      <rPr>
        <sz val="9"/>
        <rFont val="Noto Sans CJK SC"/>
        <family val="2"/>
      </rPr>
      <t>합의된 소프트웨어 아키텍처 공유기록</t>
    </r>
  </si>
  <si>
    <r>
      <rPr>
        <sz val="9"/>
        <rFont val="Times New Roman"/>
        <family val="1"/>
        <charset val="1"/>
      </rPr>
      <t xml:space="preserve">SW </t>
    </r>
    <r>
      <rPr>
        <sz val="9"/>
        <rFont val="Noto Sans CJK SC"/>
        <family val="2"/>
      </rPr>
      <t>상세설계</t>
    </r>
    <r>
      <rPr>
        <sz val="9"/>
        <rFont val="Times New Roman"/>
        <family val="1"/>
        <charset val="1"/>
      </rPr>
      <t>/</t>
    </r>
    <r>
      <rPr>
        <sz val="9"/>
        <rFont val="Noto Sans CJK SC"/>
        <family val="2"/>
      </rPr>
      <t>단위구현</t>
    </r>
    <r>
      <rPr>
        <sz val="9"/>
        <rFont val="Times New Roman"/>
        <family val="1"/>
        <charset val="1"/>
      </rPr>
      <t>(ASW)</t>
    </r>
  </si>
  <si>
    <r>
      <rPr>
        <sz val="9"/>
        <rFont val="Times New Roman"/>
        <family val="1"/>
        <charset val="1"/>
      </rPr>
      <t xml:space="preserve">Software Detailed Design / </t>
    </r>
    <r>
      <rPr>
        <sz val="9"/>
        <rFont val="Noto Sans CJK SC"/>
        <family val="2"/>
      </rPr>
      <t>소프트웨어 상세설계서</t>
    </r>
    <r>
      <rPr>
        <sz val="9"/>
        <rFont val="Times New Roman"/>
        <family val="1"/>
        <charset val="1"/>
      </rPr>
      <t>(</t>
    </r>
    <r>
      <rPr>
        <sz val="9"/>
        <rFont val="Noto Sans CJK SC"/>
        <family val="2"/>
      </rPr>
      <t>정적측면</t>
    </r>
    <r>
      <rPr>
        <sz val="9"/>
        <rFont val="Times New Roman"/>
        <family val="1"/>
        <charset val="1"/>
      </rPr>
      <t>)</t>
    </r>
  </si>
  <si>
    <r>
      <rPr>
        <sz val="9"/>
        <rFont val="Times New Roman"/>
        <family val="1"/>
        <charset val="1"/>
      </rPr>
      <t xml:space="preserve">SW </t>
    </r>
    <r>
      <rPr>
        <sz val="9"/>
        <rFont val="Noto Sans CJK SC"/>
        <family val="2"/>
      </rPr>
      <t>상세설계</t>
    </r>
    <r>
      <rPr>
        <sz val="9"/>
        <rFont val="Times New Roman"/>
        <family val="1"/>
        <charset val="1"/>
      </rPr>
      <t>/</t>
    </r>
    <r>
      <rPr>
        <sz val="9"/>
        <rFont val="Noto Sans CJK SC"/>
        <family val="2"/>
      </rPr>
      <t>단위구현</t>
    </r>
    <r>
      <rPr>
        <sz val="9"/>
        <rFont val="Times New Roman"/>
        <family val="1"/>
        <charset val="1"/>
      </rPr>
      <t>(BSW)</t>
    </r>
  </si>
  <si>
    <r>
      <rPr>
        <sz val="9"/>
        <rFont val="Times New Roman"/>
        <family val="1"/>
        <charset val="1"/>
      </rPr>
      <t xml:space="preserve">Software Detailed Design / </t>
    </r>
    <r>
      <rPr>
        <sz val="9"/>
        <rFont val="Noto Sans CJK SC"/>
        <family val="2"/>
      </rPr>
      <t>소프트웨어 상세설계서</t>
    </r>
    <r>
      <rPr>
        <sz val="9"/>
        <rFont val="Times New Roman"/>
        <family val="1"/>
        <charset val="1"/>
      </rPr>
      <t>(</t>
    </r>
    <r>
      <rPr>
        <sz val="9"/>
        <rFont val="Noto Sans CJK SC"/>
        <family val="2"/>
      </rPr>
      <t>동적측면</t>
    </r>
    <r>
      <rPr>
        <sz val="9"/>
        <rFont val="Times New Roman"/>
        <family val="1"/>
        <charset val="1"/>
      </rPr>
      <t>)</t>
    </r>
  </si>
  <si>
    <r>
      <rPr>
        <sz val="9"/>
        <rFont val="Times New Roman"/>
        <family val="1"/>
        <charset val="1"/>
      </rPr>
      <t xml:space="preserve">Software Unit / </t>
    </r>
    <r>
      <rPr>
        <sz val="9"/>
        <rFont val="Noto Sans CJK SC"/>
        <family val="2"/>
      </rPr>
      <t>소프트웨어 단위</t>
    </r>
    <r>
      <rPr>
        <sz val="9"/>
        <rFont val="Times New Roman"/>
        <family val="1"/>
        <charset val="1"/>
      </rPr>
      <t>(</t>
    </r>
    <r>
      <rPr>
        <sz val="9"/>
        <rFont val="Noto Sans CJK SC"/>
        <family val="2"/>
      </rPr>
      <t>소스코드</t>
    </r>
    <r>
      <rPr>
        <sz val="9"/>
        <rFont val="Times New Roman"/>
        <family val="1"/>
        <charset val="1"/>
      </rPr>
      <t>)</t>
    </r>
  </si>
  <si>
    <r>
      <rPr>
        <sz val="9"/>
        <rFont val="Times New Roman"/>
        <family val="1"/>
        <charset val="1"/>
      </rPr>
      <t xml:space="preserve">Consistency Evidence / </t>
    </r>
    <r>
      <rPr>
        <sz val="9"/>
        <rFont val="Noto Sans CJK SC"/>
        <family val="2"/>
      </rPr>
      <t>상세설계</t>
    </r>
    <r>
      <rPr>
        <sz val="9"/>
        <rFont val="Times New Roman"/>
        <family val="1"/>
        <charset val="1"/>
      </rPr>
      <t>-</t>
    </r>
    <r>
      <rPr>
        <sz val="9"/>
        <rFont val="Noto Sans CJK SC"/>
        <family val="2"/>
      </rPr>
      <t>아키텍처</t>
    </r>
    <r>
      <rPr>
        <sz val="9"/>
        <rFont val="Times New Roman"/>
        <family val="1"/>
        <charset val="1"/>
      </rPr>
      <t>/</t>
    </r>
    <r>
      <rPr>
        <sz val="9"/>
        <rFont val="Noto Sans CJK SC"/>
        <family val="2"/>
      </rPr>
      <t>소스코드</t>
    </r>
    <r>
      <rPr>
        <sz val="9"/>
        <rFont val="Times New Roman"/>
        <family val="1"/>
        <charset val="1"/>
      </rPr>
      <t>/</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</si>
  <si>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상세설계 및 </t>
    </r>
    <r>
      <rPr>
        <sz val="9"/>
        <rFont val="Times New Roman"/>
        <family val="1"/>
        <charset val="1"/>
      </rPr>
      <t>SW</t>
    </r>
    <r>
      <rPr>
        <sz val="9"/>
        <rFont val="Noto Sans CJK SC"/>
        <family val="2"/>
      </rPr>
      <t>단위 공유기록</t>
    </r>
  </si>
  <si>
    <r>
      <rPr>
        <sz val="9"/>
        <rFont val="Times New Roman"/>
        <family val="1"/>
        <charset val="1"/>
      </rPr>
      <t xml:space="preserve">SW </t>
    </r>
    <r>
      <rPr>
        <sz val="9"/>
        <rFont val="Noto Sans CJK SC"/>
        <family val="2"/>
      </rPr>
      <t>단위검증</t>
    </r>
    <r>
      <rPr>
        <sz val="9"/>
        <rFont val="Times New Roman"/>
        <family val="1"/>
        <charset val="1"/>
      </rPr>
      <t>(ASW)</t>
    </r>
  </si>
  <si>
    <r>
      <rPr>
        <sz val="9"/>
        <rFont val="Times New Roman"/>
        <family val="1"/>
        <charset val="1"/>
      </rPr>
      <t xml:space="preserve">Verification Measure / </t>
    </r>
    <r>
      <rPr>
        <sz val="9"/>
        <rFont val="Noto Sans CJK SC"/>
        <family val="2"/>
      </rPr>
      <t>소프트웨어 단위검증 방안서</t>
    </r>
  </si>
  <si>
    <r>
      <rPr>
        <sz val="9"/>
        <rFont val="Times New Roman"/>
        <family val="1"/>
        <charset val="1"/>
      </rPr>
      <t xml:space="preserve">SW </t>
    </r>
    <r>
      <rPr>
        <sz val="9"/>
        <rFont val="Noto Sans CJK SC"/>
        <family val="2"/>
      </rPr>
      <t>단위검증</t>
    </r>
    <r>
      <rPr>
        <sz val="9"/>
        <rFont val="Times New Roman"/>
        <family val="1"/>
        <charset val="1"/>
      </rPr>
      <t>(BSW)</t>
    </r>
  </si>
  <si>
    <r>
      <rPr>
        <sz val="9"/>
        <rFont val="Times New Roman"/>
        <family val="1"/>
        <charset val="1"/>
      </rPr>
      <t xml:space="preserve">Verification Measure Selection Set / </t>
    </r>
    <r>
      <rPr>
        <sz val="9"/>
        <rFont val="Noto Sans CJK SC"/>
        <family val="2"/>
      </rPr>
      <t>단위검증 방안 선정목록</t>
    </r>
  </si>
  <si>
    <r>
      <rPr>
        <sz val="9"/>
        <rFont val="Times New Roman"/>
        <family val="1"/>
        <charset val="1"/>
      </rPr>
      <t xml:space="preserve">Verification Results / </t>
    </r>
    <r>
      <rPr>
        <sz val="9"/>
        <rFont val="Noto Sans CJK SC"/>
        <family val="2"/>
      </rPr>
      <t>소프트웨어 단위검증 결과서</t>
    </r>
  </si>
  <si>
    <r>
      <rPr>
        <sz val="9"/>
        <rFont val="Times New Roman"/>
        <family val="1"/>
        <charset val="1"/>
      </rPr>
      <t xml:space="preserve">Consistency Evidence / </t>
    </r>
    <r>
      <rPr>
        <sz val="9"/>
        <rFont val="Noto Sans CJK SC"/>
        <family val="2"/>
      </rPr>
      <t>검증방안</t>
    </r>
    <r>
      <rPr>
        <sz val="9"/>
        <rFont val="Times New Roman"/>
        <family val="1"/>
        <charset val="1"/>
      </rPr>
      <t>-SW</t>
    </r>
    <r>
      <rPr>
        <sz val="9"/>
        <rFont val="Noto Sans CJK SC"/>
        <family val="2"/>
      </rPr>
      <t>단위</t>
    </r>
    <r>
      <rPr>
        <sz val="9"/>
        <rFont val="Times New Roman"/>
        <family val="1"/>
        <charset val="1"/>
      </rPr>
      <t>/</t>
    </r>
    <r>
      <rPr>
        <sz val="9"/>
        <rFont val="Noto Sans CJK SC"/>
        <family val="2"/>
      </rPr>
      <t>검증결과 추적성 매트릭스</t>
    </r>
  </si>
  <si>
    <r>
      <rPr>
        <sz val="9"/>
        <rFont val="Times New Roman"/>
        <family val="1"/>
        <charset val="1"/>
      </rPr>
      <t>Communication Evidence / SW</t>
    </r>
    <r>
      <rPr>
        <sz val="9"/>
        <rFont val="Noto Sans CJK SC"/>
        <family val="2"/>
      </rPr>
      <t>단위검증 결과 요약보고서</t>
    </r>
  </si>
  <si>
    <r>
      <rPr>
        <sz val="9"/>
        <rFont val="Times New Roman"/>
        <family val="1"/>
        <charset val="1"/>
      </rPr>
      <t xml:space="preserve">SW </t>
    </r>
    <r>
      <rPr>
        <sz val="9"/>
        <rFont val="Noto Sans CJK SC"/>
        <family val="2"/>
      </rPr>
      <t>통합</t>
    </r>
    <r>
      <rPr>
        <sz val="9"/>
        <rFont val="Times New Roman"/>
        <family val="1"/>
        <charset val="1"/>
      </rPr>
      <t>/</t>
    </r>
    <r>
      <rPr>
        <sz val="9"/>
        <rFont val="Noto Sans CJK SC"/>
        <family val="2"/>
      </rPr>
      <t>통합검증</t>
    </r>
  </si>
  <si>
    <r>
      <rPr>
        <sz val="9"/>
        <rFont val="Times New Roman"/>
        <family val="1"/>
        <charset val="1"/>
      </rPr>
      <t xml:space="preserve">Verification Measure / </t>
    </r>
    <r>
      <rPr>
        <sz val="9"/>
        <rFont val="Noto Sans CJK SC"/>
        <family val="2"/>
      </rPr>
      <t>소프트웨어 통합검증 방안서</t>
    </r>
  </si>
  <si>
    <r>
      <rPr>
        <sz val="9"/>
        <rFont val="Times New Roman"/>
        <family val="1"/>
        <charset val="1"/>
      </rPr>
      <t xml:space="preserve">Verification Measure / </t>
    </r>
    <r>
      <rPr>
        <sz val="9"/>
        <rFont val="Noto Sans CJK SC"/>
        <family val="2"/>
      </rPr>
      <t>소프트웨어 컴포넌트 검증방안서</t>
    </r>
  </si>
  <si>
    <r>
      <rPr>
        <sz val="9"/>
        <rFont val="Times New Roman"/>
        <family val="1"/>
        <charset val="1"/>
      </rPr>
      <t xml:space="preserve">Verification Measure Selection Set / </t>
    </r>
    <r>
      <rPr>
        <sz val="9"/>
        <rFont val="Noto Sans CJK SC"/>
        <family val="2"/>
      </rPr>
      <t>검증방안 선정목록</t>
    </r>
  </si>
  <si>
    <r>
      <rPr>
        <sz val="9"/>
        <rFont val="Times New Roman"/>
        <family val="1"/>
        <charset val="1"/>
      </rPr>
      <t xml:space="preserve">Verification Results / </t>
    </r>
    <r>
      <rPr>
        <sz val="9"/>
        <rFont val="Noto Sans CJK SC"/>
        <family val="2"/>
      </rPr>
      <t>소프트웨어 통합</t>
    </r>
    <r>
      <rPr>
        <sz val="9"/>
        <rFont val="Times New Roman"/>
        <family val="1"/>
        <charset val="1"/>
      </rPr>
      <t>/</t>
    </r>
    <r>
      <rPr>
        <sz val="9"/>
        <rFont val="Noto Sans CJK SC"/>
        <family val="2"/>
      </rPr>
      <t>통합검증 결과서</t>
    </r>
  </si>
  <si>
    <r>
      <rPr>
        <sz val="9"/>
        <rFont val="Times New Roman"/>
        <family val="1"/>
        <charset val="1"/>
      </rPr>
      <t xml:space="preserve">Verification Results / </t>
    </r>
    <r>
      <rPr>
        <sz val="9"/>
        <rFont val="Noto Sans CJK SC"/>
        <family val="2"/>
      </rPr>
      <t>소프트웨어 컴포넌트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</si>
  <si>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아키텍처</t>
    </r>
    <r>
      <rPr>
        <sz val="9"/>
        <rFont val="Times New Roman"/>
        <family val="1"/>
        <charset val="1"/>
      </rPr>
      <t>/</t>
    </r>
    <r>
      <rPr>
        <sz val="9"/>
        <rFont val="Noto Sans CJK SC"/>
        <family val="2"/>
      </rPr>
      <t>상세설계</t>
    </r>
    <r>
      <rPr>
        <sz val="9"/>
        <rFont val="Times New Roman"/>
        <family val="1"/>
        <charset val="1"/>
      </rPr>
      <t>/</t>
    </r>
    <r>
      <rPr>
        <sz val="9"/>
        <rFont val="Noto Sans CJK SC"/>
        <family val="2"/>
      </rPr>
      <t>검증결과 추적성 매트릭스</t>
    </r>
  </si>
  <si>
    <r>
      <rPr>
        <sz val="9"/>
        <rFont val="Times New Roman"/>
        <family val="1"/>
        <charset val="1"/>
      </rPr>
      <t xml:space="preserve">Communication Evidence / </t>
    </r>
    <r>
      <rPr>
        <sz val="9"/>
        <rFont val="Noto Sans CJK SC"/>
        <family val="2"/>
      </rPr>
      <t>컴포넌트</t>
    </r>
    <r>
      <rPr>
        <sz val="9"/>
        <rFont val="Times New Roman"/>
        <family val="1"/>
        <charset val="1"/>
      </rPr>
      <t>/</t>
    </r>
    <r>
      <rPr>
        <sz val="9"/>
        <rFont val="Noto Sans CJK SC"/>
        <family val="2"/>
      </rPr>
      <t>통합검증 결과 요약보고서</t>
    </r>
  </si>
  <si>
    <r>
      <rPr>
        <sz val="9"/>
        <rFont val="Times New Roman"/>
        <family val="1"/>
        <charset val="1"/>
      </rPr>
      <t xml:space="preserve">SW </t>
    </r>
    <r>
      <rPr>
        <sz val="9"/>
        <rFont val="Noto Sans CJK SC"/>
        <family val="2"/>
      </rPr>
      <t>검증</t>
    </r>
  </si>
  <si>
    <r>
      <rPr>
        <sz val="9"/>
        <rFont val="Times New Roman"/>
        <family val="1"/>
        <charset val="1"/>
      </rPr>
      <t xml:space="preserve">Verification Measure / </t>
    </r>
    <r>
      <rPr>
        <sz val="9"/>
        <rFont val="Noto Sans CJK SC"/>
        <family val="2"/>
      </rPr>
      <t>소프트웨어 검증방안서</t>
    </r>
  </si>
  <si>
    <r>
      <rPr>
        <sz val="9"/>
        <rFont val="Times New Roman"/>
        <family val="1"/>
        <charset val="1"/>
      </rPr>
      <t>Verification Measure Selection Set / SW</t>
    </r>
    <r>
      <rPr>
        <sz val="9"/>
        <rFont val="Noto Sans CJK SC"/>
        <family val="2"/>
      </rPr>
      <t>검증 방안 선정목록</t>
    </r>
  </si>
  <si>
    <r>
      <rPr>
        <sz val="9"/>
        <rFont val="Times New Roman"/>
        <family val="1"/>
        <charset val="1"/>
      </rPr>
      <t xml:space="preserve">Verification Results / </t>
    </r>
    <r>
      <rPr>
        <sz val="9"/>
        <rFont val="Noto Sans CJK SC"/>
        <family val="2"/>
      </rPr>
      <t>통합 소프트웨어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</si>
  <si>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-SW</t>
    </r>
    <r>
      <rPr>
        <sz val="9"/>
        <rFont val="Noto Sans CJK SC"/>
        <family val="2"/>
      </rPr>
      <t>요구사항</t>
    </r>
    <r>
      <rPr>
        <sz val="9"/>
        <rFont val="Times New Roman"/>
        <family val="1"/>
        <charset val="1"/>
      </rPr>
      <t>/</t>
    </r>
    <r>
      <rPr>
        <sz val="9"/>
        <rFont val="Noto Sans CJK SC"/>
        <family val="2"/>
      </rPr>
      <t>검증결과 추적성 매트릭스</t>
    </r>
  </si>
  <si>
    <r>
      <rPr>
        <sz val="9"/>
        <rFont val="Times New Roman"/>
        <family val="1"/>
        <charset val="1"/>
      </rPr>
      <t>Communication Evidence / SW</t>
    </r>
    <r>
      <rPr>
        <sz val="9"/>
        <rFont val="Noto Sans CJK SC"/>
        <family val="2"/>
      </rPr>
      <t>검증결과 요약보고서</t>
    </r>
  </si>
  <si>
    <r>
      <rPr>
        <sz val="9"/>
        <rFont val="Times New Roman"/>
        <family val="1"/>
        <charset val="1"/>
      </rPr>
      <t xml:space="preserve">Validation Measure / </t>
    </r>
    <r>
      <rPr>
        <sz val="9"/>
        <rFont val="Noto Sans CJK SC"/>
        <family val="2"/>
      </rPr>
      <t>제품확인 방안서</t>
    </r>
  </si>
  <si>
    <t>자가평가워크북 [P2] 시트 BP#1 동일</t>
  </si>
  <si>
    <r>
      <rPr>
        <sz val="9"/>
        <rFont val="Times New Roman"/>
        <family val="1"/>
        <charset val="1"/>
      </rPr>
      <t xml:space="preserve">Validation Measure Selection Set / </t>
    </r>
    <r>
      <rPr>
        <sz val="9"/>
        <rFont val="Noto Sans CJK SC"/>
        <family val="2"/>
      </rPr>
      <t>확인 방안 선정목록</t>
    </r>
  </si>
  <si>
    <t>자가평가워크북 [P2] 시트 BP#2 동일</t>
  </si>
  <si>
    <r>
      <rPr>
        <sz val="9"/>
        <rFont val="Times New Roman"/>
        <family val="1"/>
        <charset val="1"/>
      </rPr>
      <t xml:space="preserve">Validation Results / </t>
    </r>
    <r>
      <rPr>
        <sz val="9"/>
        <rFont val="Noto Sans CJK SC"/>
        <family val="2"/>
      </rPr>
      <t>제품확인 결과서</t>
    </r>
  </si>
  <si>
    <r>
      <rPr>
        <sz val="9"/>
        <rFont val="Times New Roman"/>
        <family val="1"/>
        <charset val="1"/>
      </rPr>
      <t xml:space="preserve">Consistency Evidence / </t>
    </r>
    <r>
      <rPr>
        <sz val="9"/>
        <rFont val="Noto Sans CJK SC"/>
        <family val="2"/>
      </rPr>
      <t>확인방안</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확인결과 추적성 매트릭스</t>
    </r>
  </si>
  <si>
    <r>
      <rPr>
        <sz val="9"/>
        <rFont val="Times New Roman"/>
        <family val="1"/>
        <charset val="1"/>
      </rPr>
      <t xml:space="preserve">Communication Evidence / </t>
    </r>
    <r>
      <rPr>
        <sz val="9"/>
        <rFont val="Noto Sans CJK SC"/>
        <family val="2"/>
      </rPr>
      <t>제품확인 결과 요약보고서</t>
    </r>
  </si>
  <si>
    <r>
      <rPr>
        <sz val="9"/>
        <rFont val="Times New Roman"/>
        <family val="1"/>
        <charset val="1"/>
      </rPr>
      <t xml:space="preserve">ML </t>
    </r>
    <r>
      <rPr>
        <sz val="9"/>
        <rFont val="Noto Sans CJK SC"/>
        <family val="2"/>
      </rPr>
      <t>요구사항분석</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</si>
  <si>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Requirement / ML </t>
    </r>
    <r>
      <rPr>
        <sz val="9"/>
        <rFont val="Noto Sans CJK SC"/>
        <family val="2"/>
      </rPr>
      <t>요구사항 명세서</t>
    </r>
  </si>
  <si>
    <r>
      <rPr>
        <sz val="9"/>
        <rFont val="Times New Roman"/>
        <family val="1"/>
        <charset val="1"/>
      </rPr>
      <t xml:space="preserve">Requirement Attribute / ML </t>
    </r>
    <r>
      <rPr>
        <sz val="9"/>
        <rFont val="Noto Sans CJK SC"/>
        <family val="2"/>
      </rPr>
      <t>요구사항 구조화 문서</t>
    </r>
  </si>
  <si>
    <r>
      <rPr>
        <sz val="9"/>
        <rFont val="Times New Roman"/>
        <family val="1"/>
        <charset val="1"/>
      </rPr>
      <t xml:space="preserve">Analysis Results / ML </t>
    </r>
    <r>
      <rPr>
        <sz val="9"/>
        <rFont val="Noto Sans CJK SC"/>
        <family val="2"/>
      </rPr>
      <t>요구사항 분석서</t>
    </r>
  </si>
  <si>
    <r>
      <rPr>
        <sz val="9"/>
        <rFont val="Times New Roman"/>
        <family val="1"/>
        <charset val="1"/>
      </rPr>
      <t xml:space="preserve">Analysis Results / ML </t>
    </r>
    <r>
      <rPr>
        <sz val="9"/>
        <rFont val="Noto Sans CJK SC"/>
        <family val="2"/>
      </rPr>
      <t>운영환경 영향분석서</t>
    </r>
  </si>
  <si>
    <r>
      <rPr>
        <sz val="9"/>
        <rFont val="Times New Roman"/>
        <family val="1"/>
        <charset val="1"/>
      </rPr>
      <t>Consistency Evidence / ML</t>
    </r>
    <r>
      <rPr>
        <sz val="9"/>
        <rFont val="Noto Sans CJK SC"/>
        <family val="2"/>
      </rPr>
      <t>요구사항</t>
    </r>
    <r>
      <rPr>
        <sz val="9"/>
        <rFont val="Times New Roman"/>
        <family val="1"/>
        <charset val="1"/>
      </rPr>
      <t>-SW</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</si>
  <si>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 xml:space="preserve">ML </t>
    </r>
    <r>
      <rPr>
        <sz val="9"/>
        <rFont val="Noto Sans CJK SC"/>
        <family val="2"/>
      </rPr>
      <t>요구사항 공유기록</t>
    </r>
  </si>
  <si>
    <r>
      <rPr>
        <sz val="9"/>
        <rFont val="Times New Roman"/>
        <family val="1"/>
        <charset val="1"/>
      </rPr>
      <t xml:space="preserve">ML </t>
    </r>
    <r>
      <rPr>
        <sz val="9"/>
        <rFont val="Noto Sans CJK SC"/>
        <family val="2"/>
      </rPr>
      <t>아키텍처설계</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</si>
  <si>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Architecture / ML </t>
    </r>
    <r>
      <rPr>
        <sz val="9"/>
        <rFont val="Noto Sans CJK SC"/>
        <family val="2"/>
      </rPr>
      <t>아키텍처 설계서</t>
    </r>
  </si>
  <si>
    <r>
      <rPr>
        <sz val="9"/>
        <rFont val="Times New Roman"/>
        <family val="1"/>
        <charset val="1"/>
      </rPr>
      <t xml:space="preserve">ML Architecture / </t>
    </r>
    <r>
      <rPr>
        <sz val="9"/>
        <rFont val="Noto Sans CJK SC"/>
        <family val="2"/>
      </rPr>
      <t>하이퍼파라미터 범위</t>
    </r>
    <r>
      <rPr>
        <sz val="9"/>
        <rFont val="Times New Roman"/>
        <family val="1"/>
        <charset val="1"/>
      </rPr>
      <t>/</t>
    </r>
    <r>
      <rPr>
        <sz val="9"/>
        <rFont val="Noto Sans CJK SC"/>
        <family val="2"/>
      </rPr>
      <t>초기값 정의서</t>
    </r>
  </si>
  <si>
    <r>
      <rPr>
        <sz val="9"/>
        <rFont val="Times New Roman"/>
        <family val="1"/>
        <charset val="1"/>
      </rPr>
      <t xml:space="preserve">Analysis Results / ML </t>
    </r>
    <r>
      <rPr>
        <sz val="9"/>
        <rFont val="Noto Sans CJK SC"/>
        <family val="2"/>
      </rPr>
      <t>아키텍처 요소 분석서</t>
    </r>
  </si>
  <si>
    <r>
      <rPr>
        <sz val="9"/>
        <rFont val="Times New Roman"/>
        <family val="1"/>
        <charset val="1"/>
      </rPr>
      <t xml:space="preserve">ML Architecture / ML </t>
    </r>
    <r>
      <rPr>
        <sz val="9"/>
        <rFont val="Noto Sans CJK SC"/>
        <family val="2"/>
      </rPr>
      <t>아키텍처 요소 인터페이스 정의서</t>
    </r>
  </si>
  <si>
    <r>
      <rPr>
        <sz val="9"/>
        <rFont val="Times New Roman"/>
        <family val="1"/>
        <charset val="1"/>
      </rPr>
      <t xml:space="preserve">ML Architecture / ML </t>
    </r>
    <r>
      <rPr>
        <sz val="9"/>
        <rFont val="Noto Sans CJK SC"/>
        <family val="2"/>
      </rPr>
      <t>아키텍처 자원소비 목표 정의서</t>
    </r>
  </si>
  <si>
    <r>
      <rPr>
        <sz val="9"/>
        <rFont val="Times New Roman"/>
        <family val="1"/>
        <charset val="1"/>
      </rPr>
      <t>Consistency Evidence / ML</t>
    </r>
    <r>
      <rPr>
        <sz val="9"/>
        <rFont val="Noto Sans CJK SC"/>
        <family val="2"/>
      </rPr>
      <t>아키텍처</t>
    </r>
    <r>
      <rPr>
        <sz val="9"/>
        <rFont val="Times New Roman"/>
        <family val="1"/>
        <charset val="1"/>
      </rPr>
      <t>-ML</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</si>
  <si>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 xml:space="preserve">ML </t>
    </r>
    <r>
      <rPr>
        <sz val="9"/>
        <rFont val="Noto Sans CJK SC"/>
        <family val="2"/>
      </rPr>
      <t>아키텍처 공유기록</t>
    </r>
  </si>
  <si>
    <r>
      <rPr>
        <sz val="9"/>
        <rFont val="Times New Roman"/>
        <family val="1"/>
        <charset val="1"/>
      </rPr>
      <t xml:space="preserve">ML </t>
    </r>
    <r>
      <rPr>
        <sz val="9"/>
        <rFont val="Noto Sans CJK SC"/>
        <family val="2"/>
      </rPr>
      <t>훈련</t>
    </r>
    <r>
      <rPr>
        <sz val="9"/>
        <rFont val="Times New Roman"/>
        <family val="1"/>
        <charset val="1"/>
      </rPr>
      <t>/</t>
    </r>
    <r>
      <rPr>
        <sz val="9"/>
        <rFont val="Noto Sans CJK SC"/>
        <family val="2"/>
      </rPr>
      <t>검증</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</si>
  <si>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Training Approach / ML </t>
    </r>
    <r>
      <rPr>
        <sz val="9"/>
        <rFont val="Noto Sans CJK SC"/>
        <family val="2"/>
      </rPr>
      <t>훈련</t>
    </r>
    <r>
      <rPr>
        <sz val="9"/>
        <rFont val="Times New Roman"/>
        <family val="1"/>
        <charset val="1"/>
      </rPr>
      <t>/</t>
    </r>
    <r>
      <rPr>
        <sz val="9"/>
        <rFont val="Noto Sans CJK SC"/>
        <family val="2"/>
      </rPr>
      <t>검증 접근방식서</t>
    </r>
  </si>
  <si>
    <r>
      <rPr>
        <sz val="9"/>
        <rFont val="Times New Roman"/>
        <family val="1"/>
        <charset val="1"/>
      </rPr>
      <t xml:space="preserve">ML Training/Validation Data Set / ML </t>
    </r>
    <r>
      <rPr>
        <sz val="9"/>
        <rFont val="Noto Sans CJK SC"/>
        <family val="2"/>
      </rPr>
      <t>훈련</t>
    </r>
    <r>
      <rPr>
        <sz val="9"/>
        <rFont val="Times New Roman"/>
        <family val="1"/>
        <charset val="1"/>
      </rPr>
      <t>/</t>
    </r>
    <r>
      <rPr>
        <sz val="9"/>
        <rFont val="Noto Sans CJK SC"/>
        <family val="2"/>
      </rPr>
      <t>검증 데이터셋</t>
    </r>
  </si>
  <si>
    <r>
      <rPr>
        <sz val="9"/>
        <rFont val="Times New Roman"/>
        <family val="1"/>
        <charset val="1"/>
      </rPr>
      <t xml:space="preserve">ML Model / ML </t>
    </r>
    <r>
      <rPr>
        <sz val="9"/>
        <rFont val="Noto Sans CJK SC"/>
        <family val="2"/>
      </rPr>
      <t>모델</t>
    </r>
    <r>
      <rPr>
        <sz val="9"/>
        <rFont val="Times New Roman"/>
        <family val="1"/>
        <charset val="1"/>
      </rPr>
      <t>(</t>
    </r>
    <r>
      <rPr>
        <sz val="9"/>
        <rFont val="Noto Sans CJK SC"/>
        <family val="2"/>
      </rPr>
      <t>생성</t>
    </r>
    <r>
      <rPr>
        <sz val="9"/>
        <rFont val="Times New Roman"/>
        <family val="1"/>
        <charset val="1"/>
      </rPr>
      <t>/</t>
    </r>
    <r>
      <rPr>
        <sz val="9"/>
        <rFont val="Noto Sans CJK SC"/>
        <family val="2"/>
      </rPr>
      <t>최적화</t>
    </r>
    <r>
      <rPr>
        <sz val="9"/>
        <rFont val="Times New Roman"/>
        <family val="1"/>
        <charset val="1"/>
      </rPr>
      <t>)</t>
    </r>
  </si>
  <si>
    <r>
      <rPr>
        <sz val="9"/>
        <rFont val="Times New Roman"/>
        <family val="1"/>
        <charset val="1"/>
      </rPr>
      <t>Consistency Evidence / ML</t>
    </r>
    <r>
      <rPr>
        <sz val="9"/>
        <rFont val="Noto Sans CJK SC"/>
        <family val="2"/>
      </rPr>
      <t>모델</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아키텍처 추적성 매트릭스</t>
    </r>
  </si>
  <si>
    <r>
      <rPr>
        <sz val="9"/>
        <rFont val="Times New Roman"/>
        <family val="1"/>
        <charset val="1"/>
      </rPr>
      <t xml:space="preserve">Communication Evidence / </t>
    </r>
    <r>
      <rPr>
        <sz val="9"/>
        <rFont val="Noto Sans CJK SC"/>
        <family val="2"/>
      </rPr>
      <t xml:space="preserve">합의된 훈련완료 </t>
    </r>
    <r>
      <rPr>
        <sz val="9"/>
        <rFont val="Times New Roman"/>
        <family val="1"/>
        <charset val="1"/>
      </rPr>
      <t>ML</t>
    </r>
    <r>
      <rPr>
        <sz val="9"/>
        <rFont val="Noto Sans CJK SC"/>
        <family val="2"/>
      </rPr>
      <t>모델 요약공유기록</t>
    </r>
  </si>
  <si>
    <r>
      <rPr>
        <sz val="9"/>
        <rFont val="Times New Roman"/>
        <family val="1"/>
        <charset val="1"/>
      </rPr>
      <t xml:space="preserve">ML </t>
    </r>
    <r>
      <rPr>
        <sz val="9"/>
        <rFont val="Noto Sans CJK SC"/>
        <family val="2"/>
      </rPr>
      <t>테스트</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</si>
  <si>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Test Approach / ML </t>
    </r>
    <r>
      <rPr>
        <sz val="9"/>
        <rFont val="Noto Sans CJK SC"/>
        <family val="2"/>
      </rPr>
      <t>테스트 접근방식서</t>
    </r>
  </si>
  <si>
    <r>
      <rPr>
        <sz val="9"/>
        <rFont val="Times New Roman"/>
        <family val="1"/>
        <charset val="1"/>
      </rPr>
      <t xml:space="preserve">ML Test Data Set / ML </t>
    </r>
    <r>
      <rPr>
        <sz val="9"/>
        <rFont val="Noto Sans CJK SC"/>
        <family val="2"/>
      </rPr>
      <t>테스트 데이터셋</t>
    </r>
  </si>
  <si>
    <r>
      <rPr>
        <sz val="9"/>
        <rFont val="Times New Roman"/>
        <family val="1"/>
        <charset val="1"/>
      </rPr>
      <t xml:space="preserve">Verification Results / </t>
    </r>
    <r>
      <rPr>
        <sz val="9"/>
        <rFont val="Noto Sans CJK SC"/>
        <family val="2"/>
      </rPr>
      <t xml:space="preserve">훈련된 </t>
    </r>
    <r>
      <rPr>
        <sz val="9"/>
        <rFont val="Times New Roman"/>
        <family val="1"/>
        <charset val="1"/>
      </rPr>
      <t>ML</t>
    </r>
    <r>
      <rPr>
        <sz val="9"/>
        <rFont val="Noto Sans CJK SC"/>
        <family val="2"/>
      </rPr>
      <t>모델 테스트 결과서</t>
    </r>
  </si>
  <si>
    <r>
      <rPr>
        <sz val="9"/>
        <rFont val="Times New Roman"/>
        <family val="1"/>
        <charset val="1"/>
      </rPr>
      <t xml:space="preserve">ML Model / </t>
    </r>
    <r>
      <rPr>
        <sz val="9"/>
        <rFont val="Noto Sans CJK SC"/>
        <family val="2"/>
      </rPr>
      <t xml:space="preserve">배포용 </t>
    </r>
    <r>
      <rPr>
        <sz val="9"/>
        <rFont val="Times New Roman"/>
        <family val="1"/>
        <charset val="1"/>
      </rPr>
      <t>ML</t>
    </r>
    <r>
      <rPr>
        <sz val="9"/>
        <rFont val="Noto Sans CJK SC"/>
        <family val="2"/>
      </rPr>
      <t>모델</t>
    </r>
  </si>
  <si>
    <r>
      <rPr>
        <sz val="9"/>
        <rFont val="Times New Roman"/>
        <family val="1"/>
        <charset val="1"/>
      </rPr>
      <t xml:space="preserve">Verification Results / </t>
    </r>
    <r>
      <rPr>
        <sz val="9"/>
        <rFont val="Noto Sans CJK SC"/>
        <family val="2"/>
      </rPr>
      <t xml:space="preserve">배포된 </t>
    </r>
    <r>
      <rPr>
        <sz val="9"/>
        <rFont val="Times New Roman"/>
        <family val="1"/>
        <charset val="1"/>
      </rPr>
      <t>ML</t>
    </r>
    <r>
      <rPr>
        <sz val="9"/>
        <rFont val="Noto Sans CJK SC"/>
        <family val="2"/>
      </rPr>
      <t>모델 테스트 결과서</t>
    </r>
  </si>
  <si>
    <r>
      <rPr>
        <sz val="9"/>
        <rFont val="Times New Roman"/>
        <family val="1"/>
        <charset val="1"/>
      </rPr>
      <t>Consistency Evidence / ML</t>
    </r>
    <r>
      <rPr>
        <sz val="9"/>
        <rFont val="Noto Sans CJK SC"/>
        <family val="2"/>
      </rPr>
      <t>테스트</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결과 추적성 매트릭스</t>
    </r>
  </si>
  <si>
    <t>자가평가워크북 [P2] 시트 BP#6 동일</t>
  </si>
  <si>
    <r>
      <rPr>
        <sz val="9"/>
        <rFont val="Times New Roman"/>
        <family val="1"/>
        <charset val="1"/>
      </rPr>
      <t>Communication Evidence / ML</t>
    </r>
    <r>
      <rPr>
        <sz val="9"/>
        <rFont val="Noto Sans CJK SC"/>
        <family val="2"/>
      </rPr>
      <t>모델 테스트결과 요약보고서</t>
    </r>
  </si>
  <si>
    <t>자가평가워크북 [P2] 시트 BP#7 동일</t>
  </si>
  <si>
    <r>
      <rPr>
        <sz val="9"/>
        <rFont val="Times New Roman"/>
        <family val="1"/>
        <charset val="1"/>
      </rPr>
      <t xml:space="preserve">HW </t>
    </r>
    <r>
      <rPr>
        <sz val="9"/>
        <rFont val="Noto Sans CJK SC"/>
        <family val="2"/>
      </rPr>
      <t>요구사항분석</t>
    </r>
  </si>
  <si>
    <r>
      <rPr>
        <sz val="9"/>
        <rFont val="Times New Roman"/>
        <family val="1"/>
        <charset val="1"/>
      </rPr>
      <t xml:space="preserve">Requirement / </t>
    </r>
    <r>
      <rPr>
        <sz val="9"/>
        <rFont val="Noto Sans CJK SC"/>
        <family val="2"/>
      </rPr>
      <t>하드웨어 요구사항 명세서</t>
    </r>
  </si>
  <si>
    <r>
      <rPr>
        <sz val="9"/>
        <rFont val="Times New Roman"/>
        <family val="1"/>
        <charset val="1"/>
      </rPr>
      <t xml:space="preserve">Requirement Attribute / </t>
    </r>
    <r>
      <rPr>
        <sz val="9"/>
        <rFont val="Noto Sans CJK SC"/>
        <family val="2"/>
      </rPr>
      <t>하드웨어 요구사항 구조화 문서</t>
    </r>
  </si>
  <si>
    <r>
      <rPr>
        <sz val="9"/>
        <rFont val="Times New Roman"/>
        <family val="1"/>
        <charset val="1"/>
      </rPr>
      <t xml:space="preserve">Analysis Results / </t>
    </r>
    <r>
      <rPr>
        <sz val="9"/>
        <rFont val="Noto Sans CJK SC"/>
        <family val="2"/>
      </rPr>
      <t>하드웨어 요구사항 분석서</t>
    </r>
  </si>
  <si>
    <r>
      <rPr>
        <sz val="9"/>
        <rFont val="Times New Roman"/>
        <family val="1"/>
        <charset val="1"/>
      </rPr>
      <t>Consistency Evidence / HW</t>
    </r>
    <r>
      <rPr>
        <sz val="9"/>
        <rFont val="Noto Sans CJK SC"/>
        <family val="2"/>
      </rPr>
      <t>요구사항</t>
    </r>
    <r>
      <rPr>
        <sz val="9"/>
        <rFont val="Times New Roman"/>
        <family val="1"/>
        <charset val="1"/>
      </rPr>
      <t>-</t>
    </r>
    <r>
      <rPr>
        <sz val="9"/>
        <rFont val="Noto Sans CJK SC"/>
        <family val="2"/>
      </rPr>
      <t>시스템요구사항 추적성 매트릭스</t>
    </r>
  </si>
  <si>
    <r>
      <rPr>
        <sz val="9"/>
        <rFont val="Times New Roman"/>
        <family val="1"/>
        <charset val="1"/>
      </rPr>
      <t xml:space="preserve">Communication Evidence / </t>
    </r>
    <r>
      <rPr>
        <sz val="9"/>
        <rFont val="Noto Sans CJK SC"/>
        <family val="2"/>
      </rPr>
      <t>합의된 하드웨어 요구사항 공유기록</t>
    </r>
  </si>
  <si>
    <r>
      <rPr>
        <sz val="9"/>
        <rFont val="Times New Roman"/>
        <family val="1"/>
        <charset val="1"/>
      </rPr>
      <t xml:space="preserve">HW </t>
    </r>
    <r>
      <rPr>
        <sz val="9"/>
        <rFont val="Noto Sans CJK SC"/>
        <family val="2"/>
      </rPr>
      <t>아키텍처</t>
    </r>
    <r>
      <rPr>
        <sz val="9"/>
        <rFont val="Times New Roman"/>
        <family val="1"/>
        <charset val="1"/>
      </rPr>
      <t>/</t>
    </r>
    <r>
      <rPr>
        <sz val="9"/>
        <rFont val="Noto Sans CJK SC"/>
        <family val="2"/>
      </rPr>
      <t>상세설계</t>
    </r>
  </si>
  <si>
    <r>
      <rPr>
        <sz val="9"/>
        <rFont val="Times New Roman"/>
        <family val="1"/>
        <charset val="1"/>
      </rPr>
      <t xml:space="preserve">Hardware Architecture / </t>
    </r>
    <r>
      <rPr>
        <sz val="9"/>
        <rFont val="Noto Sans CJK SC"/>
        <family val="2"/>
      </rPr>
      <t>하드웨어 아키텍처 설계서</t>
    </r>
  </si>
  <si>
    <r>
      <rPr>
        <sz val="9"/>
        <rFont val="Times New Roman"/>
        <family val="1"/>
        <charset val="1"/>
      </rPr>
      <t xml:space="preserve">Hardware Detailed Design / </t>
    </r>
    <r>
      <rPr>
        <sz val="9"/>
        <rFont val="Noto Sans CJK SC"/>
        <family val="2"/>
      </rPr>
      <t>하드웨어 상세설계서</t>
    </r>
  </si>
  <si>
    <r>
      <rPr>
        <sz val="9"/>
        <rFont val="Times New Roman"/>
        <family val="1"/>
        <charset val="1"/>
      </rPr>
      <t xml:space="preserve">Hardware Architecture / </t>
    </r>
    <r>
      <rPr>
        <sz val="9"/>
        <rFont val="Noto Sans CJK SC"/>
        <family val="2"/>
      </rPr>
      <t>하드웨어 동적측면 설계서</t>
    </r>
  </si>
  <si>
    <r>
      <rPr>
        <sz val="9"/>
        <rFont val="Times New Roman"/>
        <family val="1"/>
        <charset val="1"/>
      </rPr>
      <t xml:space="preserve">Analysis Results / </t>
    </r>
    <r>
      <rPr>
        <sz val="9"/>
        <rFont val="Noto Sans CJK SC"/>
        <family val="2"/>
      </rPr>
      <t>하드웨어 아키텍처</t>
    </r>
    <r>
      <rPr>
        <sz val="9"/>
        <rFont val="Times New Roman"/>
        <family val="1"/>
        <charset val="1"/>
      </rPr>
      <t>/</t>
    </r>
    <r>
      <rPr>
        <sz val="9"/>
        <rFont val="Noto Sans CJK SC"/>
        <family val="2"/>
      </rPr>
      <t>상세설계 분석서</t>
    </r>
  </si>
  <si>
    <r>
      <rPr>
        <sz val="9"/>
        <rFont val="Times New Roman"/>
        <family val="1"/>
        <charset val="1"/>
      </rPr>
      <t>Consistency Evidence / HW</t>
    </r>
    <r>
      <rPr>
        <sz val="9"/>
        <rFont val="Noto Sans CJK SC"/>
        <family val="2"/>
      </rPr>
      <t>설계</t>
    </r>
    <r>
      <rPr>
        <sz val="9"/>
        <rFont val="Times New Roman"/>
        <family val="1"/>
        <charset val="1"/>
      </rPr>
      <t>-HW</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</si>
  <si>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HW</t>
    </r>
    <r>
      <rPr>
        <sz val="9"/>
        <rFont val="Noto Sans CJK SC"/>
        <family val="2"/>
      </rPr>
      <t>아키텍처</t>
    </r>
    <r>
      <rPr>
        <sz val="9"/>
        <rFont val="Times New Roman"/>
        <family val="1"/>
        <charset val="1"/>
      </rPr>
      <t>/</t>
    </r>
    <r>
      <rPr>
        <sz val="9"/>
        <rFont val="Noto Sans CJK SC"/>
        <family val="2"/>
      </rPr>
      <t>상세설계 공유기록</t>
    </r>
  </si>
  <si>
    <r>
      <rPr>
        <sz val="9"/>
        <rFont val="Times New Roman"/>
        <family val="1"/>
        <charset val="1"/>
      </rPr>
      <t xml:space="preserve">HW </t>
    </r>
    <r>
      <rPr>
        <sz val="9"/>
        <rFont val="Noto Sans CJK SC"/>
        <family val="2"/>
      </rPr>
      <t>설계검증</t>
    </r>
  </si>
  <si>
    <r>
      <rPr>
        <sz val="9"/>
        <rFont val="Times New Roman"/>
        <family val="1"/>
        <charset val="1"/>
      </rPr>
      <t>Verification Measure / HW</t>
    </r>
    <r>
      <rPr>
        <sz val="9"/>
        <rFont val="Noto Sans CJK SC"/>
        <family val="2"/>
      </rPr>
      <t>설계 검증방안서</t>
    </r>
  </si>
  <si>
    <r>
      <rPr>
        <sz val="9"/>
        <rFont val="Times New Roman"/>
        <family val="1"/>
        <charset val="1"/>
      </rPr>
      <t xml:space="preserve">Verification Measure / </t>
    </r>
    <r>
      <rPr>
        <sz val="9"/>
        <rFont val="Noto Sans CJK SC"/>
        <family val="2"/>
      </rPr>
      <t>적합샘플 사용 확인기록</t>
    </r>
  </si>
  <si>
    <r>
      <rPr>
        <sz val="9"/>
        <rFont val="Times New Roman"/>
        <family val="1"/>
        <charset val="1"/>
      </rPr>
      <t>Verification Measure Selection Set / HW</t>
    </r>
    <r>
      <rPr>
        <sz val="9"/>
        <rFont val="Noto Sans CJK SC"/>
        <family val="2"/>
      </rPr>
      <t>설계 검증방안 선정목록</t>
    </r>
  </si>
  <si>
    <r>
      <rPr>
        <sz val="9"/>
        <rFont val="Times New Roman"/>
        <family val="1"/>
        <charset val="1"/>
      </rPr>
      <t xml:space="preserve">Verification Results / </t>
    </r>
    <r>
      <rPr>
        <sz val="9"/>
        <rFont val="Noto Sans CJK SC"/>
        <family val="2"/>
      </rPr>
      <t>하드웨어 설계검증 결과서</t>
    </r>
  </si>
  <si>
    <r>
      <rPr>
        <sz val="9"/>
        <rFont val="Times New Roman"/>
        <family val="1"/>
        <charset val="1"/>
      </rPr>
      <t xml:space="preserve">Consistency Evidence / </t>
    </r>
    <r>
      <rPr>
        <sz val="9"/>
        <rFont val="Noto Sans CJK SC"/>
        <family val="2"/>
      </rPr>
      <t>검증방안</t>
    </r>
    <r>
      <rPr>
        <sz val="9"/>
        <rFont val="Times New Roman"/>
        <family val="1"/>
        <charset val="1"/>
      </rPr>
      <t>-HW</t>
    </r>
    <r>
      <rPr>
        <sz val="9"/>
        <rFont val="Noto Sans CJK SC"/>
        <family val="2"/>
      </rPr>
      <t>설계</t>
    </r>
    <r>
      <rPr>
        <sz val="9"/>
        <rFont val="Times New Roman"/>
        <family val="1"/>
        <charset val="1"/>
      </rPr>
      <t>/</t>
    </r>
    <r>
      <rPr>
        <sz val="9"/>
        <rFont val="Noto Sans CJK SC"/>
        <family val="2"/>
      </rPr>
      <t>검증결과 추적성 매트릭스</t>
    </r>
  </si>
  <si>
    <r>
      <rPr>
        <sz val="9"/>
        <rFont val="Times New Roman"/>
        <family val="1"/>
        <charset val="1"/>
      </rPr>
      <t>Communication Evidence / HW</t>
    </r>
    <r>
      <rPr>
        <sz val="9"/>
        <rFont val="Noto Sans CJK SC"/>
        <family val="2"/>
      </rPr>
      <t>설계검증 결과 요약보고서</t>
    </r>
  </si>
  <si>
    <r>
      <rPr>
        <sz val="9"/>
        <rFont val="Times New Roman"/>
        <family val="1"/>
        <charset val="1"/>
      </rPr>
      <t xml:space="preserve">HW </t>
    </r>
    <r>
      <rPr>
        <sz val="9"/>
        <rFont val="Noto Sans CJK SC"/>
        <family val="2"/>
      </rPr>
      <t>요구사항검증</t>
    </r>
  </si>
  <si>
    <r>
      <rPr>
        <sz val="9"/>
        <rFont val="Times New Roman"/>
        <family val="1"/>
        <charset val="1"/>
      </rPr>
      <t>Verification Measure / HW</t>
    </r>
    <r>
      <rPr>
        <sz val="9"/>
        <rFont val="Noto Sans CJK SC"/>
        <family val="2"/>
      </rPr>
      <t>요구사항 검증방안서</t>
    </r>
  </si>
  <si>
    <r>
      <rPr>
        <sz val="9"/>
        <rFont val="Times New Roman"/>
        <family val="1"/>
        <charset val="1"/>
      </rPr>
      <t>Verification Measure Selection Set / HW</t>
    </r>
    <r>
      <rPr>
        <sz val="9"/>
        <rFont val="Noto Sans CJK SC"/>
        <family val="2"/>
      </rPr>
      <t>요구사항 검증방안 선정목록</t>
    </r>
  </si>
  <si>
    <r>
      <rPr>
        <sz val="9"/>
        <rFont val="Times New Roman"/>
        <family val="1"/>
        <charset val="1"/>
      </rPr>
      <t xml:space="preserve">Verification Results / </t>
    </r>
    <r>
      <rPr>
        <sz val="9"/>
        <rFont val="Noto Sans CJK SC"/>
        <family val="2"/>
      </rPr>
      <t>적합 하드웨어 샘플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</si>
  <si>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-HW</t>
    </r>
    <r>
      <rPr>
        <sz val="9"/>
        <rFont val="Noto Sans CJK SC"/>
        <family val="2"/>
      </rPr>
      <t>요구사항</t>
    </r>
    <r>
      <rPr>
        <sz val="9"/>
        <rFont val="Times New Roman"/>
        <family val="1"/>
        <charset val="1"/>
      </rPr>
      <t>/</t>
    </r>
    <r>
      <rPr>
        <sz val="9"/>
        <rFont val="Noto Sans CJK SC"/>
        <family val="2"/>
      </rPr>
      <t>검증결과 추적성 매트릭스</t>
    </r>
  </si>
  <si>
    <r>
      <rPr>
        <sz val="9"/>
        <rFont val="Times New Roman"/>
        <family val="1"/>
        <charset val="1"/>
      </rPr>
      <t>Communication Evidence / HW</t>
    </r>
    <r>
      <rPr>
        <sz val="9"/>
        <rFont val="Noto Sans CJK SC"/>
        <family val="2"/>
      </rPr>
      <t>요구사항검증 결과 요약보고서</t>
    </r>
  </si>
  <si>
    <t>마일스톤</t>
  </si>
  <si>
    <r>
      <rPr>
        <b/>
        <sz val="10"/>
        <color rgb="FFFFFFFF"/>
        <rFont val="Times New Roman"/>
        <family val="1"/>
        <charset val="1"/>
      </rPr>
      <t xml:space="preserve">Discrete WP </t>
    </r>
    <r>
      <rPr>
        <b/>
        <sz val="10"/>
        <color rgb="FFFFFFFF"/>
        <rFont val="Noto Sans CJK SC"/>
        <family val="2"/>
      </rPr>
      <t>수</t>
    </r>
  </si>
  <si>
    <r>
      <rPr>
        <b/>
        <sz val="10"/>
        <color rgb="FFFFFFFF"/>
        <rFont val="Times New Roman"/>
        <family val="1"/>
        <charset val="1"/>
      </rPr>
      <t xml:space="preserve">LOE WP </t>
    </r>
    <r>
      <rPr>
        <b/>
        <sz val="10"/>
        <color rgb="FFFFFFFF"/>
        <rFont val="Noto Sans CJK SC"/>
        <family val="2"/>
      </rPr>
      <t>수</t>
    </r>
  </si>
  <si>
    <t>합계</t>
  </si>
  <si>
    <t>비중(%)</t>
  </si>
  <si>
    <t>원본 비중(Discrete만, 비교기준)</t>
  </si>
  <si>
    <t>보정후 가중치</t>
  </si>
  <si>
    <t>보정후 비중(%)</t>
  </si>
  <si>
    <t>차이(비중, %p)</t>
  </si>
  <si>
    <t>사유(왜 원본과 다른가)</t>
  </si>
  <si>
    <t>요구사항·아키텍처 등 설계/계획형 산출물은 여기서 '최초 작성'되지만 이후 마일스톤까지 계속 개정된다. 최초작성분(가정: 40%)만 이 시점에 남고, 나머지 60%는 후속 마일스톤으로 재배분되어 원본 대비 비중이 낮아짐(WP_상세 '유지보수반영=Y' 대상).</t>
  </si>
  <si>
    <r>
      <rPr>
        <sz val="11"/>
        <color theme="1"/>
        <rFont val="Calibri"/>
        <family val="2"/>
        <charset val="1"/>
      </rPr>
      <t>M-Car</t>
    </r>
    <r>
      <rPr>
        <sz val="11"/>
        <color theme="1"/>
        <rFont val="Noto Sans CJK SC"/>
        <family val="2"/>
      </rPr>
      <t>에서 시작된 지속개정형 산출물의 유지보수 개정분 일부가 이 마일스톤에 추가 배분되어 원본보다 비중이 소폭 상승</t>
    </r>
    <r>
      <rPr>
        <sz val="11"/>
        <color theme="1"/>
        <rFont val="Calibri"/>
        <family val="2"/>
        <charset val="1"/>
      </rPr>
      <t>.</t>
    </r>
  </si>
  <si>
    <t>동일한 유지보수 개정분 배분 효과로 원본보다 비중 상승.</t>
  </si>
  <si>
    <t>SoP</t>
  </si>
  <si>
    <t>원본은 신규 산출물이 없어 0%였으나, M-Car~P2에서 시작된 산출물들의 유지보수 개정이 프로젝트 종료 시점까지 이어진다고 가정해 배분되므로 0%가 아닌 값을 갖게 됨.</t>
  </si>
  <si>
    <t>해당없음</t>
  </si>
  <si>
    <t>별도 트랙(배포 이벤트)이라 유지보수 개정 보정 대상에서 제외(설계문서 8장 참조).</t>
  </si>
  <si>
    <t>보정후 전체 합계(참고)</t>
  </si>
  <si>
    <r>
      <rPr>
        <i/>
        <sz val="9"/>
        <color rgb="FF555555"/>
        <rFont val="맑은 고딕"/>
        <family val="3"/>
        <charset val="129"/>
      </rPr>
      <t>※ '</t>
    </r>
    <r>
      <rPr>
        <i/>
        <sz val="9"/>
        <color rgb="FF555555"/>
        <rFont val="Noto Sans CJK SC"/>
        <family val="2"/>
      </rPr>
      <t>보정후</t>
    </r>
    <r>
      <rPr>
        <i/>
        <sz val="9"/>
        <color rgb="FF555555"/>
        <rFont val="맑은 고딕"/>
        <family val="3"/>
        <charset val="129"/>
      </rPr>
      <t>'</t>
    </r>
    <r>
      <rPr>
        <i/>
        <sz val="9"/>
        <color rgb="FF555555"/>
        <rFont val="Noto Sans CJK SC"/>
        <family val="2"/>
      </rPr>
      <t>는 계획곡선</t>
    </r>
    <r>
      <rPr>
        <i/>
        <sz val="9"/>
        <color rgb="FF555555"/>
        <rFont val="맑은 고딕"/>
        <family val="3"/>
        <charset val="129"/>
      </rPr>
      <t>_</t>
    </r>
    <r>
      <rPr>
        <i/>
        <sz val="9"/>
        <color rgb="FF555555"/>
        <rFont val="Noto Sans CJK SC"/>
        <family val="2"/>
      </rPr>
      <t>보정 시트</t>
    </r>
    <r>
      <rPr>
        <i/>
        <sz val="9"/>
        <color rgb="FF555555"/>
        <rFont val="맑은 고딕"/>
        <family val="3"/>
        <charset val="129"/>
      </rPr>
      <t>(11~12</t>
    </r>
    <r>
      <rPr>
        <i/>
        <sz val="9"/>
        <color rgb="FF555555"/>
        <rFont val="Noto Sans CJK SC"/>
        <family val="2"/>
      </rPr>
      <t>장</t>
    </r>
    <r>
      <rPr>
        <i/>
        <sz val="9"/>
        <color rgb="FF555555"/>
        <rFont val="맑은 고딕"/>
        <family val="3"/>
        <charset val="129"/>
      </rPr>
      <t xml:space="preserve">, </t>
    </r>
    <r>
      <rPr>
        <i/>
        <sz val="9"/>
        <color rgb="FF555555"/>
        <rFont val="Noto Sans CJK SC"/>
        <family val="2"/>
      </rPr>
      <t>유지보수 개정 반영</t>
    </r>
    <r>
      <rPr>
        <i/>
        <sz val="9"/>
        <color rgb="FF555555"/>
        <rFont val="맑은 고딕"/>
        <family val="3"/>
        <charset val="129"/>
      </rPr>
      <t>)</t>
    </r>
    <r>
      <rPr>
        <i/>
        <sz val="9"/>
        <color rgb="FF555555"/>
        <rFont val="Noto Sans CJK SC"/>
        <family val="2"/>
      </rPr>
      <t>의 결과를 그대로 가져온 것이다</t>
    </r>
    <r>
      <rPr>
        <i/>
        <sz val="9"/>
        <color rgb="FF555555"/>
        <rFont val="맑은 고딕"/>
        <family val="3"/>
        <charset val="129"/>
      </rPr>
      <t xml:space="preserve">. </t>
    </r>
    <r>
      <rPr>
        <i/>
        <sz val="9"/>
        <color rgb="FF555555"/>
        <rFont val="Noto Sans CJK SC"/>
        <family val="2"/>
      </rPr>
      <t>두 표가 다르게 보이는 것은 오류가 아니라</t>
    </r>
    <r>
      <rPr>
        <i/>
        <sz val="9"/>
        <color rgb="FF555555"/>
        <rFont val="맑은 고딕"/>
        <family val="3"/>
        <charset val="129"/>
      </rPr>
      <t xml:space="preserve">, </t>
    </r>
    <r>
      <rPr>
        <i/>
        <sz val="9"/>
        <color rgb="FF555555"/>
        <rFont val="Noto Sans CJK SC"/>
        <family val="2"/>
      </rPr>
      <t>설계</t>
    </r>
    <r>
      <rPr>
        <i/>
        <sz val="9"/>
        <color rgb="FF555555"/>
        <rFont val="맑은 고딕"/>
        <family val="3"/>
        <charset val="129"/>
      </rPr>
      <t>/</t>
    </r>
    <r>
      <rPr>
        <i/>
        <sz val="9"/>
        <color rgb="FF555555"/>
        <rFont val="Noto Sans CJK SC"/>
        <family val="2"/>
      </rPr>
      <t>계획형 산출물이 원 마일스톤 이후에도 계속 개정된다는 사실을 반영했기 때문이다</t>
    </r>
    <r>
      <rPr>
        <i/>
        <sz val="9"/>
        <color rgb="FF555555"/>
        <rFont val="맑은 고딕"/>
        <family val="3"/>
        <charset val="129"/>
      </rPr>
      <t>.</t>
    </r>
  </si>
  <si>
    <r>
      <rPr>
        <b/>
        <sz val="10"/>
        <color rgb="FFFFFFFF"/>
        <rFont val="Times New Roman"/>
        <family val="1"/>
        <charset val="1"/>
      </rPr>
      <t xml:space="preserve">LOE </t>
    </r>
    <r>
      <rPr>
        <b/>
        <sz val="10"/>
        <color rgb="FFFFFFFF"/>
        <rFont val="Noto Sans CJK SC"/>
        <family val="2"/>
      </rPr>
      <t>계정명</t>
    </r>
  </si>
  <si>
    <t>성격</t>
  </si>
  <si>
    <t>관리 방식</t>
  </si>
  <si>
    <t>월별 계획(PV) 방식</t>
  </si>
  <si>
    <t>담당(CAM)</t>
  </si>
  <si>
    <t>프로젝트 공통비(공통경비)</t>
  </si>
  <si>
    <t>비배부 — 별도 CA로 집계(설계문서 7장 방식 A)</t>
  </si>
  <si>
    <t>월 정액 균등분할</t>
  </si>
  <si>
    <r>
      <rPr>
        <sz val="10"/>
        <rFont val="Times New Roman"/>
        <family val="1"/>
        <charset val="1"/>
      </rPr>
      <t xml:space="preserve">PM/CM/QA </t>
    </r>
    <r>
      <rPr>
        <sz val="10"/>
        <rFont val="Noto Sans CJK SC"/>
        <family val="2"/>
      </rPr>
      <t xml:space="preserve">등 특정 </t>
    </r>
    <r>
      <rPr>
        <sz val="10"/>
        <rFont val="Times New Roman"/>
        <family val="1"/>
        <charset val="1"/>
      </rPr>
      <t>CA</t>
    </r>
    <r>
      <rPr>
        <sz val="10"/>
        <rFont val="Noto Sans CJK SC"/>
        <family val="2"/>
      </rPr>
      <t>에 배부하지 않음</t>
    </r>
  </si>
  <si>
    <t>출장경비</t>
  </si>
  <si>
    <r>
      <rPr>
        <sz val="10"/>
        <rFont val="Times New Roman"/>
        <family val="1"/>
        <charset val="1"/>
      </rPr>
      <t>LOE(</t>
    </r>
    <r>
      <rPr>
        <sz val="10"/>
        <rFont val="Noto Sans CJK SC"/>
        <family val="2"/>
      </rPr>
      <t>경비 풀</t>
    </r>
    <r>
      <rPr>
        <sz val="10"/>
        <rFont val="Times New Roman"/>
        <family val="1"/>
        <charset val="1"/>
      </rPr>
      <t>)</t>
    </r>
  </si>
  <si>
    <t>프로젝트 공통비 CA에 합산 관리</t>
  </si>
  <si>
    <t>월별 계획 대비 실비 비교</t>
  </si>
  <si>
    <r>
      <rPr>
        <sz val="10"/>
        <rFont val="Times New Roman"/>
        <family val="1"/>
        <charset val="1"/>
      </rPr>
      <t>MM</t>
    </r>
    <r>
      <rPr>
        <sz val="10"/>
        <rFont val="Noto Sans CJK SC"/>
        <family val="2"/>
      </rPr>
      <t>이 아닌 순수 경비이므로 별도 관리</t>
    </r>
  </si>
  <si>
    <r>
      <rPr>
        <sz val="10"/>
        <rFont val="Times New Roman"/>
        <family val="1"/>
        <charset val="1"/>
      </rPr>
      <t xml:space="preserve">PM </t>
    </r>
    <r>
      <rPr>
        <sz val="10"/>
        <rFont val="Noto Sans CJK SC"/>
        <family val="2"/>
      </rPr>
      <t>정기활동</t>
    </r>
    <r>
      <rPr>
        <sz val="10"/>
        <rFont val="Times New Roman"/>
        <family val="1"/>
        <charset val="1"/>
      </rPr>
      <t>(</t>
    </r>
    <r>
      <rPr>
        <sz val="10"/>
        <rFont val="Noto Sans CJK SC"/>
        <family val="2"/>
      </rPr>
      <t>회의체 운영 등</t>
    </r>
    <r>
      <rPr>
        <sz val="10"/>
        <rFont val="Times New Roman"/>
        <family val="1"/>
        <charset val="1"/>
      </rPr>
      <t>)</t>
    </r>
  </si>
  <si>
    <r>
      <rPr>
        <sz val="10"/>
        <rFont val="Times New Roman"/>
        <family val="1"/>
        <charset val="1"/>
      </rPr>
      <t xml:space="preserve">MAN.3 CA </t>
    </r>
    <r>
      <rPr>
        <sz val="10"/>
        <rFont val="Noto Sans CJK SC"/>
        <family val="2"/>
      </rPr>
      <t xml:space="preserve">내 </t>
    </r>
    <r>
      <rPr>
        <sz val="10"/>
        <rFont val="Times New Roman"/>
        <family val="1"/>
        <charset val="1"/>
      </rPr>
      <t>LOE WP</t>
    </r>
    <r>
      <rPr>
        <sz val="10"/>
        <rFont val="Noto Sans CJK SC"/>
        <family val="2"/>
      </rPr>
      <t>로 관리</t>
    </r>
    <r>
      <rPr>
        <sz val="10"/>
        <rFont val="Times New Roman"/>
        <family val="1"/>
        <charset val="1"/>
      </rPr>
      <t>(</t>
    </r>
    <r>
      <rPr>
        <sz val="10"/>
        <rFont val="Noto Sans CJK SC"/>
        <family val="2"/>
      </rPr>
      <t xml:space="preserve">설계문서 </t>
    </r>
    <r>
      <rPr>
        <sz val="10"/>
        <rFont val="Times New Roman"/>
        <family val="1"/>
        <charset val="1"/>
      </rPr>
      <t>6-3)</t>
    </r>
  </si>
  <si>
    <t>시간비례</t>
  </si>
  <si>
    <t>계획서 승인 등 이벤트성 활동은 WP_상세의 Discrete WP로 별도 관리</t>
  </si>
  <si>
    <t>① 개발 시나리오 선택</t>
  </si>
  <si>
    <t>균형자체개발형(ASW-BSW 유사비중)</t>
  </si>
  <si>
    <t>← 이 셀의 드롭다운에서 프로젝트 상황에 맞는 시나리오를 선택하면 CA_개요의 BAC 배분비중이 자동으로 바뀝니다.</t>
  </si>
  <si>
    <t>시나리오\카테고리</t>
  </si>
  <si>
    <t>합계(=100% 확인)</t>
  </si>
  <si>
    <t>완성차 ASW사급+BSW전량외주(당사 통합중심)</t>
  </si>
  <si>
    <r>
      <rPr>
        <sz val="10"/>
        <rFont val="Times New Roman"/>
        <family val="1"/>
        <charset val="1"/>
      </rPr>
      <t xml:space="preserve">Tier-1 </t>
    </r>
    <r>
      <rPr>
        <sz val="10"/>
        <rFont val="Noto Sans CJK SC"/>
        <family val="2"/>
      </rPr>
      <t>표준형</t>
    </r>
    <r>
      <rPr>
        <sz val="10"/>
        <rFont val="Times New Roman"/>
        <family val="1"/>
        <charset val="1"/>
      </rPr>
      <t>(ASW</t>
    </r>
    <r>
      <rPr>
        <sz val="10"/>
        <rFont val="Noto Sans CJK SC"/>
        <family val="2"/>
      </rPr>
      <t>자체개발</t>
    </r>
    <r>
      <rPr>
        <sz val="10"/>
        <rFont val="Times New Roman"/>
        <family val="1"/>
        <charset val="1"/>
      </rPr>
      <t>, BSW</t>
    </r>
    <r>
      <rPr>
        <sz val="10"/>
        <rFont val="Noto Sans CJK SC"/>
        <family val="2"/>
      </rPr>
      <t>외주</t>
    </r>
    <r>
      <rPr>
        <sz val="10"/>
        <rFont val="Times New Roman"/>
        <family val="1"/>
        <charset val="1"/>
      </rPr>
      <t>/AUTOSAR</t>
    </r>
    <r>
      <rPr>
        <sz val="10"/>
        <rFont val="Noto Sans CJK SC"/>
        <family val="2"/>
      </rPr>
      <t>구매</t>
    </r>
    <r>
      <rPr>
        <sz val="10"/>
        <rFont val="Times New Roman"/>
        <family val="1"/>
        <charset val="1"/>
      </rPr>
      <t>)</t>
    </r>
  </si>
  <si>
    <t>시나리오 설명</t>
  </si>
  <si>
    <r>
      <rPr>
        <sz val="11"/>
        <color theme="1"/>
        <rFont val="Times New Roman"/>
        <family val="1"/>
        <charset val="1"/>
      </rPr>
      <t>ASW/BSW</t>
    </r>
    <r>
      <rPr>
        <sz val="11"/>
        <color theme="1"/>
        <rFont val="Noto Sans CJK SC"/>
        <family val="2"/>
      </rPr>
      <t>를 모두 자체 인력으로 개발하며 두 계층의 비중이 비슷한 경우</t>
    </r>
  </si>
  <si>
    <t>완성차가 ASW를 사급하고 BSW는 전량 외주, 당사는 통합·검증 위주로 수행하는 경우</t>
  </si>
  <si>
    <r>
      <rPr>
        <b/>
        <sz val="9"/>
        <rFont val="Times New Roman"/>
        <family val="1"/>
        <charset val="1"/>
      </rPr>
      <t xml:space="preserve">Tier-1 </t>
    </r>
    <r>
      <rPr>
        <b/>
        <sz val="9"/>
        <rFont val="Noto Sans CJK SC"/>
        <family val="2"/>
      </rPr>
      <t>표준형</t>
    </r>
    <r>
      <rPr>
        <b/>
        <sz val="9"/>
        <rFont val="Times New Roman"/>
        <family val="1"/>
        <charset val="1"/>
      </rPr>
      <t>(ASW</t>
    </r>
    <r>
      <rPr>
        <b/>
        <sz val="9"/>
        <rFont val="Noto Sans CJK SC"/>
        <family val="2"/>
      </rPr>
      <t>자체개발</t>
    </r>
    <r>
      <rPr>
        <b/>
        <sz val="9"/>
        <rFont val="Times New Roman"/>
        <family val="1"/>
        <charset val="1"/>
      </rPr>
      <t>, BSW</t>
    </r>
    <r>
      <rPr>
        <b/>
        <sz val="9"/>
        <rFont val="Noto Sans CJK SC"/>
        <family val="2"/>
      </rPr>
      <t>외주</t>
    </r>
    <r>
      <rPr>
        <b/>
        <sz val="9"/>
        <rFont val="Times New Roman"/>
        <family val="1"/>
        <charset val="1"/>
      </rPr>
      <t>/AUTOSAR</t>
    </r>
    <r>
      <rPr>
        <b/>
        <sz val="9"/>
        <rFont val="Noto Sans CJK SC"/>
        <family val="2"/>
      </rPr>
      <t>구매</t>
    </r>
    <r>
      <rPr>
        <b/>
        <sz val="9"/>
        <rFont val="Times New Roman"/>
        <family val="1"/>
        <charset val="1"/>
      </rPr>
      <t>)</t>
    </r>
  </si>
  <si>
    <r>
      <rPr>
        <sz val="11"/>
        <color theme="1"/>
        <rFont val="Times New Roman"/>
        <family val="1"/>
        <charset val="1"/>
      </rPr>
      <t>ASW</t>
    </r>
    <r>
      <rPr>
        <sz val="11"/>
        <color theme="1"/>
        <rFont val="Noto Sans CJK SC"/>
        <family val="2"/>
      </rPr>
      <t>는 자체개발</t>
    </r>
    <r>
      <rPr>
        <sz val="11"/>
        <color theme="1"/>
        <rFont val="Times New Roman"/>
        <family val="1"/>
        <charset val="1"/>
      </rPr>
      <t xml:space="preserve">(ML </t>
    </r>
    <r>
      <rPr>
        <sz val="11"/>
        <color theme="1"/>
        <rFont val="Noto Sans CJK SC"/>
        <family val="2"/>
      </rPr>
      <t>포함</t>
    </r>
    <r>
      <rPr>
        <sz val="11"/>
        <color theme="1"/>
        <rFont val="Times New Roman"/>
        <family val="1"/>
        <charset val="1"/>
      </rPr>
      <t>)</t>
    </r>
    <r>
      <rPr>
        <sz val="11"/>
        <color theme="1"/>
        <rFont val="Noto Sans CJK SC"/>
        <family val="2"/>
      </rPr>
      <t xml:space="preserve">하고 </t>
    </r>
    <r>
      <rPr>
        <sz val="11"/>
        <color theme="1"/>
        <rFont val="Times New Roman"/>
        <family val="1"/>
        <charset val="1"/>
      </rPr>
      <t>BSW</t>
    </r>
    <r>
      <rPr>
        <sz val="11"/>
        <color theme="1"/>
        <rFont val="Noto Sans CJK SC"/>
        <family val="2"/>
      </rPr>
      <t xml:space="preserve">는 외주 또는 </t>
    </r>
    <r>
      <rPr>
        <sz val="11"/>
        <color theme="1"/>
        <rFont val="Times New Roman"/>
        <family val="1"/>
        <charset val="1"/>
      </rPr>
      <t xml:space="preserve">AUTOSAR </t>
    </r>
    <r>
      <rPr>
        <sz val="11"/>
        <color theme="1"/>
        <rFont val="Noto Sans CJK SC"/>
        <family val="2"/>
      </rPr>
      <t>상용툴 구매로 조달하는 일반적 구조</t>
    </r>
  </si>
  <si>
    <t>② 그 외 가정 목록</t>
  </si>
  <si>
    <r>
      <rPr>
        <b/>
        <sz val="10"/>
        <rFont val="Times New Roman"/>
        <family val="1"/>
        <charset val="1"/>
      </rPr>
      <t xml:space="preserve">ML </t>
    </r>
    <r>
      <rPr>
        <b/>
        <sz val="10"/>
        <rFont val="Noto Sans CJK SC"/>
        <family val="2"/>
      </rPr>
      <t>처리 방식 가정</t>
    </r>
  </si>
  <si>
    <r>
      <rPr>
        <sz val="11"/>
        <color theme="1"/>
        <rFont val="Times New Roman"/>
        <family val="1"/>
        <charset val="1"/>
      </rPr>
      <t>ML(</t>
    </r>
    <r>
      <rPr>
        <sz val="11"/>
        <color theme="1"/>
        <rFont val="Noto Sans CJK SC"/>
        <family val="2"/>
      </rPr>
      <t>머신러닝</t>
    </r>
    <r>
      <rPr>
        <sz val="11"/>
        <color theme="1"/>
        <rFont val="Times New Roman"/>
        <family val="1"/>
        <charset val="1"/>
      </rPr>
      <t>)</t>
    </r>
    <r>
      <rPr>
        <sz val="11"/>
        <color theme="1"/>
        <rFont val="Noto Sans CJK SC"/>
        <family val="2"/>
      </rPr>
      <t xml:space="preserve">은 별도 관리체계를 두지 않고 </t>
    </r>
    <r>
      <rPr>
        <sz val="11"/>
        <color theme="1"/>
        <rFont val="Times New Roman"/>
        <family val="1"/>
        <charset val="1"/>
      </rPr>
      <t>ASW</t>
    </r>
    <r>
      <rPr>
        <sz val="11"/>
        <color theme="1"/>
        <rFont val="Noto Sans CJK SC"/>
        <family val="2"/>
      </rPr>
      <t>의 일부로 취급</t>
    </r>
    <r>
      <rPr>
        <sz val="11"/>
        <color theme="1"/>
        <rFont val="Times New Roman"/>
        <family val="1"/>
        <charset val="1"/>
      </rPr>
      <t>. SUP.11(ML</t>
    </r>
    <r>
      <rPr>
        <sz val="11"/>
        <color theme="1"/>
        <rFont val="Noto Sans CJK SC"/>
        <family val="2"/>
      </rPr>
      <t>데이터관리</t>
    </r>
    <r>
      <rPr>
        <sz val="11"/>
        <color theme="1"/>
        <rFont val="Times New Roman"/>
        <family val="1"/>
        <charset val="1"/>
      </rPr>
      <t>), MLE.1~4 CA</t>
    </r>
    <r>
      <rPr>
        <sz val="11"/>
        <color theme="1"/>
        <rFont val="Noto Sans CJK SC"/>
        <family val="2"/>
      </rPr>
      <t xml:space="preserve">는 원본 자가평가 워크북 구조를 보존하기 위해 </t>
    </r>
    <r>
      <rPr>
        <sz val="11"/>
        <color theme="1"/>
        <rFont val="Times New Roman"/>
        <family val="1"/>
        <charset val="1"/>
      </rPr>
      <t xml:space="preserve">CA </t>
    </r>
    <r>
      <rPr>
        <sz val="11"/>
        <color theme="1"/>
        <rFont val="Noto Sans CJK SC"/>
        <family val="2"/>
      </rPr>
      <t>자체는 남기되</t>
    </r>
    <r>
      <rPr>
        <sz val="11"/>
        <color theme="1"/>
        <rFont val="Times New Roman"/>
        <family val="1"/>
        <charset val="1"/>
      </rPr>
      <t xml:space="preserve">, BAC </t>
    </r>
    <r>
      <rPr>
        <sz val="11"/>
        <color theme="1"/>
        <rFont val="Noto Sans CJK SC"/>
        <family val="2"/>
      </rPr>
      <t xml:space="preserve">카테고리는 모두 </t>
    </r>
    <r>
      <rPr>
        <sz val="11"/>
        <color theme="1"/>
        <rFont val="Times New Roman"/>
        <family val="1"/>
        <charset val="1"/>
      </rPr>
      <t>'ASW'</t>
    </r>
    <r>
      <rPr>
        <sz val="11"/>
        <color theme="1"/>
        <rFont val="Noto Sans CJK SC"/>
        <family val="2"/>
      </rPr>
      <t>로 배정</t>
    </r>
    <r>
      <rPr>
        <sz val="11"/>
        <color theme="1"/>
        <rFont val="Times New Roman"/>
        <family val="1"/>
        <charset val="1"/>
      </rPr>
      <t>.</t>
    </r>
  </si>
  <si>
    <r>
      <rPr>
        <b/>
        <sz val="10"/>
        <rFont val="Times New Roman"/>
        <family val="1"/>
        <charset val="1"/>
      </rPr>
      <t xml:space="preserve">HW </t>
    </r>
    <r>
      <rPr>
        <b/>
        <sz val="10"/>
        <rFont val="Noto Sans CJK SC"/>
        <family val="2"/>
      </rPr>
      <t>병행개발 가정</t>
    </r>
  </si>
  <si>
    <r>
      <rPr>
        <sz val="11"/>
        <color theme="1"/>
        <rFont val="Times New Roman"/>
        <family val="1"/>
        <charset val="1"/>
      </rPr>
      <t xml:space="preserve">A/B </t>
    </r>
    <r>
      <rPr>
        <sz val="11"/>
        <color theme="1"/>
        <rFont val="Noto Sans CJK SC"/>
        <family val="2"/>
      </rPr>
      <t xml:space="preserve">샘플 개발 등 </t>
    </r>
    <r>
      <rPr>
        <sz val="11"/>
        <color theme="1"/>
        <rFont val="Times New Roman"/>
        <family val="1"/>
        <charset val="1"/>
      </rPr>
      <t>HW</t>
    </r>
    <r>
      <rPr>
        <sz val="11"/>
        <color theme="1"/>
        <rFont val="Noto Sans CJK SC"/>
        <family val="2"/>
      </rPr>
      <t xml:space="preserve">가 </t>
    </r>
    <r>
      <rPr>
        <sz val="11"/>
        <color theme="1"/>
        <rFont val="Times New Roman"/>
        <family val="1"/>
        <charset val="1"/>
      </rPr>
      <t>SW</t>
    </r>
    <r>
      <rPr>
        <sz val="11"/>
        <color theme="1"/>
        <rFont val="Noto Sans CJK SC"/>
        <family val="2"/>
      </rPr>
      <t xml:space="preserve">와 함께 병행 개발된다고 가정하여 </t>
    </r>
    <r>
      <rPr>
        <sz val="11"/>
        <color theme="1"/>
        <rFont val="Times New Roman"/>
        <family val="1"/>
        <charset val="1"/>
      </rPr>
      <t>HWE.1~4</t>
    </r>
    <r>
      <rPr>
        <sz val="11"/>
        <color theme="1"/>
        <rFont val="Noto Sans CJK SC"/>
        <family val="2"/>
      </rPr>
      <t xml:space="preserve">를 </t>
    </r>
    <r>
      <rPr>
        <sz val="11"/>
        <color theme="1"/>
        <rFont val="Times New Roman"/>
        <family val="1"/>
        <charset val="1"/>
      </rPr>
      <t xml:space="preserve">'HW' </t>
    </r>
    <r>
      <rPr>
        <sz val="11"/>
        <color theme="1"/>
        <rFont val="Noto Sans CJK SC"/>
        <family val="2"/>
      </rPr>
      <t>카테고리로 배정</t>
    </r>
    <r>
      <rPr>
        <sz val="11"/>
        <color theme="1"/>
        <rFont val="Times New Roman"/>
        <family val="1"/>
        <charset val="1"/>
      </rPr>
      <t>, 3</t>
    </r>
    <r>
      <rPr>
        <sz val="11"/>
        <color theme="1"/>
        <rFont val="Noto Sans CJK SC"/>
        <family val="2"/>
      </rPr>
      <t xml:space="preserve">개 시나리오 모두에서 </t>
    </r>
    <r>
      <rPr>
        <sz val="11"/>
        <color theme="1"/>
        <rFont val="Times New Roman"/>
        <family val="1"/>
        <charset val="1"/>
      </rPr>
      <t xml:space="preserve">2~6% </t>
    </r>
    <r>
      <rPr>
        <sz val="11"/>
        <color theme="1"/>
        <rFont val="Noto Sans CJK SC"/>
        <family val="2"/>
      </rPr>
      <t>실질 비중을 부여함</t>
    </r>
    <r>
      <rPr>
        <sz val="11"/>
        <color theme="1"/>
        <rFont val="Times New Roman"/>
        <family val="1"/>
        <charset val="1"/>
      </rPr>
      <t>(</t>
    </r>
    <r>
      <rPr>
        <sz val="11"/>
        <color theme="1"/>
        <rFont val="Noto Sans CJK SC"/>
        <family val="2"/>
      </rPr>
      <t xml:space="preserve">이전 초안의 </t>
    </r>
    <r>
      <rPr>
        <sz val="11"/>
        <color theme="1"/>
        <rFont val="Times New Roman"/>
        <family val="1"/>
        <charset val="1"/>
      </rPr>
      <t>'</t>
    </r>
    <r>
      <rPr>
        <sz val="11"/>
        <color theme="1"/>
        <rFont val="Noto Sans CJK SC"/>
        <family val="2"/>
      </rPr>
      <t xml:space="preserve">해당없음 </t>
    </r>
    <r>
      <rPr>
        <sz val="11"/>
        <color theme="1"/>
        <rFont val="Times New Roman"/>
        <family val="1"/>
        <charset val="1"/>
      </rPr>
      <t>0%'</t>
    </r>
    <r>
      <rPr>
        <sz val="11"/>
        <color theme="1"/>
        <rFont val="Noto Sans CJK SC"/>
        <family val="2"/>
      </rPr>
      <t>에서 변경</t>
    </r>
    <r>
      <rPr>
        <sz val="11"/>
        <color theme="1"/>
        <rFont val="Times New Roman"/>
        <family val="1"/>
        <charset val="1"/>
      </rPr>
      <t>).</t>
    </r>
  </si>
  <si>
    <r>
      <rPr>
        <b/>
        <sz val="10"/>
        <rFont val="Times New Roman"/>
        <family val="1"/>
        <charset val="1"/>
      </rPr>
      <t xml:space="preserve">ASW/BSW CA </t>
    </r>
    <r>
      <rPr>
        <b/>
        <sz val="10"/>
        <rFont val="Noto Sans CJK SC"/>
        <family val="2"/>
      </rPr>
      <t>분리</t>
    </r>
  </si>
  <si>
    <r>
      <rPr>
        <sz val="11"/>
        <color theme="1"/>
        <rFont val="Times New Roman"/>
        <family val="1"/>
        <charset val="1"/>
      </rPr>
      <t>SWE.3(</t>
    </r>
    <r>
      <rPr>
        <sz val="11"/>
        <color theme="1"/>
        <rFont val="Noto Sans CJK SC"/>
        <family val="2"/>
      </rPr>
      <t>상세설계</t>
    </r>
    <r>
      <rPr>
        <sz val="11"/>
        <color theme="1"/>
        <rFont val="Times New Roman"/>
        <family val="1"/>
        <charset val="1"/>
      </rPr>
      <t>/</t>
    </r>
    <r>
      <rPr>
        <sz val="11"/>
        <color theme="1"/>
        <rFont val="Noto Sans CJK SC"/>
        <family val="2"/>
      </rPr>
      <t>단위구현</t>
    </r>
    <r>
      <rPr>
        <sz val="11"/>
        <color theme="1"/>
        <rFont val="Times New Roman"/>
        <family val="1"/>
        <charset val="1"/>
      </rPr>
      <t>), SWE.4(</t>
    </r>
    <r>
      <rPr>
        <sz val="11"/>
        <color theme="1"/>
        <rFont val="Noto Sans CJK SC"/>
        <family val="2"/>
      </rPr>
      <t>단위검증</t>
    </r>
    <r>
      <rPr>
        <sz val="11"/>
        <color theme="1"/>
        <rFont val="Times New Roman"/>
        <family val="1"/>
        <charset val="1"/>
      </rPr>
      <t>)</t>
    </r>
    <r>
      <rPr>
        <sz val="11"/>
        <color theme="1"/>
        <rFont val="Noto Sans CJK SC"/>
        <family val="2"/>
      </rPr>
      <t>는 계층별로 담당</t>
    </r>
    <r>
      <rPr>
        <sz val="11"/>
        <color theme="1"/>
        <rFont val="Times New Roman"/>
        <family val="1"/>
        <charset val="1"/>
      </rPr>
      <t>(</t>
    </r>
    <r>
      <rPr>
        <sz val="11"/>
        <color theme="1"/>
        <rFont val="Noto Sans CJK SC"/>
        <family val="2"/>
      </rPr>
      <t xml:space="preserve">자체 </t>
    </r>
    <r>
      <rPr>
        <sz val="11"/>
        <color theme="1"/>
        <rFont val="Times New Roman"/>
        <family val="1"/>
        <charset val="1"/>
      </rPr>
      <t xml:space="preserve">vs </t>
    </r>
    <r>
      <rPr>
        <sz val="11"/>
        <color theme="1"/>
        <rFont val="Noto Sans CJK SC"/>
        <family val="2"/>
      </rPr>
      <t>외주</t>
    </r>
    <r>
      <rPr>
        <sz val="11"/>
        <color theme="1"/>
        <rFont val="Times New Roman"/>
        <family val="1"/>
        <charset val="1"/>
      </rPr>
      <t>)</t>
    </r>
    <r>
      <rPr>
        <sz val="11"/>
        <color theme="1"/>
        <rFont val="Noto Sans CJK SC"/>
        <family val="2"/>
      </rPr>
      <t xml:space="preserve">이 크게 달라지는 지점이므로 </t>
    </r>
    <r>
      <rPr>
        <sz val="11"/>
        <color theme="1"/>
        <rFont val="Times New Roman"/>
        <family val="1"/>
        <charset val="1"/>
      </rPr>
      <t>'SWE.3-ASW/BSW', 'SWE.4-ASW/BSW' 4</t>
    </r>
    <r>
      <rPr>
        <sz val="11"/>
        <color theme="1"/>
        <rFont val="Noto Sans CJK SC"/>
        <family val="2"/>
      </rPr>
      <t xml:space="preserve">개 </t>
    </r>
    <r>
      <rPr>
        <sz val="11"/>
        <color theme="1"/>
        <rFont val="Times New Roman"/>
        <family val="1"/>
        <charset val="1"/>
      </rPr>
      <t>CA</t>
    </r>
    <r>
      <rPr>
        <sz val="11"/>
        <color theme="1"/>
        <rFont val="Noto Sans CJK SC"/>
        <family val="2"/>
      </rPr>
      <t>로 분리</t>
    </r>
    <r>
      <rPr>
        <sz val="11"/>
        <color theme="1"/>
        <rFont val="Times New Roman"/>
        <family val="1"/>
        <charset val="1"/>
      </rPr>
      <t xml:space="preserve">. </t>
    </r>
    <r>
      <rPr>
        <sz val="11"/>
        <color theme="1"/>
        <rFont val="Noto Sans CJK SC"/>
        <family val="2"/>
      </rPr>
      <t xml:space="preserve">원본 자가평가 워크북은 계층 구분 없이 </t>
    </r>
    <r>
      <rPr>
        <sz val="11"/>
        <color theme="1"/>
        <rFont val="Times New Roman"/>
        <family val="1"/>
        <charset val="1"/>
      </rPr>
      <t>BP</t>
    </r>
    <r>
      <rPr>
        <sz val="11"/>
        <color theme="1"/>
        <rFont val="Noto Sans CJK SC"/>
        <family val="2"/>
      </rPr>
      <t>를 채점하므로</t>
    </r>
    <r>
      <rPr>
        <sz val="11"/>
        <color theme="1"/>
        <rFont val="Times New Roman"/>
        <family val="1"/>
        <charset val="1"/>
      </rPr>
      <t xml:space="preserve">, </t>
    </r>
    <r>
      <rPr>
        <sz val="11"/>
        <color theme="1"/>
        <rFont val="Noto Sans CJK SC"/>
        <family val="2"/>
      </rPr>
      <t xml:space="preserve">이 </t>
    </r>
    <r>
      <rPr>
        <sz val="11"/>
        <color theme="1"/>
        <rFont val="Times New Roman"/>
        <family val="1"/>
        <charset val="1"/>
      </rPr>
      <t>4</t>
    </r>
    <r>
      <rPr>
        <sz val="11"/>
        <color theme="1"/>
        <rFont val="Noto Sans CJK SC"/>
        <family val="2"/>
      </rPr>
      <t xml:space="preserve">개 </t>
    </r>
    <r>
      <rPr>
        <sz val="11"/>
        <color theme="1"/>
        <rFont val="Times New Roman"/>
        <family val="1"/>
        <charset val="1"/>
      </rPr>
      <t>CA</t>
    </r>
    <r>
      <rPr>
        <sz val="11"/>
        <color theme="1"/>
        <rFont val="Noto Sans CJK SC"/>
        <family val="2"/>
      </rPr>
      <t xml:space="preserve">는 동일한 </t>
    </r>
    <r>
      <rPr>
        <sz val="11"/>
        <color theme="1"/>
        <rFont val="Times New Roman"/>
        <family val="1"/>
        <charset val="1"/>
      </rPr>
      <t>BP#/</t>
    </r>
    <r>
      <rPr>
        <sz val="11"/>
        <color theme="1"/>
        <rFont val="Noto Sans CJK SC"/>
        <family val="2"/>
      </rPr>
      <t>채점기준을 공유하되 진도율은 계층별로 각자 입력해야 함</t>
    </r>
    <r>
      <rPr>
        <sz val="11"/>
        <color theme="1"/>
        <rFont val="Times New Roman"/>
        <family val="1"/>
        <charset val="1"/>
      </rPr>
      <t>(</t>
    </r>
    <r>
      <rPr>
        <sz val="11"/>
        <color theme="1"/>
        <rFont val="Noto Sans CJK SC"/>
        <family val="2"/>
      </rPr>
      <t>자가평가 워크북 자체의 계층 확장은 별도 검토 필요</t>
    </r>
    <r>
      <rPr>
        <sz val="11"/>
        <color theme="1"/>
        <rFont val="Times New Roman"/>
        <family val="1"/>
        <charset val="1"/>
      </rPr>
      <t>).</t>
    </r>
  </si>
  <si>
    <t>개발 시나리오 매트릭스</t>
  </si>
  <si>
    <t>외주 구조(ASW 자체개발/BSW 외주, 완성차 사급 등)에 따라 카테고리 목표비중이 크게 달라지므로, 고정값 대신 3가지 시나리오를 매트릭스로 제공하고 C4셀에서 선택하도록 구성. 제시된 3개 시나리오는 예시이며, 실제 계약구조가 다르면 매트릭스의 숫자를 직접 수정(노란색 셀)하거나 새 행을 추가해도 됨.</t>
  </si>
  <si>
    <r>
      <rPr>
        <b/>
        <sz val="10"/>
        <rFont val="Times New Roman"/>
        <family val="1"/>
        <charset val="1"/>
      </rPr>
      <t xml:space="preserve">CA </t>
    </r>
    <r>
      <rPr>
        <b/>
        <sz val="10"/>
        <rFont val="Noto Sans CJK SC"/>
        <family val="2"/>
      </rPr>
      <t xml:space="preserve">내 </t>
    </r>
    <r>
      <rPr>
        <b/>
        <sz val="10"/>
        <rFont val="Times New Roman"/>
        <family val="1"/>
        <charset val="1"/>
      </rPr>
      <t xml:space="preserve">BAC </t>
    </r>
    <r>
      <rPr>
        <b/>
        <sz val="10"/>
        <rFont val="Noto Sans CJK SC"/>
        <family val="2"/>
      </rPr>
      <t>세부 배분 방식</t>
    </r>
  </si>
  <si>
    <t>각 카테고리 목표비중을, CA_개요의 '소속 WP(산출물) 개수'에 비례하여 같은 카테고리 내 CA들에 배분(=목표비중×해당CA WP수/해당카테고리 전체WP수). 실제 MM 계획이 수립되면 이 근사 배분을 교체할 것(설계문서 5장: BAC는 궁극적으로 실제 MM 계획 기반이어야 함).</t>
  </si>
  <si>
    <t>혼합 CA의 Discrete/LOE 최종 확정</t>
  </si>
  <si>
    <r>
      <rPr>
        <sz val="11"/>
        <color theme="1"/>
        <rFont val="Times New Roman"/>
        <family val="1"/>
        <charset val="1"/>
      </rPr>
      <t>WP_</t>
    </r>
    <r>
      <rPr>
        <sz val="11"/>
        <color theme="1"/>
        <rFont val="Noto Sans CJK SC"/>
        <family val="2"/>
      </rPr>
      <t>상세의 관리방식</t>
    </r>
    <r>
      <rPr>
        <sz val="11"/>
        <color theme="1"/>
        <rFont val="Times New Roman"/>
        <family val="1"/>
        <charset val="1"/>
      </rPr>
      <t>(</t>
    </r>
    <r>
      <rPr>
        <sz val="11"/>
        <color theme="1"/>
        <rFont val="Noto Sans CJK SC"/>
        <family val="2"/>
      </rPr>
      <t>확정</t>
    </r>
    <r>
      <rPr>
        <sz val="11"/>
        <color theme="1"/>
        <rFont val="Times New Roman"/>
        <family val="1"/>
        <charset val="1"/>
      </rPr>
      <t xml:space="preserve">) </t>
    </r>
    <r>
      <rPr>
        <sz val="11"/>
        <color theme="1"/>
        <rFont val="Noto Sans CJK SC"/>
        <family val="2"/>
      </rPr>
      <t>열은 산출물명 키워드 자동제안에 수기검토를 거쳐 확정한 것</t>
    </r>
    <r>
      <rPr>
        <sz val="11"/>
        <color theme="1"/>
        <rFont val="Times New Roman"/>
        <family val="1"/>
        <charset val="1"/>
      </rPr>
      <t>. ACQ.4 BP3(</t>
    </r>
    <r>
      <rPr>
        <sz val="11"/>
        <color theme="1"/>
        <rFont val="Noto Sans CJK SC"/>
        <family val="2"/>
      </rPr>
      <t>공동검토기록</t>
    </r>
    <r>
      <rPr>
        <sz val="11"/>
        <color theme="1"/>
        <rFont val="Times New Roman"/>
        <family val="1"/>
        <charset val="1"/>
      </rPr>
      <t>), BP5(</t>
    </r>
    <r>
      <rPr>
        <sz val="11"/>
        <color theme="1"/>
        <rFont val="Noto Sans CJK SC"/>
        <family val="2"/>
      </rPr>
      <t>시정조치기록</t>
    </r>
    <r>
      <rPr>
        <sz val="11"/>
        <color theme="1"/>
        <rFont val="Times New Roman"/>
        <family val="1"/>
        <charset val="1"/>
      </rPr>
      <t>)</t>
    </r>
    <r>
      <rPr>
        <sz val="11"/>
        <color theme="1"/>
        <rFont val="Noto Sans CJK SC"/>
        <family val="2"/>
      </rPr>
      <t>는 반복적 활동 성격이 강해 자동제안</t>
    </r>
    <r>
      <rPr>
        <sz val="11"/>
        <color theme="1"/>
        <rFont val="Times New Roman"/>
        <family val="1"/>
        <charset val="1"/>
      </rPr>
      <t>(Discrete)</t>
    </r>
    <r>
      <rPr>
        <sz val="11"/>
        <color theme="1"/>
        <rFont val="Noto Sans CJK SC"/>
        <family val="2"/>
      </rPr>
      <t xml:space="preserve">에서 </t>
    </r>
    <r>
      <rPr>
        <sz val="11"/>
        <color theme="1"/>
        <rFont val="Times New Roman"/>
        <family val="1"/>
        <charset val="1"/>
      </rPr>
      <t>LOE</t>
    </r>
    <r>
      <rPr>
        <sz val="11"/>
        <color theme="1"/>
        <rFont val="Noto Sans CJK SC"/>
        <family val="2"/>
      </rPr>
      <t>로 재분류함</t>
    </r>
    <r>
      <rPr>
        <sz val="11"/>
        <color theme="1"/>
        <rFont val="Times New Roman"/>
        <family val="1"/>
        <charset val="1"/>
      </rPr>
      <t>(K</t>
    </r>
    <r>
      <rPr>
        <sz val="11"/>
        <color theme="1"/>
        <rFont val="Noto Sans CJK SC"/>
        <family val="2"/>
      </rPr>
      <t>열에 표시</t>
    </r>
    <r>
      <rPr>
        <sz val="11"/>
        <color theme="1"/>
        <rFont val="Times New Roman"/>
        <family val="1"/>
        <charset val="1"/>
      </rPr>
      <t xml:space="preserve">). </t>
    </r>
    <r>
      <rPr>
        <sz val="11"/>
        <color theme="1"/>
        <rFont val="Noto Sans CJK SC"/>
        <family val="2"/>
      </rPr>
      <t xml:space="preserve">나머지 혼합 </t>
    </r>
    <r>
      <rPr>
        <sz val="11"/>
        <color theme="1"/>
        <rFont val="Times New Roman"/>
        <family val="1"/>
        <charset val="1"/>
      </rPr>
      <t>CA(SUP.1/SUP.8/SUP.10)</t>
    </r>
    <r>
      <rPr>
        <sz val="11"/>
        <color theme="1"/>
        <rFont val="Noto Sans CJK SC"/>
        <family val="2"/>
      </rPr>
      <t>는 자동제안값을 그대로 채택</t>
    </r>
    <r>
      <rPr>
        <sz val="11"/>
        <color theme="1"/>
        <rFont val="Times New Roman"/>
        <family val="1"/>
        <charset val="1"/>
      </rPr>
      <t>.</t>
    </r>
  </si>
  <si>
    <t>마일스톤 정규화 시점 가정</t>
  </si>
  <si>
    <t>계획곡선 산정을 위해 프로젝트 전체 기간 대비 마일스톤 시점을 M-Car=15%, Proto=40%, P1=60%, P2=85%, SoP=100%로 가정(자동차 SW 개발의 전형적 마일스톤 간격 기준). 실제 프로젝트 일정표가 확정되면 반드시 교체할 것.</t>
  </si>
  <si>
    <t>계획곡선의 성격에 대한 유의사항</t>
  </si>
  <si>
    <t>계획곡선_후보 시트의 후보A/B는 마일스톤별 'Discrete WP 개수'의 누적 비율을 기반으로 산정한 것으로, 실제 공수(effort) 가중치가 아닌 산출물 개수 기준의 1차 근사치임. 산출물이 초반 마일스톤(M-Car)에 다수 몰려 있어(요구사항·아키텍처 산출물 집중) 전형적인 대칭 S자보다 초반에 급격히 상승하는 형태로 나타남.</t>
  </si>
  <si>
    <t>유지보수 개정 보정(중요)</t>
  </si>
  <si>
    <r>
      <rPr>
        <sz val="11"/>
        <color theme="1"/>
        <rFont val="Times New Roman"/>
        <family val="1"/>
        <charset val="1"/>
      </rPr>
      <t xml:space="preserve">SW </t>
    </r>
    <r>
      <rPr>
        <sz val="11"/>
        <color theme="1"/>
        <rFont val="Noto Sans CJK SC"/>
        <family val="2"/>
      </rPr>
      <t>산출물은 원 마일스톤에서 생성된 뒤 끝나는 것이 아니라 프로젝트 종료 시점까지 지속적으로 개정된다</t>
    </r>
    <r>
      <rPr>
        <sz val="11"/>
        <color theme="1"/>
        <rFont val="Times New Roman"/>
        <family val="1"/>
        <charset val="1"/>
      </rPr>
      <t>(</t>
    </r>
    <r>
      <rPr>
        <sz val="11"/>
        <color theme="1"/>
        <rFont val="Noto Sans CJK SC"/>
        <family val="2"/>
      </rPr>
      <t>요구사항 변경</t>
    </r>
    <r>
      <rPr>
        <sz val="11"/>
        <color theme="1"/>
        <rFont val="Times New Roman"/>
        <family val="1"/>
        <charset val="1"/>
      </rPr>
      <t xml:space="preserve">, </t>
    </r>
    <r>
      <rPr>
        <sz val="11"/>
        <color theme="1"/>
        <rFont val="Noto Sans CJK SC"/>
        <family val="2"/>
      </rPr>
      <t xml:space="preserve">아키텍처 </t>
    </r>
    <r>
      <rPr>
        <sz val="11"/>
        <color theme="1"/>
        <rFont val="Times New Roman"/>
        <family val="1"/>
        <charset val="1"/>
      </rPr>
      <t xml:space="preserve">refinement, </t>
    </r>
    <r>
      <rPr>
        <sz val="11"/>
        <color theme="1"/>
        <rFont val="Noto Sans CJK SC"/>
        <family val="2"/>
      </rPr>
      <t>코드 수정 등</t>
    </r>
    <r>
      <rPr>
        <sz val="11"/>
        <color theme="1"/>
        <rFont val="Times New Roman"/>
        <family val="1"/>
        <charset val="1"/>
      </rPr>
      <t xml:space="preserve">). </t>
    </r>
    <r>
      <rPr>
        <sz val="11"/>
        <color theme="1"/>
        <rFont val="Noto Sans CJK SC"/>
        <family val="2"/>
      </rPr>
      <t xml:space="preserve">이를 반영하기 위해 </t>
    </r>
    <r>
      <rPr>
        <sz val="11"/>
        <color theme="1"/>
        <rFont val="Times New Roman"/>
        <family val="1"/>
        <charset val="1"/>
      </rPr>
      <t>'</t>
    </r>
    <r>
      <rPr>
        <sz val="11"/>
        <color theme="1"/>
        <rFont val="Noto Sans CJK SC"/>
        <family val="2"/>
      </rPr>
      <t>계획곡선</t>
    </r>
    <r>
      <rPr>
        <sz val="11"/>
        <color theme="1"/>
        <rFont val="Times New Roman"/>
        <family val="1"/>
        <charset val="1"/>
      </rPr>
      <t>_</t>
    </r>
    <r>
      <rPr>
        <sz val="11"/>
        <color theme="1"/>
        <rFont val="Noto Sans CJK SC"/>
        <family val="2"/>
      </rPr>
      <t>보정</t>
    </r>
    <r>
      <rPr>
        <sz val="11"/>
        <color theme="1"/>
        <rFont val="Times New Roman"/>
        <family val="1"/>
        <charset val="1"/>
      </rPr>
      <t xml:space="preserve">' </t>
    </r>
    <r>
      <rPr>
        <sz val="11"/>
        <color theme="1"/>
        <rFont val="Noto Sans CJK SC"/>
        <family val="2"/>
      </rPr>
      <t>시트를 추가</t>
    </r>
    <r>
      <rPr>
        <sz val="11"/>
        <color theme="1"/>
        <rFont val="Times New Roman"/>
        <family val="1"/>
        <charset val="1"/>
      </rPr>
      <t xml:space="preserve">: </t>
    </r>
    <r>
      <rPr>
        <sz val="11"/>
        <color theme="1"/>
        <rFont val="Noto Sans CJK SC"/>
        <family val="2"/>
      </rPr>
      <t>설계</t>
    </r>
    <r>
      <rPr>
        <sz val="11"/>
        <color theme="1"/>
        <rFont val="Times New Roman"/>
        <family val="1"/>
        <charset val="1"/>
      </rPr>
      <t>/</t>
    </r>
    <r>
      <rPr>
        <sz val="11"/>
        <color theme="1"/>
        <rFont val="Noto Sans CJK SC"/>
        <family val="2"/>
      </rPr>
      <t>계획형 산출물</t>
    </r>
    <r>
      <rPr>
        <sz val="11"/>
        <color theme="1"/>
        <rFont val="Times New Roman"/>
        <family val="1"/>
        <charset val="1"/>
      </rPr>
      <t xml:space="preserve">(Requirement/Architecture/Design/Project Plan/Software Unit </t>
    </r>
    <r>
      <rPr>
        <sz val="11"/>
        <color theme="1"/>
        <rFont val="Noto Sans CJK SC"/>
        <family val="2"/>
      </rPr>
      <t>등</t>
    </r>
    <r>
      <rPr>
        <sz val="11"/>
        <color theme="1"/>
        <rFont val="Times New Roman"/>
        <family val="1"/>
        <charset val="1"/>
      </rPr>
      <t>, WP_</t>
    </r>
    <r>
      <rPr>
        <sz val="11"/>
        <color theme="1"/>
        <rFont val="Noto Sans CJK SC"/>
        <family val="2"/>
      </rPr>
      <t xml:space="preserve">상세의 </t>
    </r>
    <r>
      <rPr>
        <sz val="11"/>
        <color theme="1"/>
        <rFont val="Times New Roman"/>
        <family val="1"/>
        <charset val="1"/>
      </rPr>
      <t>'</t>
    </r>
    <r>
      <rPr>
        <sz val="11"/>
        <color theme="1"/>
        <rFont val="Noto Sans CJK SC"/>
        <family val="2"/>
      </rPr>
      <t>유지보수반영</t>
    </r>
    <r>
      <rPr>
        <sz val="11"/>
        <color theme="1"/>
        <rFont val="Times New Roman"/>
        <family val="1"/>
        <charset val="1"/>
      </rPr>
      <t>=Y')</t>
    </r>
    <r>
      <rPr>
        <sz val="11"/>
        <color theme="1"/>
        <rFont val="Noto Sans CJK SC"/>
        <family val="2"/>
      </rPr>
      <t xml:space="preserve">은 </t>
    </r>
    <r>
      <rPr>
        <sz val="11"/>
        <color theme="1"/>
        <rFont val="Times New Roman"/>
        <family val="1"/>
        <charset val="1"/>
      </rPr>
      <t>BAC</t>
    </r>
    <r>
      <rPr>
        <sz val="11"/>
        <color theme="1"/>
        <rFont val="Noto Sans CJK SC"/>
        <family val="2"/>
      </rPr>
      <t xml:space="preserve">의 </t>
    </r>
    <r>
      <rPr>
        <sz val="11"/>
        <color theme="1"/>
        <rFont val="Times New Roman"/>
        <family val="1"/>
        <charset val="1"/>
      </rPr>
      <t>40%</t>
    </r>
    <r>
      <rPr>
        <sz val="11"/>
        <color theme="1"/>
        <rFont val="Noto Sans CJK SC"/>
        <family val="2"/>
      </rPr>
      <t xml:space="preserve">를 원 마일스톤에 </t>
    </r>
    <r>
      <rPr>
        <sz val="11"/>
        <color theme="1"/>
        <rFont val="Times New Roman"/>
        <family val="1"/>
        <charset val="1"/>
      </rPr>
      <t>'</t>
    </r>
    <r>
      <rPr>
        <sz val="11"/>
        <color theme="1"/>
        <rFont val="Noto Sans CJK SC"/>
        <family val="2"/>
      </rPr>
      <t>최초작성</t>
    </r>
    <r>
      <rPr>
        <sz val="11"/>
        <color theme="1"/>
        <rFont val="Times New Roman"/>
        <family val="1"/>
        <charset val="1"/>
      </rPr>
      <t>'</t>
    </r>
    <r>
      <rPr>
        <sz val="11"/>
        <color theme="1"/>
        <rFont val="Noto Sans CJK SC"/>
        <family val="2"/>
      </rPr>
      <t>으로</t>
    </r>
    <r>
      <rPr>
        <sz val="11"/>
        <color theme="1"/>
        <rFont val="Times New Roman"/>
        <family val="1"/>
        <charset val="1"/>
      </rPr>
      <t xml:space="preserve">, </t>
    </r>
    <r>
      <rPr>
        <sz val="11"/>
        <color theme="1"/>
        <rFont val="Noto Sans CJK SC"/>
        <family val="2"/>
      </rPr>
      <t xml:space="preserve">나머지 </t>
    </r>
    <r>
      <rPr>
        <sz val="11"/>
        <color theme="1"/>
        <rFont val="Times New Roman"/>
        <family val="1"/>
        <charset val="1"/>
      </rPr>
      <t>60%</t>
    </r>
    <r>
      <rPr>
        <sz val="11"/>
        <color theme="1"/>
        <rFont val="Noto Sans CJK SC"/>
        <family val="2"/>
      </rPr>
      <t xml:space="preserve">를 원 마일스톤부터 </t>
    </r>
    <r>
      <rPr>
        <sz val="11"/>
        <color theme="1"/>
        <rFont val="Times New Roman"/>
        <family val="1"/>
        <charset val="1"/>
      </rPr>
      <t>SoP</t>
    </r>
    <r>
      <rPr>
        <sz val="11"/>
        <color theme="1"/>
        <rFont val="Noto Sans CJK SC"/>
        <family val="2"/>
      </rPr>
      <t xml:space="preserve">까지 잔여 마일스톤에 균등 배분하여 </t>
    </r>
    <r>
      <rPr>
        <sz val="11"/>
        <color theme="1"/>
        <rFont val="Times New Roman"/>
        <family val="1"/>
        <charset val="1"/>
      </rPr>
      <t>'</t>
    </r>
    <r>
      <rPr>
        <sz val="11"/>
        <color theme="1"/>
        <rFont val="Noto Sans CJK SC"/>
        <family val="2"/>
      </rPr>
      <t>유지보수 개정</t>
    </r>
    <r>
      <rPr>
        <sz val="11"/>
        <color theme="1"/>
        <rFont val="Times New Roman"/>
        <family val="1"/>
        <charset val="1"/>
      </rPr>
      <t>'</t>
    </r>
    <r>
      <rPr>
        <sz val="11"/>
        <color theme="1"/>
        <rFont val="Noto Sans CJK SC"/>
        <family val="2"/>
      </rPr>
      <t>으로 인식</t>
    </r>
    <r>
      <rPr>
        <sz val="11"/>
        <color theme="1"/>
        <rFont val="Times New Roman"/>
        <family val="1"/>
        <charset val="1"/>
      </rPr>
      <t xml:space="preserve">. </t>
    </r>
    <r>
      <rPr>
        <sz val="11"/>
        <color theme="1"/>
        <rFont val="Noto Sans CJK SC"/>
        <family val="2"/>
      </rPr>
      <t xml:space="preserve">이 보정을 반영하면 </t>
    </r>
    <r>
      <rPr>
        <sz val="11"/>
        <color theme="1"/>
        <rFont val="Times New Roman"/>
        <family val="1"/>
        <charset val="1"/>
      </rPr>
      <t xml:space="preserve">M-Car </t>
    </r>
    <r>
      <rPr>
        <sz val="11"/>
        <color theme="1"/>
        <rFont val="Noto Sans CJK SC"/>
        <family val="2"/>
      </rPr>
      <t xml:space="preserve">비중이 </t>
    </r>
    <r>
      <rPr>
        <sz val="11"/>
        <color theme="1"/>
        <rFont val="Times New Roman"/>
        <family val="1"/>
        <charset val="1"/>
      </rPr>
      <t>46%→33%</t>
    </r>
    <r>
      <rPr>
        <sz val="11"/>
        <color theme="1"/>
        <rFont val="Noto Sans CJK SC"/>
        <family val="2"/>
      </rPr>
      <t>로 낮아지고 마일스톤 간 분포가 훨씬 평평해져</t>
    </r>
    <r>
      <rPr>
        <sz val="11"/>
        <color theme="1"/>
        <rFont val="Times New Roman"/>
        <family val="1"/>
        <charset val="1"/>
      </rPr>
      <t xml:space="preserve">, </t>
    </r>
    <r>
      <rPr>
        <sz val="11"/>
        <color theme="1"/>
        <rFont val="Noto Sans CJK SC"/>
        <family val="2"/>
      </rPr>
      <t>투입인력이 초반에 구성되어 끝까지 유지되는 실제 패턴과 더 부합함</t>
    </r>
    <r>
      <rPr>
        <sz val="11"/>
        <color theme="1"/>
        <rFont val="Times New Roman"/>
        <family val="1"/>
        <charset val="1"/>
      </rPr>
      <t xml:space="preserve">. </t>
    </r>
    <r>
      <rPr>
        <sz val="11"/>
        <color theme="1"/>
        <rFont val="Noto Sans CJK SC"/>
        <family val="2"/>
      </rPr>
      <t>계획곡선</t>
    </r>
    <r>
      <rPr>
        <sz val="11"/>
        <color theme="1"/>
        <rFont val="Times New Roman"/>
        <family val="1"/>
        <charset val="1"/>
      </rPr>
      <t>_</t>
    </r>
    <r>
      <rPr>
        <sz val="11"/>
        <color theme="1"/>
        <rFont val="Noto Sans CJK SC"/>
        <family val="2"/>
      </rPr>
      <t xml:space="preserve">후보의 </t>
    </r>
    <r>
      <rPr>
        <sz val="11"/>
        <color theme="1"/>
        <rFont val="Times New Roman"/>
        <family val="1"/>
        <charset val="1"/>
      </rPr>
      <t>'</t>
    </r>
    <r>
      <rPr>
        <sz val="11"/>
        <color theme="1"/>
        <rFont val="Noto Sans CJK SC"/>
        <family val="2"/>
      </rPr>
      <t xml:space="preserve">후보 </t>
    </r>
    <r>
      <rPr>
        <sz val="11"/>
        <color theme="1"/>
        <rFont val="Times New Roman"/>
        <family val="1"/>
        <charset val="1"/>
      </rPr>
      <t>C'</t>
    </r>
    <r>
      <rPr>
        <sz val="11"/>
        <color theme="1"/>
        <rFont val="Noto Sans CJK SC"/>
        <family val="2"/>
      </rPr>
      <t>가 이 보정을 반영한 베타곡선</t>
    </r>
    <r>
      <rPr>
        <sz val="11"/>
        <color theme="1"/>
        <rFont val="Times New Roman"/>
        <family val="1"/>
        <charset val="1"/>
      </rPr>
      <t>(α≈0.74, β≈1.41)</t>
    </r>
    <r>
      <rPr>
        <sz val="11"/>
        <color theme="1"/>
        <rFont val="Noto Sans CJK SC"/>
        <family val="2"/>
      </rPr>
      <t>이며 현재 권장안임</t>
    </r>
    <r>
      <rPr>
        <sz val="11"/>
        <color theme="1"/>
        <rFont val="Times New Roman"/>
        <family val="1"/>
        <charset val="1"/>
      </rPr>
      <t xml:space="preserve">. 40%/60% </t>
    </r>
    <r>
      <rPr>
        <sz val="11"/>
        <color theme="1"/>
        <rFont val="Noto Sans CJK SC"/>
        <family val="2"/>
      </rPr>
      <t>분할비율 자체도 가정이므로 실적 축적 후 조정 필요</t>
    </r>
    <r>
      <rPr>
        <sz val="11"/>
        <color theme="1"/>
        <rFont val="Times New Roman"/>
        <family val="1"/>
        <charset val="1"/>
      </rPr>
      <t>(WP_</t>
    </r>
    <r>
      <rPr>
        <sz val="11"/>
        <color theme="1"/>
        <rFont val="Noto Sans CJK SC"/>
        <family val="2"/>
      </rPr>
      <t xml:space="preserve">상세의 </t>
    </r>
    <r>
      <rPr>
        <sz val="11"/>
        <color theme="1"/>
        <rFont val="Times New Roman"/>
        <family val="1"/>
        <charset val="1"/>
      </rPr>
      <t>'</t>
    </r>
    <r>
      <rPr>
        <sz val="11"/>
        <color theme="1"/>
        <rFont val="Noto Sans CJK SC"/>
        <family val="2"/>
      </rPr>
      <t>최초작성비중</t>
    </r>
    <r>
      <rPr>
        <sz val="11"/>
        <color theme="1"/>
        <rFont val="Times New Roman"/>
        <family val="1"/>
        <charset val="1"/>
      </rPr>
      <t xml:space="preserve">(%)' </t>
    </r>
    <r>
      <rPr>
        <sz val="11"/>
        <color theme="1"/>
        <rFont val="Noto Sans CJK SC"/>
        <family val="2"/>
      </rPr>
      <t>열에서 개별 조정 가능</t>
    </r>
    <r>
      <rPr>
        <sz val="11"/>
        <color theme="1"/>
        <rFont val="Times New Roman"/>
        <family val="1"/>
        <charset val="1"/>
      </rPr>
      <t>).</t>
    </r>
  </si>
  <si>
    <t>③ 실적MM/월별 계획 가정</t>
  </si>
  <si>
    <t>총 프로젝트 기간(개월)</t>
  </si>
  <si>
    <t>가정 — 실제 프로젝트 일정표 확정 시 교체</t>
  </si>
  <si>
    <t>총 투입 규모(MM)</t>
  </si>
  <si>
    <t>가정(라운드넘버 placeholder) — 실제 인력계획(요원별 투입기간) 수립 시 교체</t>
  </si>
  <si>
    <t>월별 계획MM 배분 방식</t>
  </si>
  <si>
    <t>균등배분</t>
  </si>
  <si>
    <t>사용자가 언급한 대로 인력이 프로젝트 초반 구성 후 종료까지 유지되는 패턴을 반영해, CA별 총계획MM을 전체 개월 수에 균등 배분(1차 근사). 정교화 시 계획곡선_보정의 마일스톤별 가중치를 월 단위로 환산해 대체 가능.</t>
  </si>
  <si>
    <r>
      <rPr>
        <sz val="10"/>
        <rFont val="Times New Roman"/>
        <family val="1"/>
        <charset val="1"/>
      </rPr>
      <t xml:space="preserve">ACWP-BCWP </t>
    </r>
    <r>
      <rPr>
        <sz val="10"/>
        <rFont val="Noto Sans CJK SC"/>
        <family val="2"/>
      </rPr>
      <t>독립성 원칙</t>
    </r>
  </si>
  <si>
    <t>실적MM_입력 시트는 진도율과 무관하게 CAM이 실제 투입한 공수만 입력. EVMS_대시보드에서 WP_상세 진도율(BCWP)과 결합해 SPI/CPI 산출(설계문서 5장 원칙).</t>
  </si>
  <si>
    <t>④ 자가평가 워크북 계층 확장 가정</t>
  </si>
  <si>
    <t>원본 워크북 미변경 원칙</t>
  </si>
  <si>
    <t>원본 ASpice_selfAssessment_perMilestones_v1.xlsm은 매크로(VBA) 기반 자동재생성 구조라 임의 구조변경 시 매크로가 깨질 위험이 있어 직접 수정하지 않음. 대신 본 워크북에 'SWE34_계층별_채점보충' 시트를 신설해 SWE.3/SWE.4의 BP를 ASW/BSW 계층별로 각자 채점하도록 함. 원본 워크북의 채점기준표(계획수립10/작성40/동료검토20/보고승인20/PM체크10, 등급S~D)를 그대로 복제해 사용.</t>
  </si>
  <si>
    <t>향후 정식 확장 필요</t>
  </si>
  <si>
    <t>이 보충 시트는 임시방편이며, 장기적으로는 원본 워크북 자체에 계층(ASW/BSW) 차원을 정식 추가하는 것을 권장(1단계 숙제 항목은 아니었으나 2단계 수행 중 새로 식별된 후속 과제).</t>
  </si>
  <si>
    <t>⑤ 노무단가 환산 가정 (MM ↔ 원화 통합)</t>
  </si>
  <si>
    <t>노무단가(원/시간)</t>
  </si>
  <si>
    <t>시간당 50,000원 가정. 이 셀 값을 바꾸면 EVMS_대시보드의 원화환산 전체가 자동 갱신됨.</t>
  </si>
  <si>
    <r>
      <rPr>
        <sz val="10"/>
        <rFont val="맑은 고딕"/>
        <family val="3"/>
        <charset val="129"/>
      </rPr>
      <t>1MM</t>
    </r>
    <r>
      <rPr>
        <sz val="10"/>
        <rFont val="Noto Sans CJK SC"/>
        <family val="2"/>
      </rPr>
      <t>당 표준시간</t>
    </r>
    <r>
      <rPr>
        <sz val="10"/>
        <rFont val="맑은 고딕"/>
        <family val="3"/>
        <charset val="129"/>
      </rPr>
      <t>(</t>
    </r>
    <r>
      <rPr>
        <sz val="10"/>
        <rFont val="Noto Sans CJK SC"/>
        <family val="2"/>
      </rPr>
      <t>시간</t>
    </r>
    <r>
      <rPr>
        <sz val="10"/>
        <rFont val="맑은 고딕"/>
        <family val="3"/>
        <charset val="129"/>
      </rPr>
      <t>)</t>
    </r>
  </si>
  <si>
    <t>가정(20일×8시간). 실제 표준근로시간 정책에 맞춰 조정 가능(예: 209시간 등).</t>
  </si>
  <si>
    <t>노무단가(원/MM, 자동계산)</t>
  </si>
  <si>
    <t>노무단가(원/시간) × 1MM당 표준시간. EVMS_대시보드의 모든 원화환산 컬럼이 이 셀을 참조.</t>
  </si>
  <si>
    <t>계획·실적 동일 단가 원칙</t>
  </si>
  <si>
    <r>
      <rPr>
        <sz val="10"/>
        <rFont val="맑은 고딕"/>
        <family val="3"/>
        <charset val="129"/>
      </rPr>
      <t>BCWS/BCWP(</t>
    </r>
    <r>
      <rPr>
        <sz val="10"/>
        <rFont val="Noto Sans CJK SC"/>
        <family val="2"/>
      </rPr>
      <t>계획</t>
    </r>
    <r>
      <rPr>
        <sz val="10"/>
        <rFont val="맑은 고딕"/>
        <family val="3"/>
        <charset val="129"/>
      </rPr>
      <t>·</t>
    </r>
    <r>
      <rPr>
        <sz val="10"/>
        <rFont val="Noto Sans CJK SC"/>
        <family val="2"/>
      </rPr>
      <t>성과</t>
    </r>
    <r>
      <rPr>
        <sz val="10"/>
        <rFont val="맑은 고딕"/>
        <family val="3"/>
        <charset val="129"/>
      </rPr>
      <t>)</t>
    </r>
    <r>
      <rPr>
        <sz val="10"/>
        <rFont val="Noto Sans CJK SC"/>
        <family val="2"/>
      </rPr>
      <t xml:space="preserve">와 </t>
    </r>
    <r>
      <rPr>
        <sz val="10"/>
        <rFont val="맑은 고딕"/>
        <family val="3"/>
        <charset val="129"/>
      </rPr>
      <t>ACWP(</t>
    </r>
    <r>
      <rPr>
        <sz val="10"/>
        <rFont val="Noto Sans CJK SC"/>
        <family val="2"/>
      </rPr>
      <t>실적</t>
    </r>
    <r>
      <rPr>
        <sz val="10"/>
        <rFont val="맑은 고딕"/>
        <family val="3"/>
        <charset val="129"/>
      </rPr>
      <t xml:space="preserve">) </t>
    </r>
    <r>
      <rPr>
        <sz val="10"/>
        <rFont val="Noto Sans CJK SC"/>
        <family val="2"/>
      </rPr>
      <t>환산에 동일한 노무단가를 적용한다</t>
    </r>
    <r>
      <rPr>
        <sz val="10"/>
        <rFont val="맑은 고딕"/>
        <family val="3"/>
        <charset val="129"/>
      </rPr>
      <t xml:space="preserve">. </t>
    </r>
    <r>
      <rPr>
        <sz val="10"/>
        <rFont val="Noto Sans CJK SC"/>
        <family val="2"/>
      </rPr>
      <t>단가 자체의 변동</t>
    </r>
    <r>
      <rPr>
        <sz val="10"/>
        <rFont val="맑은 고딕"/>
        <family val="3"/>
        <charset val="129"/>
      </rPr>
      <t>(</t>
    </r>
    <r>
      <rPr>
        <sz val="10"/>
        <rFont val="Noto Sans CJK SC"/>
        <family val="2"/>
      </rPr>
      <t>임률 차이</t>
    </r>
    <r>
      <rPr>
        <sz val="10"/>
        <rFont val="맑은 고딕"/>
        <family val="3"/>
        <charset val="129"/>
      </rPr>
      <t>)</t>
    </r>
    <r>
      <rPr>
        <sz val="10"/>
        <rFont val="Noto Sans CJK SC"/>
        <family val="2"/>
      </rPr>
      <t>은 모델링하지 않으므로</t>
    </r>
    <r>
      <rPr>
        <sz val="10"/>
        <rFont val="맑은 고딕"/>
        <family val="3"/>
        <charset val="129"/>
      </rPr>
      <t xml:space="preserve">, MM </t>
    </r>
    <r>
      <rPr>
        <sz val="10"/>
        <rFont val="Noto Sans CJK SC"/>
        <family val="2"/>
      </rPr>
      <t xml:space="preserve">기준 </t>
    </r>
    <r>
      <rPr>
        <sz val="10"/>
        <rFont val="맑은 고딕"/>
        <family val="3"/>
        <charset val="129"/>
      </rPr>
      <t>SPI/CPI</t>
    </r>
    <r>
      <rPr>
        <sz val="10"/>
        <rFont val="Noto Sans CJK SC"/>
        <family val="2"/>
      </rPr>
      <t xml:space="preserve">와 원화 기준 </t>
    </r>
    <r>
      <rPr>
        <sz val="10"/>
        <rFont val="맑은 고딕"/>
        <family val="3"/>
        <charset val="129"/>
      </rPr>
      <t>SPI/CPI</t>
    </r>
    <r>
      <rPr>
        <sz val="10"/>
        <rFont val="Noto Sans CJK SC"/>
        <family val="2"/>
      </rPr>
      <t>는 이론상 완전히 같은 값이 된다 — 원가 통합의 목적은 단가 차이 반영이 아니라 현금성 예산과 합산 가능한 공통 단위를 만드는 것이다</t>
    </r>
    <r>
      <rPr>
        <sz val="10"/>
        <rFont val="맑은 고딕"/>
        <family val="3"/>
        <charset val="129"/>
      </rPr>
      <t>.</t>
    </r>
  </si>
  <si>
    <t>⑥ 마일스톤 정규화 시점표 (BCWS 계단함수 계산용)</t>
  </si>
  <si>
    <t>정규화 시점(%)</t>
  </si>
  <si>
    <r>
      <rPr>
        <sz val="11"/>
        <color theme="1"/>
        <rFont val="Calibri"/>
        <family val="2"/>
        <charset val="1"/>
      </rPr>
      <t>11</t>
    </r>
    <r>
      <rPr>
        <sz val="11"/>
        <color theme="1"/>
        <rFont val="Noto Sans CJK SC"/>
        <family val="2"/>
      </rPr>
      <t>장</t>
    </r>
    <r>
      <rPr>
        <sz val="11"/>
        <color theme="1"/>
        <rFont val="Calibri"/>
        <family val="2"/>
        <charset val="1"/>
      </rPr>
      <t>·12</t>
    </r>
    <r>
      <rPr>
        <sz val="11"/>
        <color theme="1"/>
        <rFont val="Noto Sans CJK SC"/>
        <family val="2"/>
      </rPr>
      <t>장에서 계획곡선 산정에 쓰였던 가정을 여기 정식 셀로 옮겼다</t>
    </r>
    <r>
      <rPr>
        <sz val="11"/>
        <color theme="1"/>
        <rFont val="Calibri"/>
        <family val="2"/>
        <charset val="1"/>
      </rPr>
      <t xml:space="preserve">. </t>
    </r>
    <r>
      <rPr>
        <sz val="11"/>
        <color theme="1"/>
        <rFont val="Noto Sans CJK SC"/>
        <family val="2"/>
      </rPr>
      <t>지금까지는 계산 스크립트 안에만 있던 숫자라 워크북에서 재사용할 수 없었다</t>
    </r>
    <r>
      <rPr>
        <sz val="11"/>
        <color theme="1"/>
        <rFont val="Calibri"/>
        <family val="2"/>
        <charset val="1"/>
      </rPr>
      <t xml:space="preserve">. </t>
    </r>
    <r>
      <rPr>
        <sz val="11"/>
        <color theme="1"/>
        <rFont val="Noto Sans CJK SC"/>
        <family val="2"/>
      </rPr>
      <t>프로젝트예산</t>
    </r>
    <r>
      <rPr>
        <sz val="11"/>
        <color theme="1"/>
        <rFont val="Calibri"/>
        <family val="2"/>
        <charset val="1"/>
      </rPr>
      <t>_</t>
    </r>
    <r>
      <rPr>
        <sz val="11"/>
        <color theme="1"/>
        <rFont val="Noto Sans CJK SC"/>
        <family val="2"/>
      </rPr>
      <t xml:space="preserve">현금성의 </t>
    </r>
    <r>
      <rPr>
        <sz val="11"/>
        <color theme="1"/>
        <rFont val="Calibri"/>
        <family val="2"/>
        <charset val="1"/>
      </rPr>
      <t xml:space="preserve">BCWS </t>
    </r>
    <r>
      <rPr>
        <sz val="11"/>
        <color theme="1"/>
        <rFont val="Noto Sans CJK SC"/>
        <family val="2"/>
      </rPr>
      <t>계산이 이 표를 참조한다</t>
    </r>
    <r>
      <rPr>
        <sz val="11"/>
        <color theme="1"/>
        <rFont val="Calibri"/>
        <family val="2"/>
        <charset val="1"/>
      </rPr>
      <t xml:space="preserve">. </t>
    </r>
    <r>
      <rPr>
        <sz val="11"/>
        <color theme="1"/>
        <rFont val="Noto Sans CJK SC"/>
        <family val="2"/>
      </rPr>
      <t>실제 마일스톤 일정이 확정되면 이 표만 고치면 된다</t>
    </r>
    <r>
      <rPr>
        <sz val="11"/>
        <color theme="1"/>
        <rFont val="Calibri"/>
        <family val="2"/>
        <charset val="1"/>
      </rPr>
      <t>.</t>
    </r>
  </si>
  <si>
    <t>실측 기준점 (WP개수 누적비율, 마일스톤 시점은 가정)</t>
  </si>
  <si>
    <t>정규화 시점(t)</t>
  </si>
  <si>
    <t>누적 Discrete WP</t>
  </si>
  <si>
    <t>누적비율</t>
  </si>
  <si>
    <t>피팅 결과(최소자승)</t>
  </si>
  <si>
    <t>후보 A - 산출물개수 실증근사(미보정)</t>
  </si>
  <si>
    <t>alpha=</t>
  </si>
  <si>
    <t>beta=</t>
  </si>
  <si>
    <t>후보 B - 전형적 대칭 S자(대안)</t>
  </si>
  <si>
    <t>후보 C - 유지보수 개정 보정 반영(권장)</t>
  </si>
  <si>
    <r>
      <rPr>
        <b/>
        <sz val="10"/>
        <color rgb="FFFFFFFF"/>
        <rFont val="Times New Roman"/>
        <family val="1"/>
        <charset val="1"/>
      </rPr>
      <t>t(</t>
    </r>
    <r>
      <rPr>
        <b/>
        <sz val="10"/>
        <color rgb="FFFFFFFF"/>
        <rFont val="Noto Sans CJK SC"/>
        <family val="2"/>
      </rPr>
      <t>정규화 시점</t>
    </r>
    <r>
      <rPr>
        <b/>
        <sz val="10"/>
        <color rgb="FFFFFFFF"/>
        <rFont val="Times New Roman"/>
        <family val="1"/>
        <charset val="1"/>
      </rPr>
      <t>)</t>
    </r>
  </si>
  <si>
    <t>후보A 누적%</t>
  </si>
  <si>
    <t>후보B 누적%</t>
  </si>
  <si>
    <t>후보C 누적%(권장)</t>
  </si>
  <si>
    <t>마일스톤 순서 index (참조용)</t>
  </si>
  <si>
    <r>
      <rPr>
        <b/>
        <sz val="10"/>
        <color rgb="FFFFFFFF"/>
        <rFont val="Times New Roman"/>
        <family val="1"/>
        <charset val="1"/>
      </rPr>
      <t>WP</t>
    </r>
    <r>
      <rPr>
        <b/>
        <sz val="10"/>
        <color rgb="FFFFFFFF"/>
        <rFont val="Noto Sans CJK SC"/>
        <family val="2"/>
      </rPr>
      <t>명</t>
    </r>
  </si>
  <si>
    <t>목표마일스톤</t>
  </si>
  <si>
    <t>관리방식</t>
  </si>
  <si>
    <t>유지보수</t>
  </si>
  <si>
    <t>최초작성%</t>
  </si>
  <si>
    <r>
      <rPr>
        <b/>
        <sz val="10"/>
        <color rgb="FFFFFFFF"/>
        <rFont val="Times New Roman"/>
        <family val="1"/>
        <charset val="1"/>
      </rPr>
      <t xml:space="preserve">M-Car </t>
    </r>
    <r>
      <rPr>
        <b/>
        <sz val="10"/>
        <color rgb="FFFFFFFF"/>
        <rFont val="Noto Sans CJK SC"/>
        <family val="2"/>
      </rPr>
      <t>가중치</t>
    </r>
  </si>
  <si>
    <r>
      <rPr>
        <b/>
        <sz val="10"/>
        <color rgb="FFFFFFFF"/>
        <rFont val="Times New Roman"/>
        <family val="1"/>
        <charset val="1"/>
      </rPr>
      <t xml:space="preserve">Proto </t>
    </r>
    <r>
      <rPr>
        <b/>
        <sz val="10"/>
        <color rgb="FFFFFFFF"/>
        <rFont val="Noto Sans CJK SC"/>
        <family val="2"/>
      </rPr>
      <t>가중치</t>
    </r>
  </si>
  <si>
    <r>
      <rPr>
        <b/>
        <sz val="10"/>
        <color rgb="FFFFFFFF"/>
        <rFont val="Times New Roman"/>
        <family val="1"/>
        <charset val="1"/>
      </rPr>
      <t xml:space="preserve">P1 </t>
    </r>
    <r>
      <rPr>
        <b/>
        <sz val="10"/>
        <color rgb="FFFFFFFF"/>
        <rFont val="Noto Sans CJK SC"/>
        <family val="2"/>
      </rPr>
      <t>가중치</t>
    </r>
  </si>
  <si>
    <r>
      <rPr>
        <b/>
        <sz val="10"/>
        <color rgb="FFFFFFFF"/>
        <rFont val="Times New Roman"/>
        <family val="1"/>
        <charset val="1"/>
      </rPr>
      <t xml:space="preserve">P2 </t>
    </r>
    <r>
      <rPr>
        <b/>
        <sz val="10"/>
        <color rgb="FFFFFFFF"/>
        <rFont val="Noto Sans CJK SC"/>
        <family val="2"/>
      </rPr>
      <t>가중치</t>
    </r>
  </si>
  <si>
    <r>
      <rPr>
        <b/>
        <sz val="10"/>
        <color rgb="FFFFFFFF"/>
        <rFont val="Times New Roman"/>
        <family val="1"/>
        <charset val="1"/>
      </rPr>
      <t xml:space="preserve">SoP </t>
    </r>
    <r>
      <rPr>
        <b/>
        <sz val="10"/>
        <color rgb="FFFFFFFF"/>
        <rFont val="Noto Sans CJK SC"/>
        <family val="2"/>
      </rPr>
      <t>가중치</t>
    </r>
  </si>
  <si>
    <t>마일스톤별 보정 가중치 합계</t>
  </si>
  <si>
    <t>누적비율(보정)</t>
  </si>
  <si>
    <t>누적비율(원래, 미보정)</t>
  </si>
  <si>
    <t>Process</t>
  </si>
  <si>
    <t>총계획MM</t>
  </si>
  <si>
    <r>
      <rPr>
        <b/>
        <sz val="10"/>
        <color rgb="FFFFFFFF"/>
        <rFont val="Times New Roman"/>
        <family val="1"/>
        <charset val="1"/>
      </rPr>
      <t xml:space="preserve">M1
</t>
    </r>
    <r>
      <rPr>
        <b/>
        <sz val="10"/>
        <color rgb="FFFFFFFF"/>
        <rFont val="Noto Sans CJK SC"/>
        <family val="2"/>
      </rPr>
      <t>계획</t>
    </r>
  </si>
  <si>
    <r>
      <rPr>
        <b/>
        <sz val="10"/>
        <color rgb="FFFFFFFF"/>
        <rFont val="Times New Roman"/>
        <family val="1"/>
        <charset val="1"/>
      </rPr>
      <t xml:space="preserve">M2
</t>
    </r>
    <r>
      <rPr>
        <b/>
        <sz val="10"/>
        <color rgb="FFFFFFFF"/>
        <rFont val="Noto Sans CJK SC"/>
        <family val="2"/>
      </rPr>
      <t>계획</t>
    </r>
  </si>
  <si>
    <r>
      <rPr>
        <b/>
        <sz val="10"/>
        <color rgb="FFFFFFFF"/>
        <rFont val="Times New Roman"/>
        <family val="1"/>
        <charset val="1"/>
      </rPr>
      <t xml:space="preserve">M3
</t>
    </r>
    <r>
      <rPr>
        <b/>
        <sz val="10"/>
        <color rgb="FFFFFFFF"/>
        <rFont val="Noto Sans CJK SC"/>
        <family val="2"/>
      </rPr>
      <t>계획</t>
    </r>
  </si>
  <si>
    <r>
      <rPr>
        <b/>
        <sz val="10"/>
        <color rgb="FFFFFFFF"/>
        <rFont val="Times New Roman"/>
        <family val="1"/>
        <charset val="1"/>
      </rPr>
      <t xml:space="preserve">M4
</t>
    </r>
    <r>
      <rPr>
        <b/>
        <sz val="10"/>
        <color rgb="FFFFFFFF"/>
        <rFont val="Noto Sans CJK SC"/>
        <family val="2"/>
      </rPr>
      <t>계획</t>
    </r>
  </si>
  <si>
    <r>
      <rPr>
        <b/>
        <sz val="10"/>
        <color rgb="FFFFFFFF"/>
        <rFont val="Times New Roman"/>
        <family val="1"/>
        <charset val="1"/>
      </rPr>
      <t xml:space="preserve">M5
</t>
    </r>
    <r>
      <rPr>
        <b/>
        <sz val="10"/>
        <color rgb="FFFFFFFF"/>
        <rFont val="Noto Sans CJK SC"/>
        <family val="2"/>
      </rPr>
      <t>계획</t>
    </r>
  </si>
  <si>
    <r>
      <rPr>
        <b/>
        <sz val="10"/>
        <color rgb="FFFFFFFF"/>
        <rFont val="Times New Roman"/>
        <family val="1"/>
        <charset val="1"/>
      </rPr>
      <t xml:space="preserve">M6
</t>
    </r>
    <r>
      <rPr>
        <b/>
        <sz val="10"/>
        <color rgb="FFFFFFFF"/>
        <rFont val="Noto Sans CJK SC"/>
        <family val="2"/>
      </rPr>
      <t>계획</t>
    </r>
  </si>
  <si>
    <r>
      <rPr>
        <b/>
        <sz val="10"/>
        <color rgb="FFFFFFFF"/>
        <rFont val="Times New Roman"/>
        <family val="1"/>
        <charset val="1"/>
      </rPr>
      <t xml:space="preserve">M7
</t>
    </r>
    <r>
      <rPr>
        <b/>
        <sz val="10"/>
        <color rgb="FFFFFFFF"/>
        <rFont val="Noto Sans CJK SC"/>
        <family val="2"/>
      </rPr>
      <t>계획</t>
    </r>
  </si>
  <si>
    <r>
      <rPr>
        <b/>
        <sz val="10"/>
        <color rgb="FFFFFFFF"/>
        <rFont val="Times New Roman"/>
        <family val="1"/>
        <charset val="1"/>
      </rPr>
      <t xml:space="preserve">M8
</t>
    </r>
    <r>
      <rPr>
        <b/>
        <sz val="10"/>
        <color rgb="FFFFFFFF"/>
        <rFont val="Noto Sans CJK SC"/>
        <family val="2"/>
      </rPr>
      <t>계획</t>
    </r>
  </si>
  <si>
    <r>
      <rPr>
        <b/>
        <sz val="10"/>
        <color rgb="FFFFFFFF"/>
        <rFont val="Times New Roman"/>
        <family val="1"/>
        <charset val="1"/>
      </rPr>
      <t xml:space="preserve">M9
</t>
    </r>
    <r>
      <rPr>
        <b/>
        <sz val="10"/>
        <color rgb="FFFFFFFF"/>
        <rFont val="Noto Sans CJK SC"/>
        <family val="2"/>
      </rPr>
      <t>계획</t>
    </r>
  </si>
  <si>
    <r>
      <rPr>
        <b/>
        <sz val="10"/>
        <color rgb="FFFFFFFF"/>
        <rFont val="Times New Roman"/>
        <family val="1"/>
        <charset val="1"/>
      </rPr>
      <t xml:space="preserve">M10
</t>
    </r>
    <r>
      <rPr>
        <b/>
        <sz val="10"/>
        <color rgb="FFFFFFFF"/>
        <rFont val="Noto Sans CJK SC"/>
        <family val="2"/>
      </rPr>
      <t>계획</t>
    </r>
  </si>
  <si>
    <r>
      <rPr>
        <b/>
        <sz val="10"/>
        <color rgb="FFFFFFFF"/>
        <rFont val="Times New Roman"/>
        <family val="1"/>
        <charset val="1"/>
      </rPr>
      <t xml:space="preserve">M11
</t>
    </r>
    <r>
      <rPr>
        <b/>
        <sz val="10"/>
        <color rgb="FFFFFFFF"/>
        <rFont val="Noto Sans CJK SC"/>
        <family val="2"/>
      </rPr>
      <t>계획</t>
    </r>
  </si>
  <si>
    <r>
      <rPr>
        <b/>
        <sz val="10"/>
        <color rgb="FFFFFFFF"/>
        <rFont val="Times New Roman"/>
        <family val="1"/>
        <charset val="1"/>
      </rPr>
      <t xml:space="preserve">M12
</t>
    </r>
    <r>
      <rPr>
        <b/>
        <sz val="10"/>
        <color rgb="FFFFFFFF"/>
        <rFont val="Noto Sans CJK SC"/>
        <family val="2"/>
      </rPr>
      <t>계획</t>
    </r>
  </si>
  <si>
    <r>
      <rPr>
        <b/>
        <sz val="10"/>
        <color rgb="FFFFFFFF"/>
        <rFont val="Times New Roman"/>
        <family val="1"/>
        <charset val="1"/>
      </rPr>
      <t xml:space="preserve">M1
</t>
    </r>
    <r>
      <rPr>
        <b/>
        <sz val="10"/>
        <color rgb="FFFFFFFF"/>
        <rFont val="Noto Sans CJK SC"/>
        <family val="2"/>
      </rPr>
      <t>실적</t>
    </r>
  </si>
  <si>
    <r>
      <rPr>
        <b/>
        <sz val="10"/>
        <color rgb="FFFFFFFF"/>
        <rFont val="Times New Roman"/>
        <family val="1"/>
        <charset val="1"/>
      </rPr>
      <t xml:space="preserve">M2
</t>
    </r>
    <r>
      <rPr>
        <b/>
        <sz val="10"/>
        <color rgb="FFFFFFFF"/>
        <rFont val="Noto Sans CJK SC"/>
        <family val="2"/>
      </rPr>
      <t>실적</t>
    </r>
  </si>
  <si>
    <r>
      <rPr>
        <b/>
        <sz val="10"/>
        <color rgb="FFFFFFFF"/>
        <rFont val="Times New Roman"/>
        <family val="1"/>
        <charset val="1"/>
      </rPr>
      <t xml:space="preserve">M3
</t>
    </r>
    <r>
      <rPr>
        <b/>
        <sz val="10"/>
        <color rgb="FFFFFFFF"/>
        <rFont val="Noto Sans CJK SC"/>
        <family val="2"/>
      </rPr>
      <t>실적</t>
    </r>
  </si>
  <si>
    <r>
      <rPr>
        <b/>
        <sz val="10"/>
        <color rgb="FFFFFFFF"/>
        <rFont val="Times New Roman"/>
        <family val="1"/>
        <charset val="1"/>
      </rPr>
      <t xml:space="preserve">M4
</t>
    </r>
    <r>
      <rPr>
        <b/>
        <sz val="10"/>
        <color rgb="FFFFFFFF"/>
        <rFont val="Noto Sans CJK SC"/>
        <family val="2"/>
      </rPr>
      <t>실적</t>
    </r>
  </si>
  <si>
    <r>
      <rPr>
        <b/>
        <sz val="10"/>
        <color rgb="FFFFFFFF"/>
        <rFont val="Times New Roman"/>
        <family val="1"/>
        <charset val="1"/>
      </rPr>
      <t xml:space="preserve">M5
</t>
    </r>
    <r>
      <rPr>
        <b/>
        <sz val="10"/>
        <color rgb="FFFFFFFF"/>
        <rFont val="Noto Sans CJK SC"/>
        <family val="2"/>
      </rPr>
      <t>실적</t>
    </r>
  </si>
  <si>
    <r>
      <rPr>
        <b/>
        <sz val="10"/>
        <color rgb="FFFFFFFF"/>
        <rFont val="Times New Roman"/>
        <family val="1"/>
        <charset val="1"/>
      </rPr>
      <t xml:space="preserve">M6
</t>
    </r>
    <r>
      <rPr>
        <b/>
        <sz val="10"/>
        <color rgb="FFFFFFFF"/>
        <rFont val="Noto Sans CJK SC"/>
        <family val="2"/>
      </rPr>
      <t>실적</t>
    </r>
  </si>
  <si>
    <r>
      <rPr>
        <b/>
        <sz val="10"/>
        <color rgb="FFFFFFFF"/>
        <rFont val="Times New Roman"/>
        <family val="1"/>
        <charset val="1"/>
      </rPr>
      <t xml:space="preserve">M7
</t>
    </r>
    <r>
      <rPr>
        <b/>
        <sz val="10"/>
        <color rgb="FFFFFFFF"/>
        <rFont val="Noto Sans CJK SC"/>
        <family val="2"/>
      </rPr>
      <t>실적</t>
    </r>
  </si>
  <si>
    <r>
      <rPr>
        <b/>
        <sz val="10"/>
        <color rgb="FFFFFFFF"/>
        <rFont val="Times New Roman"/>
        <family val="1"/>
        <charset val="1"/>
      </rPr>
      <t xml:space="preserve">M8
</t>
    </r>
    <r>
      <rPr>
        <b/>
        <sz val="10"/>
        <color rgb="FFFFFFFF"/>
        <rFont val="Noto Sans CJK SC"/>
        <family val="2"/>
      </rPr>
      <t>실적</t>
    </r>
  </si>
  <si>
    <r>
      <rPr>
        <b/>
        <sz val="10"/>
        <color rgb="FFFFFFFF"/>
        <rFont val="Times New Roman"/>
        <family val="1"/>
        <charset val="1"/>
      </rPr>
      <t xml:space="preserve">M9
</t>
    </r>
    <r>
      <rPr>
        <b/>
        <sz val="10"/>
        <color rgb="FFFFFFFF"/>
        <rFont val="Noto Sans CJK SC"/>
        <family val="2"/>
      </rPr>
      <t>실적</t>
    </r>
  </si>
  <si>
    <r>
      <rPr>
        <b/>
        <sz val="10"/>
        <color rgb="FFFFFFFF"/>
        <rFont val="Times New Roman"/>
        <family val="1"/>
        <charset val="1"/>
      </rPr>
      <t xml:space="preserve">M10
</t>
    </r>
    <r>
      <rPr>
        <b/>
        <sz val="10"/>
        <color rgb="FFFFFFFF"/>
        <rFont val="Noto Sans CJK SC"/>
        <family val="2"/>
      </rPr>
      <t>실적</t>
    </r>
  </si>
  <si>
    <r>
      <rPr>
        <b/>
        <sz val="10"/>
        <color rgb="FFFFFFFF"/>
        <rFont val="Times New Roman"/>
        <family val="1"/>
        <charset val="1"/>
      </rPr>
      <t xml:space="preserve">M11
</t>
    </r>
    <r>
      <rPr>
        <b/>
        <sz val="10"/>
        <color rgb="FFFFFFFF"/>
        <rFont val="Noto Sans CJK SC"/>
        <family val="2"/>
      </rPr>
      <t>실적</t>
    </r>
  </si>
  <si>
    <r>
      <rPr>
        <b/>
        <sz val="10"/>
        <color rgb="FFFFFFFF"/>
        <rFont val="Times New Roman"/>
        <family val="1"/>
        <charset val="1"/>
      </rPr>
      <t xml:space="preserve">M12
</t>
    </r>
    <r>
      <rPr>
        <b/>
        <sz val="10"/>
        <color rgb="FFFFFFFF"/>
        <rFont val="Noto Sans CJK SC"/>
        <family val="2"/>
      </rPr>
      <t>실적</t>
    </r>
  </si>
  <si>
    <t>실적합계</t>
  </si>
  <si>
    <t>계획대비(%)</t>
  </si>
  <si>
    <t>전체 합계</t>
  </si>
  <si>
    <r>
      <rPr>
        <b/>
        <sz val="10"/>
        <color rgb="FFFFFFFF"/>
        <rFont val="Times New Roman"/>
        <family val="1"/>
        <charset val="1"/>
      </rPr>
      <t>BAC(</t>
    </r>
    <r>
      <rPr>
        <b/>
        <sz val="10"/>
        <color rgb="FFFFFFFF"/>
        <rFont val="Noto Sans CJK SC"/>
        <family val="2"/>
      </rPr>
      <t>총계획</t>
    </r>
    <r>
      <rPr>
        <b/>
        <sz val="10"/>
        <color rgb="FFFFFFFF"/>
        <rFont val="Times New Roman"/>
        <family val="1"/>
        <charset val="1"/>
      </rPr>
      <t>MM)</t>
    </r>
  </si>
  <si>
    <r>
      <rPr>
        <b/>
        <sz val="10"/>
        <color rgb="FFFFFFFF"/>
        <rFont val="Times New Roman"/>
        <family val="1"/>
        <charset val="1"/>
      </rPr>
      <t>BCWS(</t>
    </r>
    <r>
      <rPr>
        <b/>
        <sz val="10"/>
        <color rgb="FFFFFFFF"/>
        <rFont val="Noto Sans CJK SC"/>
        <family val="2"/>
      </rPr>
      <t>계획누적</t>
    </r>
    <r>
      <rPr>
        <b/>
        <sz val="10"/>
        <color rgb="FFFFFFFF"/>
        <rFont val="Times New Roman"/>
        <family val="1"/>
        <charset val="1"/>
      </rPr>
      <t>)</t>
    </r>
  </si>
  <si>
    <r>
      <rPr>
        <b/>
        <sz val="10"/>
        <color rgb="FFFFFFFF"/>
        <rFont val="Times New Roman"/>
        <family val="1"/>
        <charset val="1"/>
      </rPr>
      <t>BCWP(</t>
    </r>
    <r>
      <rPr>
        <b/>
        <sz val="10"/>
        <color rgb="FFFFFFFF"/>
        <rFont val="Noto Sans CJK SC"/>
        <family val="2"/>
      </rPr>
      <t>성과</t>
    </r>
    <r>
      <rPr>
        <b/>
        <sz val="10"/>
        <color rgb="FFFFFFFF"/>
        <rFont val="Times New Roman"/>
        <family val="1"/>
        <charset val="1"/>
      </rPr>
      <t xml:space="preserve">, </t>
    </r>
    <r>
      <rPr>
        <b/>
        <sz val="10"/>
        <color rgb="FFFFFFFF"/>
        <rFont val="Noto Sans CJK SC"/>
        <family val="2"/>
      </rPr>
      <t>진도율기반</t>
    </r>
    <r>
      <rPr>
        <b/>
        <sz val="10"/>
        <color rgb="FFFFFFFF"/>
        <rFont val="Times New Roman"/>
        <family val="1"/>
        <charset val="1"/>
      </rPr>
      <t>)</t>
    </r>
  </si>
  <si>
    <r>
      <rPr>
        <b/>
        <sz val="10"/>
        <color rgb="FFFFFFFF"/>
        <rFont val="Times New Roman"/>
        <family val="1"/>
        <charset val="1"/>
      </rPr>
      <t>ACWP(</t>
    </r>
    <r>
      <rPr>
        <b/>
        <sz val="10"/>
        <color rgb="FFFFFFFF"/>
        <rFont val="Noto Sans CJK SC"/>
        <family val="2"/>
      </rPr>
      <t>실적누적</t>
    </r>
    <r>
      <rPr>
        <b/>
        <sz val="10"/>
        <color rgb="FFFFFFFF"/>
        <rFont val="Times New Roman"/>
        <family val="1"/>
        <charset val="1"/>
      </rPr>
      <t>)</t>
    </r>
  </si>
  <si>
    <t>현재 시점(경과 개월)</t>
  </si>
  <si>
    <t>정렬키(동점처리용)</t>
  </si>
  <si>
    <r>
      <rPr>
        <b/>
        <sz val="10"/>
        <color rgb="FFFFFFFF"/>
        <rFont val="맑은 고딕"/>
        <family val="3"/>
        <charset val="129"/>
      </rPr>
      <t>BAC(</t>
    </r>
    <r>
      <rPr>
        <b/>
        <sz val="10"/>
        <color rgb="FFFFFFFF"/>
        <rFont val="Noto Sans CJK SC"/>
        <family val="2"/>
      </rPr>
      <t>원</t>
    </r>
    <r>
      <rPr>
        <b/>
        <sz val="10"/>
        <color rgb="FFFFFFFF"/>
        <rFont val="맑은 고딕"/>
        <family val="3"/>
        <charset val="129"/>
      </rPr>
      <t>)</t>
    </r>
  </si>
  <si>
    <r>
      <rPr>
        <b/>
        <sz val="10"/>
        <color rgb="FFFFFFFF"/>
        <rFont val="맑은 고딕"/>
        <family val="3"/>
        <charset val="129"/>
      </rPr>
      <t>BCWS(</t>
    </r>
    <r>
      <rPr>
        <b/>
        <sz val="10"/>
        <color rgb="FFFFFFFF"/>
        <rFont val="Noto Sans CJK SC"/>
        <family val="2"/>
      </rPr>
      <t>원</t>
    </r>
    <r>
      <rPr>
        <b/>
        <sz val="10"/>
        <color rgb="FFFFFFFF"/>
        <rFont val="맑은 고딕"/>
        <family val="3"/>
        <charset val="129"/>
      </rPr>
      <t>)</t>
    </r>
  </si>
  <si>
    <r>
      <rPr>
        <b/>
        <sz val="10"/>
        <color rgb="FFFFFFFF"/>
        <rFont val="맑은 고딕"/>
        <family val="3"/>
        <charset val="129"/>
      </rPr>
      <t>BCWP(</t>
    </r>
    <r>
      <rPr>
        <b/>
        <sz val="10"/>
        <color rgb="FFFFFFFF"/>
        <rFont val="Noto Sans CJK SC"/>
        <family val="2"/>
      </rPr>
      <t>원</t>
    </r>
    <r>
      <rPr>
        <b/>
        <sz val="10"/>
        <color rgb="FFFFFFFF"/>
        <rFont val="맑은 고딕"/>
        <family val="3"/>
        <charset val="129"/>
      </rPr>
      <t>)</t>
    </r>
  </si>
  <si>
    <r>
      <rPr>
        <b/>
        <sz val="10"/>
        <color rgb="FFFFFFFF"/>
        <rFont val="맑은 고딕"/>
        <family val="3"/>
        <charset val="129"/>
      </rPr>
      <t>ACWP(</t>
    </r>
    <r>
      <rPr>
        <b/>
        <sz val="10"/>
        <color rgb="FFFFFFFF"/>
        <rFont val="Noto Sans CJK SC"/>
        <family val="2"/>
      </rPr>
      <t>원</t>
    </r>
    <r>
      <rPr>
        <b/>
        <sz val="10"/>
        <color rgb="FFFFFFFF"/>
        <rFont val="맑은 고딕"/>
        <family val="3"/>
        <charset val="129"/>
      </rPr>
      <t>)</t>
    </r>
  </si>
  <si>
    <t>← 현재 몇 개월째인지 입력(1~12)</t>
  </si>
  <si>
    <t>프로젝트 전체</t>
  </si>
  <si>
    <t>계층</t>
  </si>
  <si>
    <t>산출물명</t>
  </si>
  <si>
    <t>계획수립
(0/5/10)</t>
  </si>
  <si>
    <t>작성
(0/10/20/30/40)</t>
  </si>
  <si>
    <t>동료검토
(0/10/20)</t>
  </si>
  <si>
    <t>보고/승인
(0/10/20)</t>
  </si>
  <si>
    <r>
      <rPr>
        <b/>
        <sz val="10"/>
        <color rgb="FFFFFFFF"/>
        <rFont val="Times New Roman"/>
        <family val="1"/>
        <charset val="1"/>
      </rPr>
      <t>PM</t>
    </r>
    <r>
      <rPr>
        <b/>
        <sz val="10"/>
        <color rgb="FFFFFFFF"/>
        <rFont val="Noto Sans CJK SC"/>
        <family val="2"/>
      </rPr>
      <t xml:space="preserve">체크
</t>
    </r>
    <r>
      <rPr>
        <b/>
        <sz val="10"/>
        <color rgb="FFFFFFFF"/>
        <rFont val="Times New Roman"/>
        <family val="1"/>
        <charset val="1"/>
      </rPr>
      <t>(0/5/10)</t>
    </r>
  </si>
  <si>
    <t>등급</t>
  </si>
  <si>
    <t>등급 변환 기준(원본 워크북과 동일)</t>
  </si>
  <si>
    <t>SWE.3</t>
  </si>
  <si>
    <t>S</t>
  </si>
  <si>
    <t>95~100</t>
  </si>
  <si>
    <t>전 단계 사실상 완료, 게이트 리스크 없음</t>
  </si>
  <si>
    <t>A</t>
  </si>
  <si>
    <t>80~94</t>
  </si>
  <si>
    <t>산출물 완성·검토·승인 완료, 경미한 절차 누락</t>
  </si>
  <si>
    <t>B</t>
  </si>
  <si>
    <t>60~79</t>
  </si>
  <si>
    <t>작성은 완료되었으나 검토/승인 등 절차 진행 중</t>
  </si>
  <si>
    <t>C</t>
  </si>
  <si>
    <t>35~59</t>
  </si>
  <si>
    <t>초안 수준, 주요 절차(검토·승인) 미흡</t>
  </si>
  <si>
    <t>D</t>
  </si>
  <si>
    <t>0~34</t>
  </si>
  <si>
    <t>사실상 미착수/미작성</t>
  </si>
  <si>
    <t>SWE.4</t>
  </si>
  <si>
    <t>월</t>
  </si>
  <si>
    <t>검토대상 Discrete WP 총수</t>
  </si>
  <si>
    <t>표본추출 목표</t>
  </si>
  <si>
    <t>실제재검토 개수</t>
  </si>
  <si>
    <t>편차발견 건수</t>
  </si>
  <si>
    <t>편차내용 요약</t>
  </si>
  <si>
    <t>검토자</t>
  </si>
  <si>
    <t>조치사항</t>
  </si>
  <si>
    <t>M1</t>
  </si>
  <si>
    <t>경미한 근거자료 누락</t>
  </si>
  <si>
    <r>
      <rPr>
        <sz val="9"/>
        <rFont val="Noto Sans CJK SC"/>
        <family val="2"/>
      </rPr>
      <t>박</t>
    </r>
    <r>
      <rPr>
        <sz val="9"/>
        <rFont val="Times New Roman"/>
        <family val="1"/>
        <charset val="1"/>
      </rPr>
      <t>OO(PM)</t>
    </r>
  </si>
  <si>
    <t>M2</t>
  </si>
  <si>
    <t>요구사항 변경 관련 과대평가 최초 발견</t>
  </si>
  <si>
    <t>M3</t>
  </si>
  <si>
    <r>
      <rPr>
        <sz val="9"/>
        <rFont val="Times New Roman"/>
        <family val="1"/>
        <charset val="1"/>
      </rPr>
      <t xml:space="preserve">SYS.2 </t>
    </r>
    <r>
      <rPr>
        <sz val="9"/>
        <rFont val="Noto Sans CJK SC"/>
        <family val="2"/>
      </rPr>
      <t>과대평가</t>
    </r>
  </si>
  <si>
    <t>요구사항 변경 편차 최초 확인</t>
  </si>
  <si>
    <t>M4</t>
  </si>
  <si>
    <r>
      <rPr>
        <sz val="9"/>
        <rFont val="Times New Roman"/>
        <family val="1"/>
        <charset val="1"/>
      </rPr>
      <t xml:space="preserve">SWE.1 </t>
    </r>
    <r>
      <rPr>
        <sz val="9"/>
        <rFont val="Noto Sans CJK SC"/>
        <family val="2"/>
      </rPr>
      <t>재작업 반영 누락</t>
    </r>
  </si>
  <si>
    <t>M5</t>
  </si>
  <si>
    <r>
      <rPr>
        <sz val="9"/>
        <rFont val="Times New Roman"/>
        <family val="1"/>
        <charset val="1"/>
      </rPr>
      <t xml:space="preserve">SWE.3-ASW </t>
    </r>
    <r>
      <rPr>
        <sz val="9"/>
        <rFont val="Noto Sans CJK SC"/>
        <family val="2"/>
      </rPr>
      <t>착수 지연 미반영</t>
    </r>
  </si>
  <si>
    <r>
      <rPr>
        <sz val="9"/>
        <rFont val="Times New Roman"/>
        <family val="1"/>
        <charset val="1"/>
      </rPr>
      <t xml:space="preserve">SYS.2/SWE.1 </t>
    </r>
    <r>
      <rPr>
        <sz val="9"/>
        <rFont val="Noto Sans CJK SC"/>
        <family val="2"/>
      </rPr>
      <t>과대평가 반복</t>
    </r>
  </si>
  <si>
    <t>M6</t>
  </si>
  <si>
    <r>
      <rPr>
        <sz val="9"/>
        <rFont val="Times New Roman"/>
        <family val="1"/>
        <charset val="1"/>
      </rPr>
      <t xml:space="preserve">SUP.10 </t>
    </r>
    <r>
      <rPr>
        <sz val="9"/>
        <rFont val="Noto Sans CJK SC"/>
        <family val="2"/>
      </rPr>
      <t>처리현황 보고 지연</t>
    </r>
  </si>
  <si>
    <t>M7</t>
  </si>
  <si>
    <r>
      <rPr>
        <sz val="9"/>
        <rFont val="Noto Sans CJK SC"/>
        <family val="2"/>
      </rPr>
      <t>반복 편차</t>
    </r>
    <r>
      <rPr>
        <sz val="9"/>
        <rFont val="Times New Roman"/>
        <family val="1"/>
        <charset val="1"/>
      </rPr>
      <t xml:space="preserve">, </t>
    </r>
    <r>
      <rPr>
        <sz val="9"/>
        <rFont val="Noto Sans CJK SC"/>
        <family val="2"/>
      </rPr>
      <t>재기준선 채택</t>
    </r>
  </si>
  <si>
    <r>
      <rPr>
        <sz val="9"/>
        <rFont val="Times New Roman"/>
        <family val="1"/>
        <charset val="1"/>
      </rPr>
      <t xml:space="preserve">SUP.10 </t>
    </r>
    <r>
      <rPr>
        <sz val="9"/>
        <rFont val="Noto Sans CJK SC"/>
        <family val="2"/>
      </rPr>
      <t>처리 지연 심화</t>
    </r>
    <r>
      <rPr>
        <sz val="9"/>
        <rFont val="Times New Roman"/>
        <family val="1"/>
        <charset val="1"/>
      </rPr>
      <t xml:space="preserve">, </t>
    </r>
    <r>
      <rPr>
        <sz val="9"/>
        <rFont val="Noto Sans CJK SC"/>
        <family val="2"/>
      </rPr>
      <t>재기준선 검토</t>
    </r>
  </si>
  <si>
    <t>M8</t>
  </si>
  <si>
    <t>M9</t>
  </si>
  <si>
    <t>M10</t>
  </si>
  <si>
    <t>M11</t>
  </si>
  <si>
    <t>M12</t>
  </si>
  <si>
    <t>표본추출 기준개수(자동계산)</t>
  </si>
  <si>
    <t>① 채점 원칙</t>
  </si>
  <si>
    <t>채점은 원본 자가평가 워크북(및 SWE34_계층별_채점보충)의 5개 기준(계획수립/작성/동료검토/보고승인/PM체크)을 그대로 적용한다.</t>
  </si>
  <si>
    <t>숫자만 적지 않고, 반드시 근거자료(리뷰 회의록, 이슈트래커 상태, 산출물 버전이력 등)를 WP_상세의 '근거자료' 열에 함께 기록한다.</t>
  </si>
  <si>
    <t>채점자 본인이 스스로 판단하기 애매한 경우 낮은 점수 쪽으로 보수적으로 채점한다(과대평가 방지).</t>
  </si>
  <si>
    <t>② 월간 CAM/PM 표본재검토 절차 (전체 Discrete WP의 30%)</t>
  </si>
  <si>
    <t>매월 CAM이 자체 채점을 완료하면, PM(또는 지정된 검토자)이 전체 Discrete WP 중 무작위 30%를 표본 추출해 재검토한다.</t>
  </si>
  <si>
    <t>재검토 결과 자체채점과 5점 이상 차이가 나는 항목은 '편차'로 기록하고, 사유를 확인해 필요시 점수를 조정한다.</t>
  </si>
  <si>
    <t>누적된 편차 데이터는 향후 채점 신뢰도 개선 및 계획곡선 보정(설계문서 12장)의 근거로 활용한다.</t>
  </si>
  <si>
    <t>변경ID</t>
  </si>
  <si>
    <t>신청일</t>
  </si>
  <si>
    <t>신청자(CAM)</t>
  </si>
  <si>
    <t>변경 사유</t>
  </si>
  <si>
    <t>영향 CA</t>
  </si>
  <si>
    <t>영향범위
(일정/원가/스코프)</t>
  </si>
  <si>
    <t>승인자</t>
  </si>
  <si>
    <t>승인일</t>
  </si>
  <si>
    <t>누적 재기준선 횟수</t>
  </si>
  <si>
    <t>RB-001</t>
  </si>
  <si>
    <t>2026-XX-XX</t>
  </si>
  <si>
    <r>
      <rPr>
        <sz val="9"/>
        <rFont val="Noto Sans CJK SC"/>
        <family val="2"/>
      </rPr>
      <t>고객 요구사항 변경요청</t>
    </r>
    <r>
      <rPr>
        <sz val="9"/>
        <rFont val="Times New Roman"/>
        <family val="1"/>
        <charset val="1"/>
      </rPr>
      <t xml:space="preserve">(CR) </t>
    </r>
    <r>
      <rPr>
        <sz val="9"/>
        <rFont val="Noto Sans CJK SC"/>
        <family val="2"/>
      </rPr>
      <t xml:space="preserve">누적으로 </t>
    </r>
    <r>
      <rPr>
        <sz val="9"/>
        <rFont val="Times New Roman"/>
        <family val="1"/>
        <charset val="1"/>
      </rPr>
      <t xml:space="preserve">SYS.2/SWE.1 </t>
    </r>
    <r>
      <rPr>
        <sz val="9"/>
        <rFont val="Noto Sans CJK SC"/>
        <family val="2"/>
      </rPr>
      <t xml:space="preserve">목표일정 </t>
    </r>
    <r>
      <rPr>
        <sz val="9"/>
        <rFont val="Times New Roman"/>
        <family val="1"/>
        <charset val="1"/>
      </rPr>
      <t>3</t>
    </r>
    <r>
      <rPr>
        <sz val="9"/>
        <rFont val="Noto Sans CJK SC"/>
        <family val="2"/>
      </rPr>
      <t>주 순연</t>
    </r>
    <r>
      <rPr>
        <sz val="9"/>
        <rFont val="Times New Roman"/>
        <family val="1"/>
        <charset val="1"/>
      </rPr>
      <t>.</t>
    </r>
  </si>
  <si>
    <t>SYS.2, SWE.1, SWE.3-ASW, SWE.4-ASW, SUP.10</t>
  </si>
  <si>
    <r>
      <rPr>
        <sz val="9"/>
        <rFont val="Noto Sans CJK SC"/>
        <family val="2"/>
      </rPr>
      <t>일정</t>
    </r>
    <r>
      <rPr>
        <sz val="9"/>
        <rFont val="Times New Roman"/>
        <family val="1"/>
        <charset val="1"/>
      </rPr>
      <t>+</t>
    </r>
    <r>
      <rPr>
        <sz val="9"/>
        <rFont val="Noto Sans CJK SC"/>
        <family val="2"/>
      </rPr>
      <t>원가</t>
    </r>
  </si>
  <si>
    <r>
      <rPr>
        <sz val="9"/>
        <rFont val="Noto Sans CJK SC"/>
        <family val="2"/>
      </rPr>
      <t>김</t>
    </r>
    <r>
      <rPr>
        <sz val="9"/>
        <rFont val="Times New Roman"/>
        <family val="1"/>
        <charset val="1"/>
      </rPr>
      <t>XX(</t>
    </r>
    <r>
      <rPr>
        <sz val="9"/>
        <rFont val="Noto Sans CJK SC"/>
        <family val="2"/>
      </rPr>
      <t>팀장</t>
    </r>
    <r>
      <rPr>
        <sz val="9"/>
        <rFont val="Times New Roman"/>
        <family val="1"/>
        <charset val="1"/>
      </rPr>
      <t>)</t>
    </r>
  </si>
  <si>
    <r>
      <rPr>
        <sz val="9"/>
        <rFont val="Times New Roman"/>
        <family val="1"/>
        <charset val="1"/>
      </rPr>
      <t xml:space="preserve">SUP.10 </t>
    </r>
    <r>
      <rPr>
        <sz val="9"/>
        <rFont val="Noto Sans CJK SC"/>
        <family val="2"/>
      </rPr>
      <t xml:space="preserve">인원 </t>
    </r>
    <r>
      <rPr>
        <sz val="9"/>
        <rFont val="Times New Roman"/>
        <family val="1"/>
        <charset val="1"/>
      </rPr>
      <t>1</t>
    </r>
    <r>
      <rPr>
        <sz val="9"/>
        <rFont val="Noto Sans CJK SC"/>
        <family val="2"/>
      </rPr>
      <t>명 추가 투입 결정과 함께 승인</t>
    </r>
  </si>
  <si>
    <t>RB-002</t>
  </si>
  <si>
    <t>RB-003</t>
  </si>
  <si>
    <t>RB-004</t>
  </si>
  <si>
    <t>RB-005</t>
  </si>
  <si>
    <t>RB-006</t>
  </si>
  <si>
    <t>RB-007</t>
  </si>
  <si>
    <t>RB-008</t>
  </si>
  <si>
    <t>RB-009</t>
  </si>
  <si>
    <t>RB-010</t>
  </si>
  <si>
    <t>체크 항목</t>
  </si>
  <si>
    <t>가중치(%)</t>
  </si>
  <si>
    <t>일자</t>
  </si>
  <si>
    <t>빌드 완료</t>
  </si>
  <si>
    <r>
      <rPr>
        <sz val="10"/>
        <rFont val="Noto Sans CJK SC"/>
        <family val="2"/>
      </rPr>
      <t>김</t>
    </r>
    <r>
      <rPr>
        <sz val="10"/>
        <rFont val="Times New Roman"/>
        <family val="1"/>
        <charset val="1"/>
      </rPr>
      <t>OO</t>
    </r>
  </si>
  <si>
    <t>요구사항 변경 반복으로 빌드 착수 지연</t>
  </si>
  <si>
    <t>회귀시험 통과</t>
  </si>
  <si>
    <t>미완료</t>
  </si>
  <si>
    <t>배포 패키지 준비/승인</t>
  </si>
  <si>
    <r>
      <rPr>
        <sz val="10"/>
        <rFont val="Times New Roman"/>
        <family val="1"/>
        <charset val="1"/>
      </rPr>
      <t xml:space="preserve">EVMS </t>
    </r>
    <r>
      <rPr>
        <sz val="10"/>
        <rFont val="Noto Sans CJK SC"/>
        <family val="2"/>
      </rPr>
      <t xml:space="preserve">정합성 점검 완료 </t>
    </r>
    <r>
      <rPr>
        <sz val="10"/>
        <rFont val="Times New Roman"/>
        <family val="1"/>
        <charset val="1"/>
      </rPr>
      <t>(</t>
    </r>
    <r>
      <rPr>
        <sz val="10"/>
        <rFont val="Noto Sans CJK SC"/>
        <family val="2"/>
      </rPr>
      <t>신규</t>
    </r>
    <r>
      <rPr>
        <sz val="10"/>
        <rFont val="Times New Roman"/>
        <family val="1"/>
        <charset val="1"/>
      </rPr>
      <t>)</t>
    </r>
  </si>
  <si>
    <r>
      <rPr>
        <sz val="10"/>
        <rFont val="Noto Sans CJK SC"/>
        <family val="2"/>
      </rPr>
      <t>박</t>
    </r>
    <r>
      <rPr>
        <sz val="10"/>
        <rFont val="Times New Roman"/>
        <family val="1"/>
        <charset val="1"/>
      </rPr>
      <t>OO(PM)</t>
    </r>
  </si>
  <si>
    <r>
      <rPr>
        <sz val="10"/>
        <rFont val="Times New Roman"/>
        <family val="1"/>
        <charset val="1"/>
      </rPr>
      <t xml:space="preserve">SYS.2/SWE.1 </t>
    </r>
    <r>
      <rPr>
        <sz val="10"/>
        <rFont val="Noto Sans CJK SC"/>
        <family val="2"/>
      </rPr>
      <t>지연 지속 모니터링 중</t>
    </r>
  </si>
  <si>
    <t>고객 승인 서명</t>
  </si>
  <si>
    <t>예산 항목명</t>
  </si>
  <si>
    <t>연결 CA</t>
  </si>
  <si>
    <t>계획금액(원, BAC)</t>
  </si>
  <si>
    <t>집행 예정 마일스톤</t>
  </si>
  <si>
    <t>진도율(%, CA평가점수 연동)</t>
  </si>
  <si>
    <t>실적집행액(원, ACWP)</t>
  </si>
  <si>
    <r>
      <rPr>
        <b/>
        <sz val="10"/>
        <color rgb="FFFFFFFF"/>
        <rFont val="맑은 고딕"/>
        <family val="3"/>
        <charset val="129"/>
      </rPr>
      <t>CV(</t>
    </r>
    <r>
      <rPr>
        <b/>
        <sz val="10"/>
        <color rgb="FFFFFFFF"/>
        <rFont val="Noto Sans CJK SC"/>
        <family val="2"/>
      </rPr>
      <t>원</t>
    </r>
    <r>
      <rPr>
        <b/>
        <sz val="10"/>
        <color rgb="FFFFFFFF"/>
        <rFont val="맑은 고딕"/>
        <family val="3"/>
        <charset val="129"/>
      </rPr>
      <t>)</t>
    </r>
  </si>
  <si>
    <t>집행률(%)</t>
  </si>
  <si>
    <r>
      <rPr>
        <b/>
        <sz val="10"/>
        <color rgb="FFFFFFFF"/>
        <rFont val="맑은 고딕"/>
        <family val="3"/>
        <charset val="129"/>
      </rPr>
      <t>SV(</t>
    </r>
    <r>
      <rPr>
        <b/>
        <sz val="10"/>
        <color rgb="FFFFFFFF"/>
        <rFont val="Noto Sans CJK SC"/>
        <family val="2"/>
      </rPr>
      <t>원</t>
    </r>
    <r>
      <rPr>
        <b/>
        <sz val="10"/>
        <color rgb="FFFFFFFF"/>
        <rFont val="맑은 고딕"/>
        <family val="3"/>
        <charset val="129"/>
      </rPr>
      <t>)</t>
    </r>
  </si>
  <si>
    <r>
      <rPr>
        <sz val="10"/>
        <rFont val="맑은 고딕"/>
        <family val="3"/>
        <charset val="129"/>
      </rPr>
      <t xml:space="preserve">BSW </t>
    </r>
    <r>
      <rPr>
        <sz val="10"/>
        <rFont val="Noto Sans CJK SC"/>
        <family val="2"/>
      </rPr>
      <t>외주개발 용역비</t>
    </r>
  </si>
  <si>
    <t>외주용역</t>
  </si>
  <si>
    <t>외주계약 체결 후 실제 계약금액으로 교체</t>
  </si>
  <si>
    <r>
      <rPr>
        <sz val="10"/>
        <rFont val="맑은 고딕"/>
        <family val="3"/>
        <charset val="129"/>
      </rPr>
      <t xml:space="preserve">BSW </t>
    </r>
    <r>
      <rPr>
        <sz val="10"/>
        <rFont val="Noto Sans CJK SC"/>
        <family val="2"/>
      </rPr>
      <t>외주 단위검증 용역비</t>
    </r>
  </si>
  <si>
    <r>
      <rPr>
        <sz val="10"/>
        <rFont val="맑은 고딕"/>
        <family val="3"/>
        <charset val="129"/>
      </rPr>
      <t xml:space="preserve">BSW </t>
    </r>
    <r>
      <rPr>
        <sz val="10"/>
        <rFont val="Noto Sans CJK SC"/>
        <family val="2"/>
      </rPr>
      <t>외주개발 용역비와 별도 계약인 경우 분리 관리</t>
    </r>
  </si>
  <si>
    <t>검증시험 외주용역비</t>
  </si>
  <si>
    <t>외부 인증/검증시험 기관 위탁 비용</t>
  </si>
  <si>
    <t>시작용 제어기 제작비(A샘플)</t>
  </si>
  <si>
    <t>시작품비</t>
  </si>
  <si>
    <r>
      <rPr>
        <sz val="10"/>
        <rFont val="맑은 고딕"/>
        <family val="3"/>
        <charset val="129"/>
      </rPr>
      <t>A</t>
    </r>
    <r>
      <rPr>
        <sz val="10"/>
        <rFont val="Noto Sans CJK SC"/>
        <family val="2"/>
      </rPr>
      <t xml:space="preserve">샘플 </t>
    </r>
    <r>
      <rPr>
        <sz val="10"/>
        <rFont val="맑은 고딕"/>
        <family val="3"/>
        <charset val="129"/>
      </rPr>
      <t xml:space="preserve">HW </t>
    </r>
    <r>
      <rPr>
        <sz val="10"/>
        <rFont val="Noto Sans CJK SC"/>
        <family val="2"/>
      </rPr>
      <t>제작</t>
    </r>
    <r>
      <rPr>
        <sz val="10"/>
        <rFont val="맑은 고딕"/>
        <family val="3"/>
        <charset val="129"/>
      </rPr>
      <t>·</t>
    </r>
    <r>
      <rPr>
        <sz val="10"/>
        <rFont val="Noto Sans CJK SC"/>
        <family val="2"/>
      </rPr>
      <t>구매 비용</t>
    </r>
  </si>
  <si>
    <t>시작용 제어기 제작비(B샘플)</t>
  </si>
  <si>
    <r>
      <rPr>
        <sz val="10"/>
        <rFont val="맑은 고딕"/>
        <family val="3"/>
        <charset val="129"/>
      </rPr>
      <t>B</t>
    </r>
    <r>
      <rPr>
        <sz val="10"/>
        <rFont val="Noto Sans CJK SC"/>
        <family val="2"/>
      </rPr>
      <t xml:space="preserve">샘플 </t>
    </r>
    <r>
      <rPr>
        <sz val="10"/>
        <rFont val="맑은 고딕"/>
        <family val="3"/>
        <charset val="129"/>
      </rPr>
      <t xml:space="preserve">HW </t>
    </r>
    <r>
      <rPr>
        <sz val="10"/>
        <rFont val="Noto Sans CJK SC"/>
        <family val="2"/>
      </rPr>
      <t>제작</t>
    </r>
    <r>
      <rPr>
        <sz val="10"/>
        <rFont val="맑은 고딕"/>
        <family val="3"/>
        <charset val="129"/>
      </rPr>
      <t>·</t>
    </r>
    <r>
      <rPr>
        <sz val="10"/>
        <rFont val="Noto Sans CJK SC"/>
        <family val="2"/>
      </rPr>
      <t>구매 비용</t>
    </r>
    <r>
      <rPr>
        <sz val="10"/>
        <rFont val="맑은 고딕"/>
        <family val="3"/>
        <charset val="129"/>
      </rPr>
      <t>(</t>
    </r>
    <r>
      <rPr>
        <sz val="10"/>
        <rFont val="Noto Sans CJK SC"/>
        <family val="2"/>
      </rPr>
      <t>양산 검증용</t>
    </r>
    <r>
      <rPr>
        <sz val="10"/>
        <rFont val="맑은 고딕"/>
        <family val="3"/>
        <charset val="129"/>
      </rPr>
      <t>)</t>
    </r>
  </si>
  <si>
    <t>합계(현금성 예산 전체)</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</si>
</sst>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0;;@"/>
    <numFmt numFmtId="177" formatCode="0.0"/>
    <numFmt numFmtId="178" formatCode="0.0%"/>
    <numFmt numFmtId="179" formatCode="\+0.0%;\-0.0%"/>
    <numFmt numFmtId="180" formatCode="m/d/yyyy"/>
  </numFmts>
  <fonts count="51">
    <font>
      <sz val="11"/>
      <color theme="1"/>
      <name val="Calibri"/>
      <family val="2"/>
      <charset val="1"/>
    </font>
    <font>
      <sz val="10"/>
      <name val="Arial"/>
      <family val="2"/>
    </font>
    <font>
      <sz val="11"/>
      <color theme="1"/>
      <name val="맑은 고딕"/>
      <family val="2"/>
      <charset val="129"/>
    </font>
    <font>
      <sz val="11"/>
      <color theme="1"/>
      <name val="Times New Roman"/>
      <family val="1"/>
      <charset val="1"/>
    </font>
    <font>
      <sz val="11"/>
      <color rgb="FFFF0000"/>
      <name val="Noto Sans CJK SC"/>
      <family val="2"/>
      <charset val="1"/>
    </font>
    <font>
      <sz val="10"/>
      <color theme="1"/>
      <name val="Noto Sans CJK SC"/>
      <family val="2"/>
      <charset val="1"/>
    </font>
    <font>
      <sz val="10"/>
      <color theme="1"/>
      <name val="Times New Roman"/>
      <family val="1"/>
      <charset val="1"/>
    </font>
    <font>
      <sz val="10"/>
      <color theme="1"/>
      <name val="Noto Sans CJK SC"/>
      <family val="2"/>
    </font>
    <font>
      <sz val="9"/>
      <color theme="1"/>
      <name val="Times New Roman"/>
      <family val="1"/>
      <charset val="1"/>
    </font>
    <font>
      <sz val="10"/>
      <color theme="1"/>
      <name val="맑은 고딕"/>
      <family val="2"/>
      <charset val="129"/>
    </font>
    <font>
      <sz val="10"/>
      <color theme="1"/>
      <name val="나눔고딕"/>
      <family val="3"/>
      <charset val="129"/>
    </font>
    <font>
      <sz val="10"/>
      <color rgb="FFFF0000"/>
      <name val="Noto Sans CJK SC"/>
      <family val="2"/>
      <charset val="1"/>
    </font>
    <font>
      <sz val="9"/>
      <color rgb="FFFF0000"/>
      <name val="Times New Roman"/>
      <family val="1"/>
      <charset val="1"/>
    </font>
    <font>
      <sz val="9"/>
      <color rgb="FFFF0000"/>
      <name val="Noto Sans CJK SC"/>
      <family val="2"/>
    </font>
    <font>
      <sz val="10"/>
      <name val="Times New Roman"/>
      <family val="1"/>
      <charset val="1"/>
    </font>
    <font>
      <b/>
      <sz val="10"/>
      <color rgb="FFFFFFFF"/>
      <name val="Noto Sans CJK SC"/>
      <family val="2"/>
      <charset val="1"/>
    </font>
    <font>
      <sz val="10"/>
      <name val="Noto Sans CJK SC"/>
      <family val="2"/>
    </font>
    <font>
      <sz val="10"/>
      <name val="Noto Sans CJK SC"/>
      <family val="2"/>
      <charset val="1"/>
    </font>
    <font>
      <b/>
      <sz val="10"/>
      <name val="Noto Sans CJK SC"/>
      <family val="2"/>
      <charset val="1"/>
    </font>
    <font>
      <sz val="11"/>
      <color theme="1"/>
      <name val="Noto Sans CJK SC"/>
      <family val="2"/>
      <charset val="1"/>
    </font>
    <font>
      <b/>
      <sz val="10"/>
      <name val="Times New Roman"/>
      <family val="1"/>
      <charset val="1"/>
    </font>
    <font>
      <b/>
      <sz val="10"/>
      <name val="Noto Sans CJK SC"/>
      <family val="2"/>
    </font>
    <font>
      <b/>
      <sz val="10"/>
      <color rgb="FFFF0000"/>
      <name val="Noto Sans CJK SC"/>
      <family val="2"/>
      <charset val="1"/>
    </font>
    <font>
      <sz val="11"/>
      <color theme="1"/>
      <name val="Noto Sans CJK SC"/>
      <family val="2"/>
    </font>
    <font>
      <sz val="10"/>
      <color theme="1"/>
      <name val="Calibri"/>
      <family val="2"/>
      <charset val="1"/>
    </font>
    <font>
      <b/>
      <sz val="11"/>
      <name val="Noto Sans CJK SC"/>
      <family val="2"/>
      <charset val="1"/>
    </font>
    <font>
      <b/>
      <sz val="12"/>
      <name val="Noto Sans CJK SC"/>
      <family val="2"/>
      <charset val="1"/>
    </font>
    <font>
      <b/>
      <sz val="10"/>
      <color rgb="FFFFFFFF"/>
      <name val="Times New Roman"/>
      <family val="1"/>
      <charset val="1"/>
    </font>
    <font>
      <b/>
      <sz val="10"/>
      <color rgb="FFFFFFFF"/>
      <name val="Noto Sans CJK SC"/>
      <family val="2"/>
    </font>
    <font>
      <sz val="10"/>
      <color rgb="FF888888"/>
      <name val="Times New Roman"/>
      <family val="1"/>
      <charset val="1"/>
    </font>
    <font>
      <b/>
      <sz val="11"/>
      <name val="Times New Roman"/>
      <family val="1"/>
      <charset val="1"/>
    </font>
    <font>
      <sz val="9"/>
      <name val="Times New Roman"/>
      <family val="1"/>
      <charset val="1"/>
    </font>
    <font>
      <sz val="9"/>
      <name val="Noto Sans CJK SC"/>
      <family val="2"/>
      <charset val="1"/>
    </font>
    <font>
      <sz val="9"/>
      <name val="Noto Sans CJK SC"/>
      <family val="2"/>
    </font>
    <font>
      <sz val="10"/>
      <name val="맑은 고딕"/>
      <family val="3"/>
      <charset val="129"/>
    </font>
    <font>
      <i/>
      <sz val="9"/>
      <color rgb="FF777777"/>
      <name val="맑은 고딕"/>
      <family val="3"/>
      <charset val="129"/>
    </font>
    <font>
      <i/>
      <sz val="9"/>
      <color rgb="FF555555"/>
      <name val="맑은 고딕"/>
      <family val="3"/>
      <charset val="129"/>
    </font>
    <font>
      <i/>
      <sz val="9"/>
      <color rgb="FF555555"/>
      <name val="Noto Sans CJK SC"/>
      <family val="2"/>
    </font>
    <font>
      <i/>
      <sz val="10"/>
      <color rgb="FF555555"/>
      <name val="Noto Sans CJK SC"/>
      <family val="2"/>
      <charset val="1"/>
    </font>
    <font>
      <b/>
      <sz val="9"/>
      <name val="Noto Sans CJK SC"/>
      <family val="2"/>
      <charset val="1"/>
    </font>
    <font>
      <b/>
      <sz val="9"/>
      <name val="Times New Roman"/>
      <family val="1"/>
      <charset val="1"/>
    </font>
    <font>
      <b/>
      <sz val="9"/>
      <name val="Noto Sans CJK SC"/>
      <family val="2"/>
    </font>
    <font>
      <sz val="8"/>
      <name val="Times New Roman"/>
      <family val="1"/>
      <charset val="1"/>
    </font>
    <font>
      <i/>
      <sz val="9"/>
      <name val="Noto Sans CJK SC"/>
      <family val="2"/>
      <charset val="1"/>
    </font>
    <font>
      <i/>
      <sz val="9"/>
      <name val="Times New Roman"/>
      <family val="1"/>
      <charset val="1"/>
    </font>
    <font>
      <b/>
      <sz val="12"/>
      <name val="Times New Roman"/>
      <family val="1"/>
      <charset val="1"/>
    </font>
    <font>
      <b/>
      <sz val="10"/>
      <color rgb="FFFFFFFF"/>
      <name val="맑은 고딕"/>
      <family val="3"/>
      <charset val="129"/>
    </font>
    <font>
      <sz val="9"/>
      <name val="맑은 고딕"/>
      <family val="3"/>
      <charset val="129"/>
    </font>
    <font>
      <b/>
      <sz val="11"/>
      <name val="맑은 고딕"/>
      <family val="3"/>
      <charset val="129"/>
    </font>
    <font>
      <sz val="11"/>
      <color theme="1"/>
      <name val="Calibri"/>
      <family val="2"/>
      <charset val="1"/>
    </font>
    <font>
      <sz val="8"/>
      <name val="돋움"/>
      <family val="3"/>
      <charset val="129"/>
    </font>
  </fonts>
  <fills count="15">
    <fill>
      <patternFill patternType="none"/>
    </fill>
    <fill>
      <patternFill patternType="gray125"/>
    </fill>
    <fill>
      <patternFill patternType="solid">
        <fgColor rgb="FFE6E6E6"/>
        <bgColor rgb="FFDCE6F2"/>
      </patternFill>
    </fill>
    <fill>
      <patternFill patternType="solid">
        <fgColor rgb="FFFFFF00"/>
        <bgColor rgb="FFFFE699"/>
      </patternFill>
    </fill>
    <fill>
      <patternFill patternType="solid">
        <fgColor theme="4" tint="0.79989013336588644"/>
        <bgColor rgb="FFDDEBF7"/>
      </patternFill>
    </fill>
    <fill>
      <patternFill patternType="solid">
        <fgColor rgb="FF1F4E78"/>
        <bgColor rgb="FF003366"/>
      </patternFill>
    </fill>
    <fill>
      <patternFill patternType="solid">
        <fgColor theme="5" tint="0.79989013336588644"/>
        <bgColor rgb="FFFCE4D6"/>
      </patternFill>
    </fill>
    <fill>
      <patternFill patternType="solid">
        <fgColor theme="6" tint="0.79989013336588644"/>
        <bgColor rgb="FFE2EFDA"/>
      </patternFill>
    </fill>
    <fill>
      <patternFill patternType="solid">
        <fgColor theme="0" tint="-4.9989318521683403E-2"/>
        <bgColor rgb="FFEBF1DE"/>
      </patternFill>
    </fill>
    <fill>
      <patternFill patternType="solid">
        <fgColor rgb="FFE2EFDA"/>
        <bgColor rgb="FFEBF1DE"/>
      </patternFill>
    </fill>
    <fill>
      <patternFill patternType="solid">
        <fgColor rgb="FFBDD7EE"/>
        <bgColor rgb="FFD9D9D9"/>
      </patternFill>
    </fill>
    <fill>
      <patternFill patternType="solid">
        <fgColor rgb="FFDDEBF7"/>
        <bgColor rgb="FFDCE6F2"/>
      </patternFill>
    </fill>
    <fill>
      <patternFill patternType="solid">
        <fgColor rgb="FFFCE4D6"/>
        <bgColor rgb="FFF2DCDB"/>
      </patternFill>
    </fill>
    <fill>
      <patternFill patternType="solid">
        <fgColor rgb="FFC6E0B4"/>
        <bgColor rgb="FFD9D9D9"/>
      </patternFill>
    </fill>
    <fill>
      <patternFill patternType="solid">
        <fgColor rgb="FFF8CBAD"/>
        <bgColor rgb="FFF2DCDB"/>
      </patternFill>
    </fill>
  </fills>
  <borders count="11">
    <border>
      <left/>
      <right/>
      <top/>
      <bottom/>
      <diagonal/>
    </border>
    <border>
      <left style="thin">
        <color rgb="FFC8C8C8"/>
      </left>
      <right style="thin">
        <color rgb="FFC8C8C8"/>
      </right>
      <top style="thin">
        <color rgb="FFC8C8C8"/>
      </top>
      <bottom style="thin">
        <color rgb="FFC8C8C8"/>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FBFBF"/>
      </left>
      <right style="thin">
        <color rgb="FFBFBFBF"/>
      </right>
      <top style="thin">
        <color rgb="FFBFBFBF"/>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4">
    <xf numFmtId="0" fontId="0" fillId="0" borderId="0"/>
    <xf numFmtId="0" fontId="2" fillId="0" borderId="0">
      <alignment vertical="center"/>
    </xf>
    <xf numFmtId="0" fontId="49" fillId="0" borderId="0"/>
    <xf numFmtId="0" fontId="2" fillId="0" borderId="0">
      <alignment vertical="center"/>
    </xf>
  </cellStyleXfs>
  <cellXfs count="177">
    <xf numFmtId="0" fontId="0" fillId="0" borderId="0" xfId="0"/>
    <xf numFmtId="0" fontId="3" fillId="0" borderId="7" xfId="0" applyFont="1" applyBorder="1" applyAlignment="1">
      <alignment vertical="top" wrapText="1"/>
    </xf>
    <xf numFmtId="0" fontId="38" fillId="0" borderId="0" xfId="0" applyFont="1" applyBorder="1" applyAlignment="1"/>
    <xf numFmtId="0" fontId="36" fillId="0" borderId="0" xfId="0" applyFont="1" applyBorder="1" applyAlignment="1">
      <alignment vertical="top" wrapText="1"/>
    </xf>
    <xf numFmtId="0" fontId="5" fillId="0" borderId="0" xfId="0" applyFont="1" applyBorder="1" applyAlignment="1">
      <alignment vertical="top" wrapText="1"/>
    </xf>
    <xf numFmtId="0" fontId="18" fillId="0" borderId="0" xfId="0" applyFont="1" applyBorder="1" applyAlignment="1"/>
    <xf numFmtId="0" fontId="5" fillId="0" borderId="6" xfId="0" applyFont="1" applyBorder="1" applyAlignment="1">
      <alignment horizontal="left" vertical="center" wrapText="1"/>
    </xf>
    <xf numFmtId="0" fontId="19" fillId="8" borderId="6" xfId="0" applyFont="1" applyFill="1" applyBorder="1" applyAlignment="1">
      <alignment horizontal="center"/>
    </xf>
    <xf numFmtId="0" fontId="3" fillId="0" borderId="0" xfId="0" applyFont="1" applyBorder="1" applyAlignment="1"/>
    <xf numFmtId="0" fontId="0" fillId="0" borderId="0" xfId="0" applyBorder="1" applyAlignment="1"/>
    <xf numFmtId="0" fontId="0" fillId="0" borderId="8" xfId="0" applyFont="1" applyBorder="1" applyAlignment="1">
      <alignment vertical="top" wrapText="1"/>
    </xf>
    <xf numFmtId="0" fontId="0" fillId="0" borderId="7" xfId="0" applyFont="1" applyBorder="1" applyAlignment="1">
      <alignment vertical="top" wrapText="1"/>
    </xf>
    <xf numFmtId="0" fontId="3" fillId="0" borderId="6" xfId="0" applyFont="1" applyBorder="1" applyAlignment="1">
      <alignment vertical="top" wrapText="1"/>
    </xf>
    <xf numFmtId="0" fontId="19" fillId="0" borderId="6" xfId="0" applyFont="1" applyBorder="1" applyAlignment="1">
      <alignment vertical="top" wrapText="1"/>
    </xf>
    <xf numFmtId="0" fontId="11" fillId="0" borderId="2" xfId="0" applyFont="1" applyBorder="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3" fillId="0" borderId="0" xfId="0" applyFont="1" applyAlignment="1"/>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12" fillId="0" borderId="0" xfId="0" applyFont="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14" fillId="4" borderId="3"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6" fillId="0" borderId="1" xfId="0" applyFont="1" applyBorder="1" applyAlignment="1">
      <alignment horizontal="left" vertical="center" wrapText="1"/>
    </xf>
    <xf numFmtId="0" fontId="8" fillId="3" borderId="1" xfId="0" applyFont="1" applyFill="1" applyBorder="1" applyAlignment="1" applyProtection="1">
      <alignment horizontal="center" vertical="center"/>
      <protection locked="0"/>
    </xf>
    <xf numFmtId="0" fontId="6" fillId="0" borderId="1" xfId="0" applyFont="1" applyBorder="1" applyAlignment="1">
      <alignment horizontal="center" vertical="center"/>
    </xf>
    <xf numFmtId="0" fontId="6" fillId="6" borderId="1" xfId="0" applyFont="1" applyFill="1" applyBorder="1" applyAlignment="1">
      <alignment horizontal="center" vertical="center"/>
    </xf>
    <xf numFmtId="0" fontId="14" fillId="0" borderId="3" xfId="0" applyFont="1" applyBorder="1" applyAlignment="1">
      <alignment horizontal="left" vertical="top" wrapText="1"/>
    </xf>
    <xf numFmtId="0" fontId="14" fillId="0" borderId="3" xfId="0" applyFont="1" applyBorder="1" applyAlignment="1">
      <alignment horizontal="center" vertical="top" wrapText="1"/>
    </xf>
    <xf numFmtId="0" fontId="17" fillId="0" borderId="3" xfId="0" applyFont="1" applyBorder="1" applyAlignment="1">
      <alignment horizontal="left" vertical="top" wrapText="1"/>
    </xf>
    <xf numFmtId="0" fontId="17" fillId="0" borderId="3" xfId="0" applyFont="1" applyBorder="1" applyAlignment="1">
      <alignment horizontal="center" vertical="top" wrapText="1"/>
    </xf>
    <xf numFmtId="0" fontId="0" fillId="0" borderId="0" xfId="0" applyAlignment="1"/>
    <xf numFmtId="0" fontId="0" fillId="0" borderId="0" xfId="0" applyAlignment="1">
      <alignment wrapText="1"/>
    </xf>
    <xf numFmtId="0" fontId="15" fillId="5" borderId="5" xfId="0" applyFont="1" applyFill="1" applyBorder="1" applyAlignment="1">
      <alignment horizontal="center" vertical="center" wrapText="1"/>
    </xf>
    <xf numFmtId="0" fontId="18" fillId="7" borderId="6" xfId="0" applyFont="1" applyFill="1" applyBorder="1" applyAlignment="1">
      <alignment vertical="top" wrapText="1"/>
    </xf>
    <xf numFmtId="0" fontId="3" fillId="0" borderId="0" xfId="0" applyFont="1" applyAlignment="1">
      <alignment vertical="top" wrapText="1"/>
    </xf>
    <xf numFmtId="0" fontId="20" fillId="7" borderId="6" xfId="0" applyFont="1" applyFill="1" applyBorder="1" applyAlignment="1">
      <alignment vertical="top" wrapText="1"/>
    </xf>
    <xf numFmtId="0" fontId="22" fillId="7" borderId="6" xfId="0" applyFont="1" applyFill="1" applyBorder="1" applyAlignment="1">
      <alignment vertical="top" wrapText="1"/>
    </xf>
    <xf numFmtId="0" fontId="3" fillId="0" borderId="0" xfId="0" applyFont="1" applyAlignment="1">
      <alignment wrapText="1"/>
    </xf>
    <xf numFmtId="0" fontId="18" fillId="0" borderId="7" xfId="0" applyFont="1" applyBorder="1" applyAlignment="1"/>
    <xf numFmtId="0" fontId="0" fillId="0" borderId="7" xfId="0" applyFont="1" applyBorder="1" applyAlignment="1">
      <alignment vertical="top" wrapText="1"/>
    </xf>
    <xf numFmtId="0" fontId="19" fillId="8" borderId="6" xfId="0" applyFont="1" applyFill="1" applyBorder="1" applyAlignment="1">
      <alignment horizontal="center" wrapText="1"/>
    </xf>
    <xf numFmtId="0" fontId="19" fillId="8" borderId="6" xfId="0" applyFont="1" applyFill="1" applyBorder="1" applyAlignment="1">
      <alignment horizontal="center"/>
    </xf>
    <xf numFmtId="0" fontId="3" fillId="0" borderId="6" xfId="0" applyFont="1" applyBorder="1" applyAlignment="1">
      <alignment vertical="center" wrapText="1"/>
    </xf>
    <xf numFmtId="0" fontId="3" fillId="0" borderId="6" xfId="0" applyFont="1" applyBorder="1" applyAlignment="1">
      <alignment vertical="center"/>
    </xf>
    <xf numFmtId="0" fontId="5" fillId="0" borderId="6" xfId="0" applyFont="1" applyBorder="1" applyAlignment="1">
      <alignment horizontal="left" vertical="center" wrapText="1"/>
    </xf>
    <xf numFmtId="0" fontId="0" fillId="0" borderId="9" xfId="0" applyBorder="1" applyAlignment="1"/>
    <xf numFmtId="0" fontId="0" fillId="0" borderId="10" xfId="0" applyBorder="1" applyAlignment="1"/>
    <xf numFmtId="0" fontId="6" fillId="0" borderId="6" xfId="0" applyFont="1" applyBorder="1" applyAlignment="1">
      <alignment horizontal="left" vertical="center" wrapText="1"/>
    </xf>
    <xf numFmtId="0" fontId="3" fillId="0" borderId="6" xfId="0" applyFont="1" applyBorder="1" applyAlignment="1">
      <alignment wrapText="1"/>
    </xf>
    <xf numFmtId="0" fontId="3" fillId="0" borderId="6" xfId="0" applyFont="1" applyBorder="1" applyAlignment="1"/>
    <xf numFmtId="0" fontId="5" fillId="0" borderId="6" xfId="0" applyFont="1" applyBorder="1" applyAlignment="1">
      <alignment horizontal="left" wrapText="1"/>
    </xf>
    <xf numFmtId="0" fontId="24" fillId="0" borderId="0" xfId="0" applyFont="1" applyAlignment="1"/>
    <xf numFmtId="0" fontId="15" fillId="5" borderId="7" xfId="0" applyFont="1" applyFill="1" applyBorder="1" applyAlignment="1">
      <alignment horizontal="center" vertical="center" wrapText="1"/>
    </xf>
    <xf numFmtId="0" fontId="6" fillId="0" borderId="0" xfId="0" applyFont="1" applyAlignment="1"/>
    <xf numFmtId="0" fontId="5" fillId="0" borderId="7" xfId="0" applyFont="1" applyBorder="1" applyAlignment="1"/>
    <xf numFmtId="9" fontId="6" fillId="0" borderId="7" xfId="0" applyNumberFormat="1" applyFont="1" applyBorder="1" applyAlignment="1"/>
    <xf numFmtId="0" fontId="25" fillId="0" borderId="7" xfId="0" applyFont="1" applyBorder="1" applyAlignment="1"/>
    <xf numFmtId="9" fontId="0" fillId="0" borderId="7" xfId="0" applyNumberFormat="1" applyBorder="1" applyAlignment="1"/>
    <xf numFmtId="0" fontId="26" fillId="0" borderId="7" xfId="0" applyFont="1" applyBorder="1" applyAlignment="1"/>
    <xf numFmtId="0" fontId="27" fillId="5" borderId="7" xfId="0" applyFont="1" applyFill="1" applyBorder="1" applyAlignment="1">
      <alignment horizontal="center" vertical="center" wrapText="1"/>
    </xf>
    <xf numFmtId="0" fontId="14" fillId="0" borderId="7" xfId="0" applyFont="1" applyBorder="1" applyAlignment="1">
      <alignment horizontal="center" vertical="center"/>
    </xf>
    <xf numFmtId="0" fontId="29" fillId="0" borderId="7" xfId="0" applyFont="1" applyBorder="1" applyAlignment="1">
      <alignment horizontal="center" vertical="center"/>
    </xf>
    <xf numFmtId="0" fontId="17" fillId="0" borderId="7" xfId="0" applyFont="1" applyBorder="1" applyAlignment="1">
      <alignment vertical="center"/>
    </xf>
    <xf numFmtId="176" fontId="14" fillId="0" borderId="7" xfId="0" applyNumberFormat="1" applyFont="1" applyBorder="1" applyAlignment="1">
      <alignment vertical="center"/>
    </xf>
    <xf numFmtId="0" fontId="17" fillId="0" borderId="7" xfId="0" applyFont="1" applyBorder="1" applyAlignment="1">
      <alignment horizontal="center" vertical="center"/>
    </xf>
    <xf numFmtId="0" fontId="5" fillId="0" borderId="7" xfId="0" applyFont="1" applyBorder="1" applyAlignment="1">
      <alignment vertical="top" wrapText="1"/>
    </xf>
    <xf numFmtId="0" fontId="18" fillId="0" borderId="0" xfId="0" applyFont="1" applyAlignment="1"/>
    <xf numFmtId="0" fontId="17" fillId="0" borderId="7" xfId="0" applyFont="1" applyBorder="1" applyAlignment="1"/>
    <xf numFmtId="0" fontId="14" fillId="9" borderId="7" xfId="0" applyFont="1" applyFill="1" applyBorder="1" applyAlignment="1"/>
    <xf numFmtId="0" fontId="17" fillId="9" borderId="7" xfId="0" applyFont="1" applyFill="1" applyBorder="1" applyAlignment="1">
      <alignment vertical="top" wrapText="1"/>
    </xf>
    <xf numFmtId="0" fontId="17" fillId="9" borderId="7" xfId="0" applyFont="1" applyFill="1" applyBorder="1" applyAlignment="1"/>
    <xf numFmtId="0" fontId="14" fillId="10" borderId="7" xfId="0" applyFont="1" applyFill="1" applyBorder="1" applyAlignment="1"/>
    <xf numFmtId="2" fontId="14" fillId="9" borderId="7" xfId="0" applyNumberFormat="1" applyFont="1" applyFill="1" applyBorder="1" applyAlignment="1"/>
    <xf numFmtId="177" fontId="14" fillId="9" borderId="7" xfId="0" applyNumberFormat="1" applyFont="1" applyFill="1" applyBorder="1" applyAlignment="1"/>
    <xf numFmtId="0" fontId="14" fillId="11" borderId="7" xfId="0" applyFont="1" applyFill="1" applyBorder="1" applyAlignment="1"/>
    <xf numFmtId="0" fontId="17" fillId="11" borderId="7" xfId="0" applyFont="1" applyFill="1" applyBorder="1" applyAlignment="1">
      <alignment vertical="top" wrapText="1"/>
    </xf>
    <xf numFmtId="0" fontId="17" fillId="11" borderId="7" xfId="0" applyFont="1" applyFill="1" applyBorder="1" applyAlignment="1"/>
    <xf numFmtId="2" fontId="14" fillId="11" borderId="7" xfId="0" applyNumberFormat="1" applyFont="1" applyFill="1" applyBorder="1" applyAlignment="1"/>
    <xf numFmtId="177" fontId="14" fillId="11" borderId="7" xfId="0" applyNumberFormat="1" applyFont="1" applyFill="1" applyBorder="1" applyAlignment="1"/>
    <xf numFmtId="0" fontId="14" fillId="12" borderId="7" xfId="0" applyFont="1" applyFill="1" applyBorder="1" applyAlignment="1"/>
    <xf numFmtId="0" fontId="17" fillId="12" borderId="7" xfId="0" applyFont="1" applyFill="1" applyBorder="1" applyAlignment="1">
      <alignment vertical="top" wrapText="1"/>
    </xf>
    <xf numFmtId="0" fontId="17" fillId="12" borderId="7" xfId="0" applyFont="1" applyFill="1" applyBorder="1" applyAlignment="1"/>
    <xf numFmtId="2" fontId="14" fillId="12" borderId="7" xfId="0" applyNumberFormat="1" applyFont="1" applyFill="1" applyBorder="1" applyAlignment="1"/>
    <xf numFmtId="177" fontId="14" fillId="12" borderId="7" xfId="0" applyNumberFormat="1" applyFont="1" applyFill="1" applyBorder="1" applyAlignment="1"/>
    <xf numFmtId="0" fontId="14" fillId="12" borderId="7" xfId="0" applyFont="1" applyFill="1" applyBorder="1" applyAlignment="1">
      <alignment vertical="top" wrapText="1"/>
    </xf>
    <xf numFmtId="0" fontId="14" fillId="11" borderId="7" xfId="0" applyFont="1" applyFill="1" applyBorder="1" applyAlignment="1">
      <alignment vertical="top" wrapText="1"/>
    </xf>
    <xf numFmtId="0" fontId="25" fillId="0" borderId="0" xfId="0" applyFont="1" applyAlignment="1"/>
    <xf numFmtId="2" fontId="30" fillId="0" borderId="0" xfId="0" applyNumberFormat="1" applyFont="1" applyAlignment="1"/>
    <xf numFmtId="0" fontId="31" fillId="11" borderId="7" xfId="0" applyFont="1" applyFill="1" applyBorder="1" applyAlignment="1"/>
    <xf numFmtId="0" fontId="31" fillId="11" borderId="7" xfId="0" applyFont="1" applyFill="1" applyBorder="1" applyAlignment="1">
      <alignment horizontal="center"/>
    </xf>
    <xf numFmtId="0" fontId="32" fillId="11" borderId="7" xfId="0" applyFont="1" applyFill="1" applyBorder="1" applyAlignment="1"/>
    <xf numFmtId="0" fontId="31" fillId="11" borderId="7" xfId="0" applyFont="1" applyFill="1" applyBorder="1" applyAlignment="1">
      <alignment vertical="top" wrapText="1"/>
    </xf>
    <xf numFmtId="9" fontId="31" fillId="11" borderId="7" xfId="0" applyNumberFormat="1" applyFont="1" applyFill="1" applyBorder="1" applyAlignment="1">
      <alignment horizontal="center"/>
    </xf>
    <xf numFmtId="9" fontId="31" fillId="13" borderId="7" xfId="0" applyNumberFormat="1" applyFont="1" applyFill="1" applyBorder="1" applyAlignment="1">
      <alignment horizontal="center"/>
    </xf>
    <xf numFmtId="0" fontId="33" fillId="13" borderId="7" xfId="0" applyFont="1" applyFill="1" applyBorder="1" applyAlignment="1">
      <alignment horizontal="center"/>
    </xf>
    <xf numFmtId="0" fontId="31" fillId="13" borderId="7" xfId="0" applyFont="1" applyFill="1" applyBorder="1" applyAlignment="1"/>
    <xf numFmtId="0" fontId="31" fillId="12" borderId="7" xfId="0" applyFont="1" applyFill="1" applyBorder="1" applyAlignment="1"/>
    <xf numFmtId="0" fontId="31" fillId="12" borderId="7" xfId="0" applyFont="1" applyFill="1" applyBorder="1" applyAlignment="1">
      <alignment horizontal="center"/>
    </xf>
    <xf numFmtId="0" fontId="32" fillId="12" borderId="7" xfId="0" applyFont="1" applyFill="1" applyBorder="1" applyAlignment="1"/>
    <xf numFmtId="0" fontId="31" fillId="12" borderId="7" xfId="0" applyFont="1" applyFill="1" applyBorder="1" applyAlignment="1">
      <alignment vertical="top" wrapText="1"/>
    </xf>
    <xf numFmtId="0" fontId="14" fillId="0" borderId="7" xfId="0" applyFont="1" applyBorder="1" applyAlignment="1"/>
    <xf numFmtId="178" fontId="14" fillId="0" borderId="7" xfId="0" applyNumberFormat="1" applyFont="1" applyBorder="1" applyAlignment="1"/>
    <xf numFmtId="178" fontId="34" fillId="0" borderId="7" xfId="0" applyNumberFormat="1" applyFont="1" applyBorder="1" applyAlignment="1"/>
    <xf numFmtId="2" fontId="34" fillId="0" borderId="7" xfId="0" applyNumberFormat="1" applyFont="1" applyBorder="1" applyAlignment="1"/>
    <xf numFmtId="179" fontId="34" fillId="0" borderId="7" xfId="0" applyNumberFormat="1" applyFont="1" applyBorder="1" applyAlignment="1"/>
    <xf numFmtId="0" fontId="19" fillId="0" borderId="7" xfId="0" applyFont="1" applyBorder="1" applyAlignment="1">
      <alignment vertical="top" wrapText="1"/>
    </xf>
    <xf numFmtId="0" fontId="19" fillId="0" borderId="7" xfId="0" applyFont="1" applyBorder="1" applyAlignment="1"/>
    <xf numFmtId="0" fontId="19" fillId="0" borderId="0" xfId="0" applyFont="1" applyAlignment="1"/>
    <xf numFmtId="0" fontId="35" fillId="0" borderId="0" xfId="0" applyFont="1" applyAlignment="1"/>
    <xf numFmtId="0" fontId="17" fillId="0" borderId="7" xfId="0" applyFont="1" applyBorder="1" applyAlignment="1">
      <alignment vertical="top" wrapText="1"/>
    </xf>
    <xf numFmtId="0" fontId="14" fillId="0" borderId="7" xfId="0" applyFont="1" applyBorder="1" applyAlignment="1">
      <alignment vertical="top" wrapText="1"/>
    </xf>
    <xf numFmtId="0" fontId="14" fillId="10" borderId="7" xfId="0" applyFont="1" applyFill="1" applyBorder="1" applyAlignment="1">
      <alignment vertical="top" wrapText="1"/>
    </xf>
    <xf numFmtId="0" fontId="25" fillId="0" borderId="0" xfId="0" applyFont="1" applyAlignment="1">
      <alignment vertical="center"/>
    </xf>
    <xf numFmtId="0" fontId="25" fillId="10" borderId="7" xfId="0" applyFont="1" applyFill="1" applyBorder="1" applyAlignment="1"/>
    <xf numFmtId="9" fontId="14" fillId="10" borderId="7" xfId="0" applyNumberFormat="1" applyFont="1" applyFill="1" applyBorder="1" applyAlignment="1"/>
    <xf numFmtId="9" fontId="14" fillId="0" borderId="7" xfId="0" applyNumberFormat="1" applyFont="1" applyBorder="1" applyAlignment="1"/>
    <xf numFmtId="0" fontId="39" fillId="0" borderId="7" xfId="0" applyFont="1" applyBorder="1" applyAlignment="1">
      <alignment vertical="top" wrapText="1"/>
    </xf>
    <xf numFmtId="0" fontId="40" fillId="0" borderId="7" xfId="0" applyFont="1" applyBorder="1" applyAlignment="1">
      <alignment vertical="top" wrapText="1"/>
    </xf>
    <xf numFmtId="0" fontId="20" fillId="0" borderId="7" xfId="0" applyFont="1" applyBorder="1" applyAlignment="1"/>
    <xf numFmtId="0" fontId="34" fillId="0" borderId="7" xfId="0" applyFont="1" applyBorder="1" applyAlignment="1"/>
    <xf numFmtId="0" fontId="34" fillId="0" borderId="7" xfId="0" applyFont="1" applyBorder="1" applyAlignment="1">
      <alignment vertical="top" wrapText="1"/>
    </xf>
    <xf numFmtId="3" fontId="34" fillId="10" borderId="7" xfId="0" applyNumberFormat="1" applyFont="1" applyFill="1" applyBorder="1" applyAlignment="1"/>
    <xf numFmtId="0" fontId="34" fillId="10" borderId="7" xfId="0" applyFont="1" applyFill="1" applyBorder="1" applyAlignment="1"/>
    <xf numFmtId="3" fontId="34" fillId="0" borderId="7" xfId="0" applyNumberFormat="1" applyFont="1" applyBorder="1" applyAlignment="1"/>
    <xf numFmtId="0" fontId="15" fillId="5" borderId="7" xfId="0" applyFont="1" applyFill="1" applyBorder="1" applyAlignment="1"/>
    <xf numFmtId="9" fontId="34" fillId="10" borderId="7" xfId="0" applyNumberFormat="1" applyFont="1" applyFill="1" applyBorder="1" applyAlignment="1"/>
    <xf numFmtId="0" fontId="27" fillId="5" borderId="7" xfId="0" applyFont="1" applyFill="1" applyBorder="1" applyAlignment="1"/>
    <xf numFmtId="0" fontId="31" fillId="0" borderId="7" xfId="0" applyFont="1" applyBorder="1" applyAlignment="1"/>
    <xf numFmtId="9" fontId="31" fillId="0" borderId="7" xfId="0" applyNumberFormat="1" applyFont="1" applyBorder="1" applyAlignment="1"/>
    <xf numFmtId="0" fontId="40" fillId="0" borderId="7" xfId="0" applyFont="1" applyBorder="1" applyAlignment="1"/>
    <xf numFmtId="0" fontId="42" fillId="0" borderId="7" xfId="0" applyFont="1" applyBorder="1" applyAlignment="1"/>
    <xf numFmtId="9" fontId="42" fillId="0" borderId="7" xfId="0" applyNumberFormat="1" applyFont="1" applyBorder="1" applyAlignment="1"/>
    <xf numFmtId="2" fontId="42" fillId="0" borderId="7" xfId="0" applyNumberFormat="1" applyFont="1" applyBorder="1" applyAlignment="1"/>
    <xf numFmtId="177" fontId="30" fillId="0" borderId="7" xfId="0" applyNumberFormat="1" applyFont="1" applyBorder="1" applyAlignment="1"/>
    <xf numFmtId="9" fontId="30" fillId="0" borderId="7" xfId="0" applyNumberFormat="1" applyFont="1" applyBorder="1" applyAlignment="1"/>
    <xf numFmtId="0" fontId="43" fillId="0" borderId="0" xfId="0" applyFont="1" applyAlignment="1"/>
    <xf numFmtId="9" fontId="44" fillId="0" borderId="7" xfId="0" applyNumberFormat="1" applyFont="1" applyBorder="1" applyAlignment="1"/>
    <xf numFmtId="2" fontId="42" fillId="13" borderId="7" xfId="0" applyNumberFormat="1" applyFont="1" applyFill="1" applyBorder="1" applyAlignment="1"/>
    <xf numFmtId="0" fontId="25" fillId="0" borderId="0" xfId="0" applyFont="1" applyAlignment="1">
      <alignment horizontal="center" vertical="center" wrapText="1"/>
    </xf>
    <xf numFmtId="0" fontId="45" fillId="14" borderId="7" xfId="0" applyFont="1" applyFill="1" applyBorder="1" applyAlignment="1"/>
    <xf numFmtId="0" fontId="38" fillId="3" borderId="0" xfId="0" applyFont="1" applyFill="1" applyAlignment="1">
      <alignment horizontal="center" vertical="center" wrapText="1"/>
    </xf>
    <xf numFmtId="0" fontId="46" fillId="5" borderId="7" xfId="0" applyFont="1" applyFill="1" applyBorder="1" applyAlignment="1">
      <alignment horizontal="center" vertical="center" wrapText="1"/>
    </xf>
    <xf numFmtId="2" fontId="31" fillId="0" borderId="7" xfId="0" applyNumberFormat="1" applyFont="1" applyBorder="1" applyAlignment="1"/>
    <xf numFmtId="3" fontId="47" fillId="0" borderId="7" xfId="0" applyNumberFormat="1" applyFont="1" applyBorder="1" applyAlignment="1"/>
    <xf numFmtId="2" fontId="30" fillId="0" borderId="7" xfId="0" applyNumberFormat="1" applyFont="1" applyBorder="1" applyAlignment="1"/>
    <xf numFmtId="3" fontId="48" fillId="0" borderId="7" xfId="0" applyNumberFormat="1" applyFont="1" applyBorder="1" applyAlignment="1"/>
    <xf numFmtId="0" fontId="31" fillId="0" borderId="7" xfId="0" applyFont="1" applyBorder="1" applyAlignment="1">
      <alignment horizontal="center"/>
    </xf>
    <xf numFmtId="0" fontId="31" fillId="0" borderId="7" xfId="0" applyFont="1" applyBorder="1" applyAlignment="1">
      <alignment vertical="top" wrapText="1"/>
    </xf>
    <xf numFmtId="0" fontId="31" fillId="13" borderId="7" xfId="0" applyFont="1" applyFill="1" applyBorder="1" applyAlignment="1">
      <alignment horizontal="center"/>
    </xf>
    <xf numFmtId="0" fontId="31" fillId="14" borderId="7" xfId="0" applyFont="1" applyFill="1" applyBorder="1" applyAlignment="1"/>
    <xf numFmtId="0" fontId="33" fillId="14" borderId="7" xfId="0" applyFont="1" applyFill="1" applyBorder="1" applyAlignment="1"/>
    <xf numFmtId="0" fontId="45" fillId="0" borderId="7" xfId="0" applyFont="1" applyBorder="1" applyAlignment="1"/>
    <xf numFmtId="180" fontId="31" fillId="14" borderId="7" xfId="0" applyNumberFormat="1" applyFont="1" applyFill="1" applyBorder="1" applyAlignment="1"/>
    <xf numFmtId="0" fontId="16" fillId="14" borderId="7" xfId="0" applyFont="1" applyFill="1" applyBorder="1" applyAlignment="1"/>
    <xf numFmtId="0" fontId="16" fillId="0" borderId="7" xfId="0" applyFont="1" applyBorder="1" applyAlignment="1"/>
    <xf numFmtId="9" fontId="34" fillId="0" borderId="7" xfId="0" applyNumberFormat="1" applyFont="1" applyBorder="1" applyAlignment="1"/>
    <xf numFmtId="3" fontId="34" fillId="14" borderId="7" xfId="0" applyNumberFormat="1" applyFont="1" applyFill="1" applyBorder="1" applyAlignment="1"/>
    <xf numFmtId="9" fontId="48" fillId="0" borderId="7" xfId="0" applyNumberFormat="1" applyFont="1" applyBorder="1" applyAlignment="1"/>
    <xf numFmtId="0" fontId="19" fillId="0" borderId="7" xfId="0" applyFont="1" applyBorder="1" applyAlignment="1">
      <alignment vertical="top" wrapText="1"/>
    </xf>
    <xf numFmtId="0" fontId="17" fillId="0" borderId="7" xfId="0" applyFont="1" applyBorder="1" applyAlignment="1"/>
    <xf numFmtId="0" fontId="17" fillId="0" borderId="7" xfId="0" applyFont="1" applyBorder="1" applyAlignment="1">
      <alignment vertical="top" wrapText="1"/>
    </xf>
    <xf numFmtId="0" fontId="34" fillId="0" borderId="7" xfId="0" applyFont="1" applyBorder="1" applyAlignment="1">
      <alignment vertical="top" wrapText="1"/>
    </xf>
    <xf numFmtId="0" fontId="25" fillId="0" borderId="0" xfId="0" applyFont="1" applyBorder="1" applyAlignment="1"/>
    <xf numFmtId="0" fontId="32" fillId="0" borderId="7" xfId="0" applyFont="1" applyBorder="1" applyAlignment="1"/>
    <xf numFmtId="0" fontId="19" fillId="0" borderId="0" xfId="0" applyFont="1" applyBorder="1" applyAlignment="1">
      <alignment vertical="top" wrapText="1"/>
    </xf>
  </cellXfs>
  <cellStyles count="4">
    <cellStyle name="표준" xfId="0" builtinId="0"/>
    <cellStyle name="표준 2" xfId="1"/>
    <cellStyle name="표준 2 2" xfId="2"/>
    <cellStyle name="표준 3" xfId="3"/>
  </cellStyles>
  <dxfs count="20">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88888"/>
      <rgbColor rgb="FFC6E0B4"/>
      <rgbColor rgb="FF993366"/>
      <rgbColor rgb="FFEBF1DE"/>
      <rgbColor rgb="FFDDEBF7"/>
      <rgbColor rgb="FF660066"/>
      <rgbColor rgb="FFF8696B"/>
      <rgbColor rgb="FF0066CC"/>
      <rgbColor rgb="FFBDD7EE"/>
      <rgbColor rgb="FF000080"/>
      <rgbColor rgb="FFFF00FF"/>
      <rgbColor rgb="FFE6E6E6"/>
      <rgbColor rgb="FF00FFFF"/>
      <rgbColor rgb="FF800080"/>
      <rgbColor rgb="FF800000"/>
      <rgbColor rgb="FF008080"/>
      <rgbColor rgb="FF0000FF"/>
      <rgbColor rgb="FF00CCFF"/>
      <rgbColor rgb="FFDCE6F2"/>
      <rgbColor rgb="FFE2EFDA"/>
      <rgbColor rgb="FFFFE699"/>
      <rgbColor rgb="FFC8C8C8"/>
      <rgbColor rgb="FFF2DCDB"/>
      <rgbColor rgb="FFD9D9D9"/>
      <rgbColor rgb="FFF8CBAD"/>
      <rgbColor rgb="FF3366FF"/>
      <rgbColor rgb="FF33CCCC"/>
      <rgbColor rgb="FFF2F2F2"/>
      <rgbColor rgb="FFFCE4D6"/>
      <rgbColor rgb="FFFF9900"/>
      <rgbColor rgb="FFFF6600"/>
      <rgbColor rgb="FF777777"/>
      <rgbColor rgb="FFA6A6A6"/>
      <rgbColor rgb="FF003366"/>
      <rgbColor rgb="FF339966"/>
      <rgbColor rgb="FF003300"/>
      <rgbColor rgb="FF333300"/>
      <rgbColor rgb="FF993300"/>
      <rgbColor rgb="FF993366"/>
      <rgbColor rgb="FF1F4E78"/>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M20"/>
  <sheetViews>
    <sheetView showGridLines="0" zoomScaleNormal="100" workbookViewId="0"/>
  </sheetViews>
  <sheetFormatPr defaultColWidth="8.7265625" defaultRowHeight="17"/>
  <cols>
    <col min="1" max="1" width="8.7265625" style="15"/>
    <col min="2" max="2" width="8.08984375" style="15" customWidth="1"/>
    <col min="3" max="3" width="35.6328125" style="15" customWidth="1"/>
    <col min="4" max="4" width="50.6328125" style="15" customWidth="1"/>
    <col min="5" max="5" width="10.6328125" style="15" customWidth="1"/>
    <col min="6" max="10" width="8.7265625" style="15"/>
    <col min="11" max="12" width="16.6328125" style="15" customWidth="1"/>
    <col min="13" max="16384" width="8.7265625" style="15"/>
  </cols>
  <sheetData>
    <row r="1" spans="2:13" ht="16.5" customHeight="1">
      <c r="B1" s="16"/>
      <c r="C1" s="16"/>
      <c r="D1" s="17" t="s">
        <v>0</v>
      </c>
      <c r="E1" s="16"/>
      <c r="F1" s="16"/>
      <c r="G1" s="16"/>
      <c r="H1" s="16"/>
      <c r="I1" s="16"/>
      <c r="J1" s="16"/>
      <c r="K1" s="16"/>
      <c r="L1" s="18" t="s">
        <v>1</v>
      </c>
      <c r="M1" s="18"/>
    </row>
    <row r="2" spans="2:13" ht="16.5" customHeight="1">
      <c r="B2" s="16"/>
      <c r="C2" s="16"/>
      <c r="D2" s="17" t="s">
        <v>2</v>
      </c>
      <c r="E2" s="16"/>
      <c r="F2" s="16"/>
      <c r="G2" s="16"/>
      <c r="H2" s="16"/>
      <c r="I2" s="16"/>
      <c r="J2" s="16"/>
      <c r="K2" s="16"/>
      <c r="L2" s="19" t="s">
        <v>3</v>
      </c>
      <c r="M2" s="18"/>
    </row>
    <row r="3" spans="2:13" ht="16.5" customHeight="1">
      <c r="B3" s="20" t="s">
        <v>4</v>
      </c>
      <c r="C3" s="19" t="s">
        <v>5</v>
      </c>
      <c r="D3" s="18"/>
      <c r="E3" s="18"/>
      <c r="F3" s="16"/>
      <c r="G3" s="16"/>
      <c r="H3" s="16"/>
      <c r="I3" s="16"/>
      <c r="J3" s="16"/>
      <c r="K3" s="16"/>
      <c r="L3" s="18">
        <v>10</v>
      </c>
      <c r="M3" s="19" t="s">
        <v>6</v>
      </c>
    </row>
    <row r="4" spans="2:13" ht="16.5" customHeight="1">
      <c r="B4" s="21" t="s">
        <v>7</v>
      </c>
      <c r="C4" s="21" t="s">
        <v>8</v>
      </c>
      <c r="D4" s="21" t="s">
        <v>9</v>
      </c>
      <c r="E4" s="21" t="s">
        <v>10</v>
      </c>
      <c r="F4" s="16"/>
      <c r="G4" s="16"/>
      <c r="H4" s="16"/>
      <c r="I4" s="16"/>
      <c r="J4" s="16"/>
      <c r="K4" s="16"/>
      <c r="L4" s="16"/>
      <c r="M4" s="16"/>
    </row>
    <row r="5" spans="2:13" ht="16.5" customHeight="1">
      <c r="B5" s="19">
        <v>1</v>
      </c>
      <c r="C5" s="19" t="s">
        <v>11</v>
      </c>
      <c r="D5" s="18" t="s">
        <v>12</v>
      </c>
      <c r="E5" s="22"/>
      <c r="F5" s="23"/>
      <c r="G5" s="16"/>
      <c r="H5" s="16"/>
      <c r="I5" s="16"/>
      <c r="J5" s="16"/>
      <c r="K5" s="16"/>
      <c r="L5" s="16"/>
      <c r="M5" s="16"/>
    </row>
    <row r="6" spans="2:13" ht="16.5" customHeight="1">
      <c r="B6" s="18">
        <v>2</v>
      </c>
      <c r="C6" s="19" t="s">
        <v>13</v>
      </c>
      <c r="D6" s="18" t="s">
        <v>14</v>
      </c>
      <c r="E6" s="22"/>
      <c r="F6" s="23"/>
      <c r="G6" s="16"/>
      <c r="H6" s="16"/>
      <c r="I6" s="16"/>
      <c r="J6" s="16"/>
      <c r="K6" s="16"/>
      <c r="L6" s="16"/>
      <c r="M6" s="16"/>
    </row>
    <row r="7" spans="2:13" ht="16.5" customHeight="1">
      <c r="B7" s="18">
        <v>3</v>
      </c>
      <c r="C7" s="18" t="s">
        <v>15</v>
      </c>
      <c r="D7" s="18" t="s">
        <v>16</v>
      </c>
      <c r="E7" s="22"/>
      <c r="F7" s="23"/>
      <c r="G7" s="16"/>
      <c r="H7" s="16"/>
      <c r="I7" s="16"/>
      <c r="J7" s="16"/>
      <c r="K7" s="16"/>
      <c r="L7" s="16"/>
      <c r="M7" s="16"/>
    </row>
    <row r="8" spans="2:13" ht="16.5" customHeight="1">
      <c r="B8" s="18">
        <v>4</v>
      </c>
      <c r="C8" s="19" t="s">
        <v>17</v>
      </c>
      <c r="D8" s="18" t="s">
        <v>16</v>
      </c>
      <c r="E8" s="22"/>
      <c r="F8" s="23"/>
      <c r="G8" s="16"/>
      <c r="H8" s="16"/>
      <c r="I8" s="16"/>
      <c r="J8" s="16"/>
      <c r="K8" s="16"/>
      <c r="L8" s="16"/>
      <c r="M8" s="16"/>
    </row>
    <row r="9" spans="2:13" ht="16.5" customHeight="1">
      <c r="B9" s="18">
        <v>5</v>
      </c>
      <c r="C9" s="19" t="s">
        <v>18</v>
      </c>
      <c r="D9" s="18" t="s">
        <v>16</v>
      </c>
      <c r="E9" s="22"/>
      <c r="F9" s="23"/>
      <c r="G9" s="16"/>
      <c r="H9" s="16"/>
      <c r="I9" s="16"/>
      <c r="J9" s="16"/>
      <c r="K9" s="16"/>
      <c r="L9" s="16"/>
      <c r="M9" s="16"/>
    </row>
    <row r="10" spans="2:13" ht="16.5" customHeight="1">
      <c r="B10" s="18">
        <v>6</v>
      </c>
      <c r="C10" s="18" t="s">
        <v>19</v>
      </c>
      <c r="D10" s="18" t="s">
        <v>16</v>
      </c>
      <c r="E10" s="22"/>
      <c r="F10" s="16"/>
      <c r="G10" s="16"/>
      <c r="H10" s="16"/>
      <c r="I10" s="16"/>
      <c r="J10" s="16"/>
      <c r="K10" s="16"/>
      <c r="L10" s="16"/>
      <c r="M10" s="16"/>
    </row>
    <row r="11" spans="2:13" ht="16.5" customHeight="1">
      <c r="B11" s="18">
        <v>7</v>
      </c>
      <c r="C11" s="19" t="s">
        <v>20</v>
      </c>
      <c r="D11" s="18" t="s">
        <v>16</v>
      </c>
      <c r="E11" s="22"/>
      <c r="F11" s="16"/>
      <c r="G11" s="16"/>
      <c r="H11" s="16"/>
      <c r="I11" s="16"/>
      <c r="J11" s="16"/>
      <c r="K11" s="16"/>
      <c r="L11" s="16"/>
      <c r="M11" s="16"/>
    </row>
    <row r="12" spans="2:13" ht="16.5" customHeight="1">
      <c r="B12" s="18">
        <v>8</v>
      </c>
      <c r="C12" s="18" t="s">
        <v>21</v>
      </c>
      <c r="D12" s="18" t="s">
        <v>16</v>
      </c>
      <c r="E12" s="22"/>
      <c r="F12" s="16"/>
      <c r="G12" s="16"/>
      <c r="H12" s="16"/>
      <c r="I12" s="16"/>
      <c r="J12" s="16"/>
      <c r="K12" s="16"/>
      <c r="L12" s="16"/>
      <c r="M12" s="16"/>
    </row>
    <row r="13" spans="2:13" ht="16.5" customHeight="1">
      <c r="B13" s="18">
        <v>9</v>
      </c>
      <c r="C13" s="18" t="s">
        <v>22</v>
      </c>
      <c r="D13" s="18" t="s">
        <v>16</v>
      </c>
      <c r="E13" s="22"/>
      <c r="F13" s="16"/>
      <c r="G13" s="16"/>
      <c r="H13" s="16"/>
      <c r="I13" s="16"/>
      <c r="J13" s="16"/>
      <c r="K13" s="16"/>
      <c r="L13" s="16"/>
      <c r="M13" s="16"/>
    </row>
    <row r="14" spans="2:13" ht="16.5" customHeight="1">
      <c r="B14" s="18">
        <v>10</v>
      </c>
      <c r="C14" s="18" t="s">
        <v>23</v>
      </c>
      <c r="D14" s="18" t="s">
        <v>16</v>
      </c>
      <c r="E14" s="22"/>
      <c r="F14" s="16"/>
      <c r="G14" s="16"/>
      <c r="H14" s="16"/>
      <c r="I14" s="16"/>
      <c r="J14" s="16"/>
      <c r="K14" s="16"/>
      <c r="L14" s="16"/>
      <c r="M14" s="16"/>
    </row>
    <row r="15" spans="2:13" ht="16.5" customHeight="1">
      <c r="B15" s="18">
        <v>11</v>
      </c>
      <c r="C15" s="18" t="s">
        <v>24</v>
      </c>
      <c r="D15" s="18" t="s">
        <v>16</v>
      </c>
      <c r="E15" s="22"/>
      <c r="F15" s="16"/>
      <c r="G15" s="16"/>
      <c r="H15" s="16"/>
      <c r="I15" s="16"/>
      <c r="J15" s="16"/>
      <c r="K15" s="16"/>
      <c r="L15" s="16"/>
      <c r="M15" s="16"/>
    </row>
    <row r="16" spans="2:13" ht="16.5" customHeight="1">
      <c r="B16" s="18">
        <v>12</v>
      </c>
      <c r="C16" s="19" t="s">
        <v>25</v>
      </c>
      <c r="D16" s="18" t="s">
        <v>16</v>
      </c>
      <c r="E16" s="22"/>
      <c r="F16" s="16"/>
      <c r="G16" s="16"/>
      <c r="H16" s="16"/>
      <c r="I16" s="16"/>
      <c r="J16" s="16"/>
      <c r="K16" s="16"/>
      <c r="L16" s="16"/>
      <c r="M16" s="16"/>
    </row>
    <row r="17" spans="2:13" ht="16.5" customHeight="1">
      <c r="B17" s="18">
        <v>13</v>
      </c>
      <c r="C17" s="19" t="s">
        <v>26</v>
      </c>
      <c r="D17" s="18" t="s">
        <v>16</v>
      </c>
      <c r="E17" s="22"/>
      <c r="F17" s="16"/>
      <c r="G17" s="16"/>
      <c r="H17" s="16"/>
      <c r="I17" s="16"/>
      <c r="J17" s="16"/>
      <c r="K17" s="16"/>
      <c r="L17" s="16"/>
      <c r="M17" s="16"/>
    </row>
    <row r="18" spans="2:13" ht="16.5" customHeight="1">
      <c r="B18" s="18">
        <v>14</v>
      </c>
      <c r="C18" s="18" t="s">
        <v>27</v>
      </c>
      <c r="D18" s="18" t="s">
        <v>16</v>
      </c>
      <c r="E18" s="22"/>
      <c r="F18" s="16"/>
      <c r="G18" s="16"/>
      <c r="H18" s="16"/>
      <c r="I18" s="16"/>
      <c r="J18" s="16"/>
      <c r="K18" s="16"/>
      <c r="L18" s="16"/>
      <c r="M18" s="16"/>
    </row>
    <row r="19" spans="2:13" ht="16.5" customHeight="1">
      <c r="B19" s="18">
        <v>15</v>
      </c>
      <c r="C19" s="18" t="s">
        <v>28</v>
      </c>
      <c r="D19" s="18" t="s">
        <v>16</v>
      </c>
      <c r="E19" s="22"/>
      <c r="F19" s="16"/>
      <c r="G19" s="16"/>
      <c r="H19" s="16"/>
      <c r="I19" s="16"/>
      <c r="J19" s="16"/>
      <c r="K19" s="16"/>
      <c r="L19" s="16"/>
      <c r="M19" s="16"/>
    </row>
    <row r="20" spans="2:13" ht="16.5" customHeight="1">
      <c r="B20" s="18">
        <v>16</v>
      </c>
      <c r="C20" s="18" t="s">
        <v>29</v>
      </c>
      <c r="D20" s="18" t="s">
        <v>16</v>
      </c>
      <c r="E20" s="22"/>
      <c r="F20" s="16"/>
      <c r="G20" s="16"/>
      <c r="H20" s="16"/>
      <c r="I20" s="16"/>
      <c r="J20" s="16"/>
      <c r="K20" s="16"/>
      <c r="L20" s="16"/>
      <c r="M20" s="16"/>
    </row>
  </sheetData>
  <phoneticPr fontId="50" type="noConversion"/>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B1:W29"/>
  <sheetViews>
    <sheetView showGridLines="0" zoomScaleNormal="100" workbookViewId="0"/>
  </sheetViews>
  <sheetFormatPr defaultColWidth="8.7265625" defaultRowHeight="16"/>
  <cols>
    <col min="1" max="1" width="8.7265625" style="24"/>
    <col min="2" max="2" width="11.54296875" style="25" customWidth="1"/>
    <col min="3" max="3" width="11.54296875" style="24" customWidth="1"/>
    <col min="4" max="4" width="14.81640625" style="26" customWidth="1"/>
    <col min="5" max="5" width="12.81640625" style="24" customWidth="1"/>
    <col min="6" max="6" width="23" style="24" customWidth="1"/>
    <col min="7" max="7" width="14.6328125" style="24" customWidth="1"/>
    <col min="8" max="8" width="13.81640625" style="24" customWidth="1"/>
    <col min="9" max="9" width="12.1796875" style="24" customWidth="1"/>
    <col min="10" max="10" width="12.08984375" style="24" customWidth="1"/>
    <col min="11" max="11" width="11.08984375" style="24" customWidth="1"/>
    <col min="12" max="12" width="12.1796875" style="24" customWidth="1"/>
    <col min="13" max="13" width="9.90625" style="24" customWidth="1"/>
    <col min="14" max="14" width="13.90625" style="24" customWidth="1"/>
    <col min="15" max="17" width="8.7265625" style="24"/>
    <col min="18" max="18" width="24.26953125" style="24" customWidth="1"/>
    <col min="19" max="19" width="9.36328125" style="25" customWidth="1"/>
    <col min="20" max="20" width="6.7265625" style="25" customWidth="1"/>
    <col min="21" max="21" width="8.54296875" style="25" customWidth="1"/>
    <col min="22" max="22" width="84.453125" style="24" customWidth="1"/>
    <col min="23" max="23" width="44.08984375" style="24" customWidth="1"/>
    <col min="24" max="16384" width="8.7265625" style="24"/>
  </cols>
  <sheetData>
    <row r="1" spans="2:23" ht="15.75" customHeight="1">
      <c r="B1" s="27"/>
      <c r="C1" s="28"/>
      <c r="D1" s="28"/>
      <c r="E1" s="28"/>
      <c r="F1" s="28"/>
      <c r="G1" s="28"/>
      <c r="H1" s="28"/>
      <c r="I1" s="28"/>
      <c r="J1" s="28"/>
      <c r="K1" s="28"/>
      <c r="L1" s="28"/>
      <c r="M1" s="28"/>
      <c r="N1" s="28"/>
      <c r="O1" s="28"/>
      <c r="P1" s="28"/>
      <c r="Q1" s="28"/>
      <c r="R1" s="28"/>
      <c r="S1" s="27"/>
      <c r="T1" s="27"/>
      <c r="U1" s="27"/>
      <c r="V1" s="28"/>
      <c r="W1" s="28"/>
    </row>
    <row r="2" spans="2:23" ht="15.75" customHeight="1">
      <c r="B2" s="27"/>
      <c r="C2" s="28"/>
      <c r="D2" s="28"/>
      <c r="E2" s="28"/>
      <c r="F2" s="28"/>
      <c r="G2" s="28"/>
      <c r="H2" s="14" t="s">
        <v>30</v>
      </c>
      <c r="I2" s="14"/>
      <c r="J2" s="14"/>
      <c r="K2" s="14"/>
      <c r="L2" s="14"/>
      <c r="M2" s="14"/>
      <c r="N2" s="14"/>
      <c r="O2" s="28"/>
      <c r="P2" s="28"/>
      <c r="Q2" s="28"/>
      <c r="R2" s="28"/>
      <c r="S2" s="27"/>
      <c r="T2" s="27"/>
      <c r="U2" s="27"/>
      <c r="V2" s="28"/>
      <c r="W2" s="28"/>
    </row>
    <row r="3" spans="2:23" ht="15.75" customHeight="1">
      <c r="B3" s="27"/>
      <c r="C3" s="28"/>
      <c r="D3" s="29" t="s">
        <v>31</v>
      </c>
      <c r="E3" s="30" t="s">
        <v>32</v>
      </c>
      <c r="F3" s="30" t="s">
        <v>33</v>
      </c>
      <c r="G3" s="30" t="s">
        <v>33</v>
      </c>
      <c r="H3" s="30" t="s">
        <v>33</v>
      </c>
      <c r="I3" s="30" t="s">
        <v>33</v>
      </c>
      <c r="J3" s="30" t="s">
        <v>33</v>
      </c>
      <c r="K3" s="30" t="s">
        <v>33</v>
      </c>
      <c r="L3" s="30" t="s">
        <v>33</v>
      </c>
      <c r="M3" s="30" t="s">
        <v>33</v>
      </c>
      <c r="N3" s="30" t="s">
        <v>33</v>
      </c>
      <c r="O3" s="28"/>
      <c r="P3" s="28"/>
      <c r="Q3" s="28"/>
      <c r="R3" s="28"/>
      <c r="S3" s="27"/>
      <c r="T3" s="27"/>
      <c r="U3" s="27"/>
      <c r="V3" s="28"/>
      <c r="W3" s="28"/>
    </row>
    <row r="4" spans="2:23" s="25" customFormat="1" ht="15.75" customHeight="1">
      <c r="B4" s="30" t="s">
        <v>34</v>
      </c>
      <c r="C4" s="30" t="s">
        <v>35</v>
      </c>
      <c r="D4" s="31" t="s">
        <v>13</v>
      </c>
      <c r="E4" s="30" t="s">
        <v>36</v>
      </c>
      <c r="F4" s="30" t="s">
        <v>37</v>
      </c>
      <c r="G4" s="30" t="s">
        <v>38</v>
      </c>
      <c r="H4" s="32" t="s">
        <v>39</v>
      </c>
      <c r="I4" s="32" t="s">
        <v>40</v>
      </c>
      <c r="J4" s="32" t="s">
        <v>41</v>
      </c>
      <c r="K4" s="32" t="s">
        <v>42</v>
      </c>
      <c r="L4" s="32" t="s">
        <v>43</v>
      </c>
      <c r="M4" s="32" t="s">
        <v>44</v>
      </c>
      <c r="N4" s="32" t="s">
        <v>45</v>
      </c>
      <c r="O4" s="27"/>
      <c r="P4" s="27"/>
      <c r="Q4" s="27"/>
      <c r="R4" s="33" t="s">
        <v>46</v>
      </c>
      <c r="S4" s="33" t="s">
        <v>47</v>
      </c>
      <c r="T4" s="33" t="s">
        <v>48</v>
      </c>
      <c r="U4" s="33" t="s">
        <v>49</v>
      </c>
      <c r="V4" s="33" t="s">
        <v>50</v>
      </c>
      <c r="W4" s="33" t="s">
        <v>51</v>
      </c>
    </row>
    <row r="5" spans="2:23" ht="15.75" customHeight="1">
      <c r="B5" s="18">
        <v>1</v>
      </c>
      <c r="C5" s="34" t="s">
        <v>11</v>
      </c>
      <c r="D5" s="35"/>
      <c r="E5" s="18">
        <v>65535</v>
      </c>
      <c r="F5" s="36" t="b">
        <f>FALSE()</f>
        <v>0</v>
      </c>
      <c r="G5" s="36" t="b">
        <f>FALSE()</f>
        <v>0</v>
      </c>
      <c r="H5" s="37" t="b">
        <f>TRUE()</f>
        <v>1</v>
      </c>
      <c r="I5" s="36" t="b">
        <f>FALSE()</f>
        <v>0</v>
      </c>
      <c r="J5" s="36" t="b">
        <f>FALSE()</f>
        <v>0</v>
      </c>
      <c r="K5" s="36" t="b">
        <f>FALSE()</f>
        <v>0</v>
      </c>
      <c r="L5" s="36" t="b">
        <f>FALSE()</f>
        <v>0</v>
      </c>
      <c r="M5" s="36" t="b">
        <f>TRUE()</f>
        <v>1</v>
      </c>
      <c r="N5" s="36" t="b">
        <f>TRUE()</f>
        <v>1</v>
      </c>
      <c r="O5" s="28"/>
      <c r="P5" s="28"/>
      <c r="Q5" s="28"/>
      <c r="R5" s="38" t="s">
        <v>52</v>
      </c>
      <c r="S5" s="39" t="s">
        <v>53</v>
      </c>
      <c r="T5" s="39" t="s">
        <v>54</v>
      </c>
      <c r="U5" s="39"/>
      <c r="V5" s="40" t="s">
        <v>55</v>
      </c>
      <c r="W5" s="38" t="s">
        <v>56</v>
      </c>
    </row>
    <row r="6" spans="2:23" ht="15.75" customHeight="1">
      <c r="B6" s="18">
        <v>2</v>
      </c>
      <c r="C6" s="34" t="s">
        <v>13</v>
      </c>
      <c r="D6" s="35"/>
      <c r="E6" s="18">
        <v>65535</v>
      </c>
      <c r="F6" s="36" t="b">
        <f>FALSE()</f>
        <v>0</v>
      </c>
      <c r="G6" s="36" t="b">
        <f>FALSE()</f>
        <v>0</v>
      </c>
      <c r="H6" s="37" t="b">
        <f>TRUE()</f>
        <v>1</v>
      </c>
      <c r="I6" s="36" t="b">
        <f>FALSE()</f>
        <v>0</v>
      </c>
      <c r="J6" s="36" t="b">
        <f>FALSE()</f>
        <v>0</v>
      </c>
      <c r="K6" s="36" t="b">
        <f>FALSE()</f>
        <v>0</v>
      </c>
      <c r="L6" s="36" t="b">
        <f>FALSE()</f>
        <v>0</v>
      </c>
      <c r="M6" s="36" t="b">
        <f>TRUE()</f>
        <v>1</v>
      </c>
      <c r="N6" s="36" t="b">
        <f>TRUE()</f>
        <v>1</v>
      </c>
      <c r="O6" s="28"/>
      <c r="P6" s="28"/>
      <c r="Q6" s="28"/>
      <c r="R6" s="38" t="s">
        <v>57</v>
      </c>
      <c r="S6" s="39" t="s">
        <v>58</v>
      </c>
      <c r="T6" s="39" t="s">
        <v>54</v>
      </c>
      <c r="U6" s="39" t="s">
        <v>59</v>
      </c>
      <c r="V6" s="40" t="s">
        <v>60</v>
      </c>
      <c r="W6" s="38" t="s">
        <v>61</v>
      </c>
    </row>
    <row r="7" spans="2:23" ht="25.5" customHeight="1">
      <c r="B7" s="18"/>
      <c r="C7" s="34"/>
      <c r="D7" s="35"/>
      <c r="E7" s="18"/>
      <c r="F7" s="19"/>
      <c r="G7" s="19"/>
      <c r="H7" s="19"/>
      <c r="I7" s="19"/>
      <c r="J7" s="19"/>
      <c r="K7" s="19"/>
      <c r="L7" s="19"/>
      <c r="M7" s="19"/>
      <c r="N7" s="19"/>
      <c r="O7" s="28"/>
      <c r="P7" s="28"/>
      <c r="Q7" s="28"/>
      <c r="R7" s="38" t="s">
        <v>36</v>
      </c>
      <c r="S7" s="39" t="s">
        <v>32</v>
      </c>
      <c r="T7" s="39" t="s">
        <v>62</v>
      </c>
      <c r="U7" s="41" t="s">
        <v>63</v>
      </c>
      <c r="V7" s="40" t="s">
        <v>64</v>
      </c>
      <c r="W7" s="38" t="s">
        <v>65</v>
      </c>
    </row>
    <row r="8" spans="2:23" ht="25.5" customHeight="1">
      <c r="B8" s="18"/>
      <c r="C8" s="34"/>
      <c r="D8" s="22"/>
      <c r="E8" s="18"/>
      <c r="F8" s="19"/>
      <c r="G8" s="19"/>
      <c r="H8" s="19"/>
      <c r="I8" s="19"/>
      <c r="J8" s="19"/>
      <c r="K8" s="19"/>
      <c r="L8" s="19"/>
      <c r="M8" s="19"/>
      <c r="N8" s="19"/>
      <c r="O8" s="28"/>
      <c r="P8" s="28"/>
      <c r="Q8" s="28"/>
      <c r="R8" s="38" t="s">
        <v>37</v>
      </c>
      <c r="S8" s="39" t="s">
        <v>33</v>
      </c>
      <c r="T8" s="39" t="s">
        <v>66</v>
      </c>
      <c r="U8" s="41" t="s">
        <v>63</v>
      </c>
      <c r="V8" s="38" t="s">
        <v>67</v>
      </c>
      <c r="W8" s="38" t="s">
        <v>68</v>
      </c>
    </row>
    <row r="9" spans="2:23" ht="25.5" customHeight="1">
      <c r="B9" s="18"/>
      <c r="C9" s="34"/>
      <c r="D9" s="22"/>
      <c r="E9" s="18"/>
      <c r="F9" s="19"/>
      <c r="G9" s="19"/>
      <c r="H9" s="19"/>
      <c r="I9" s="19"/>
      <c r="J9" s="19"/>
      <c r="K9" s="19"/>
      <c r="L9" s="19"/>
      <c r="M9" s="19"/>
      <c r="N9" s="19"/>
      <c r="O9" s="28"/>
      <c r="P9" s="28"/>
      <c r="Q9" s="28"/>
      <c r="R9" s="38" t="s">
        <v>38</v>
      </c>
      <c r="S9" s="39" t="s">
        <v>33</v>
      </c>
      <c r="T9" s="39" t="s">
        <v>66</v>
      </c>
      <c r="U9" s="41" t="s">
        <v>63</v>
      </c>
      <c r="V9" s="38" t="s">
        <v>69</v>
      </c>
      <c r="W9" s="38" t="s">
        <v>70</v>
      </c>
    </row>
    <row r="10" spans="2:23" ht="15.75" customHeight="1">
      <c r="B10" s="27"/>
      <c r="C10" s="28"/>
      <c r="D10" s="28"/>
      <c r="E10" s="28"/>
      <c r="F10" s="28"/>
      <c r="G10" s="28"/>
      <c r="H10" s="28"/>
      <c r="I10" s="28"/>
      <c r="J10" s="28"/>
      <c r="K10" s="28"/>
      <c r="L10" s="28"/>
      <c r="M10" s="28"/>
      <c r="N10" s="28"/>
      <c r="O10" s="28"/>
      <c r="P10" s="28"/>
      <c r="Q10" s="28"/>
      <c r="R10" s="38" t="s">
        <v>39</v>
      </c>
      <c r="S10" s="39" t="s">
        <v>33</v>
      </c>
      <c r="T10" s="39" t="s">
        <v>66</v>
      </c>
      <c r="U10" s="41" t="s">
        <v>63</v>
      </c>
      <c r="V10" s="40" t="s">
        <v>71</v>
      </c>
      <c r="W10" s="38" t="s">
        <v>72</v>
      </c>
    </row>
    <row r="11" spans="2:23" ht="15.75" customHeight="1">
      <c r="B11" s="27"/>
      <c r="C11" s="28"/>
      <c r="D11" s="28"/>
      <c r="E11" s="28"/>
      <c r="F11" s="28"/>
      <c r="G11" s="28"/>
      <c r="H11" s="28"/>
      <c r="I11" s="28"/>
      <c r="J11" s="28"/>
      <c r="K11" s="28"/>
      <c r="L11" s="28"/>
      <c r="M11" s="28"/>
      <c r="N11" s="28"/>
      <c r="O11" s="28"/>
      <c r="P11" s="28"/>
      <c r="Q11" s="28"/>
      <c r="R11" s="38" t="s">
        <v>40</v>
      </c>
      <c r="S11" s="39" t="s">
        <v>33</v>
      </c>
      <c r="T11" s="39" t="s">
        <v>66</v>
      </c>
      <c r="U11" s="41" t="s">
        <v>63</v>
      </c>
      <c r="V11" s="40" t="s">
        <v>73</v>
      </c>
      <c r="W11" s="38" t="s">
        <v>74</v>
      </c>
    </row>
    <row r="12" spans="2:23" ht="15.75" customHeight="1">
      <c r="B12" s="27"/>
      <c r="C12" s="28"/>
      <c r="D12" s="28"/>
      <c r="E12" s="28"/>
      <c r="F12" s="28"/>
      <c r="G12" s="28"/>
      <c r="H12" s="28"/>
      <c r="I12" s="28"/>
      <c r="J12" s="28"/>
      <c r="K12" s="28"/>
      <c r="L12" s="28"/>
      <c r="M12" s="28"/>
      <c r="N12" s="28"/>
      <c r="O12" s="28"/>
      <c r="P12" s="28"/>
      <c r="Q12" s="28"/>
      <c r="R12" s="38" t="s">
        <v>41</v>
      </c>
      <c r="S12" s="39" t="s">
        <v>33</v>
      </c>
      <c r="T12" s="39" t="s">
        <v>66</v>
      </c>
      <c r="U12" s="41" t="s">
        <v>63</v>
      </c>
      <c r="V12" s="40" t="s">
        <v>75</v>
      </c>
      <c r="W12" s="38" t="s">
        <v>76</v>
      </c>
    </row>
    <row r="13" spans="2:23" ht="15.75" customHeight="1">
      <c r="B13" s="27"/>
      <c r="C13" s="28"/>
      <c r="D13" s="28"/>
      <c r="E13" s="28"/>
      <c r="F13" s="28"/>
      <c r="G13" s="28"/>
      <c r="H13" s="28"/>
      <c r="I13" s="28"/>
      <c r="J13" s="28"/>
      <c r="K13" s="28"/>
      <c r="L13" s="28"/>
      <c r="M13" s="28"/>
      <c r="N13" s="28"/>
      <c r="O13" s="28"/>
      <c r="P13" s="28"/>
      <c r="Q13" s="28"/>
      <c r="R13" s="38" t="s">
        <v>42</v>
      </c>
      <c r="S13" s="39" t="s">
        <v>33</v>
      </c>
      <c r="T13" s="39" t="s">
        <v>66</v>
      </c>
      <c r="U13" s="41" t="s">
        <v>63</v>
      </c>
      <c r="V13" s="40" t="s">
        <v>77</v>
      </c>
      <c r="W13" s="38" t="s">
        <v>78</v>
      </c>
    </row>
    <row r="14" spans="2:23" ht="15.75" customHeight="1">
      <c r="B14" s="27"/>
      <c r="C14" s="28"/>
      <c r="D14" s="28"/>
      <c r="E14" s="28"/>
      <c r="F14" s="28"/>
      <c r="G14" s="28"/>
      <c r="H14" s="28"/>
      <c r="I14" s="28"/>
      <c r="J14" s="28"/>
      <c r="K14" s="28"/>
      <c r="L14" s="28"/>
      <c r="M14" s="28"/>
      <c r="N14" s="28"/>
      <c r="O14" s="28"/>
      <c r="P14" s="28"/>
      <c r="Q14" s="28"/>
      <c r="R14" s="38" t="s">
        <v>43</v>
      </c>
      <c r="S14" s="39" t="s">
        <v>33</v>
      </c>
      <c r="T14" s="39" t="s">
        <v>66</v>
      </c>
      <c r="U14" s="41" t="s">
        <v>63</v>
      </c>
      <c r="V14" s="40" t="s">
        <v>79</v>
      </c>
      <c r="W14" s="38" t="s">
        <v>80</v>
      </c>
    </row>
    <row r="15" spans="2:23" ht="25.5" customHeight="1">
      <c r="B15" s="27"/>
      <c r="C15" s="28"/>
      <c r="D15" s="28"/>
      <c r="E15" s="28"/>
      <c r="F15" s="28"/>
      <c r="G15" s="28"/>
      <c r="H15" s="28"/>
      <c r="I15" s="28"/>
      <c r="J15" s="28"/>
      <c r="K15" s="28"/>
      <c r="L15" s="28"/>
      <c r="M15" s="28"/>
      <c r="N15" s="28"/>
      <c r="O15" s="28"/>
      <c r="P15" s="28"/>
      <c r="Q15" s="28"/>
      <c r="R15" s="38" t="s">
        <v>44</v>
      </c>
      <c r="S15" s="39" t="s">
        <v>33</v>
      </c>
      <c r="T15" s="39" t="s">
        <v>81</v>
      </c>
      <c r="U15" s="41" t="s">
        <v>63</v>
      </c>
      <c r="V15" s="40" t="s">
        <v>82</v>
      </c>
      <c r="W15" s="38" t="s">
        <v>83</v>
      </c>
    </row>
    <row r="16" spans="2:23" ht="15.75" customHeight="1">
      <c r="B16" s="27"/>
      <c r="C16" s="28"/>
      <c r="D16" s="28"/>
      <c r="E16" s="28"/>
      <c r="F16" s="28"/>
      <c r="G16" s="28"/>
      <c r="H16" s="28"/>
      <c r="I16" s="28"/>
      <c r="J16" s="28"/>
      <c r="K16" s="28"/>
      <c r="L16" s="28"/>
      <c r="M16" s="28"/>
      <c r="N16" s="28"/>
      <c r="O16" s="28"/>
      <c r="P16" s="28"/>
      <c r="Q16" s="28"/>
      <c r="R16" s="38" t="s">
        <v>45</v>
      </c>
      <c r="S16" s="39" t="s">
        <v>33</v>
      </c>
      <c r="T16" s="39" t="s">
        <v>81</v>
      </c>
      <c r="U16" s="41" t="s">
        <v>63</v>
      </c>
      <c r="V16" s="40" t="s">
        <v>84</v>
      </c>
      <c r="W16" s="38" t="s">
        <v>85</v>
      </c>
    </row>
    <row r="17" spans="2:23" ht="15.75" customHeight="1">
      <c r="B17" s="27"/>
      <c r="C17" s="28"/>
      <c r="D17" s="28"/>
      <c r="E17" s="28"/>
      <c r="F17" s="28"/>
      <c r="G17" s="28"/>
      <c r="H17" s="28"/>
      <c r="I17" s="28"/>
      <c r="J17" s="28"/>
      <c r="K17" s="28"/>
      <c r="L17" s="28"/>
      <c r="M17" s="28"/>
      <c r="N17" s="28"/>
      <c r="O17" s="28"/>
      <c r="P17" s="28"/>
      <c r="Q17" s="28"/>
      <c r="R17" s="28"/>
      <c r="S17" s="27"/>
      <c r="T17" s="27"/>
      <c r="U17" s="27"/>
      <c r="V17" s="28"/>
      <c r="W17" s="28"/>
    </row>
    <row r="18" spans="2:23" ht="15.75" customHeight="1">
      <c r="B18" s="27"/>
      <c r="C18" s="28"/>
      <c r="D18" s="28"/>
      <c r="E18" s="28"/>
      <c r="F18" s="28"/>
      <c r="G18" s="28"/>
      <c r="H18" s="28"/>
      <c r="I18" s="28"/>
      <c r="J18" s="28"/>
      <c r="K18" s="28"/>
      <c r="L18" s="28"/>
      <c r="M18" s="28"/>
      <c r="N18" s="28"/>
      <c r="O18" s="28"/>
      <c r="P18" s="28"/>
      <c r="Q18" s="28"/>
      <c r="R18" s="28"/>
      <c r="S18" s="27"/>
      <c r="T18" s="27"/>
      <c r="U18" s="27"/>
      <c r="V18" s="28"/>
      <c r="W18" s="28"/>
    </row>
    <row r="19" spans="2:23" ht="15.75" customHeight="1">
      <c r="B19" s="27"/>
      <c r="C19" s="28"/>
      <c r="D19" s="28"/>
      <c r="E19" s="28"/>
      <c r="F19" s="28"/>
      <c r="G19" s="28"/>
      <c r="H19" s="28"/>
      <c r="I19" s="28"/>
      <c r="J19" s="28"/>
      <c r="K19" s="28"/>
      <c r="L19" s="28"/>
      <c r="M19" s="28"/>
      <c r="N19" s="28"/>
      <c r="O19" s="28"/>
      <c r="P19" s="27"/>
      <c r="Q19" s="27"/>
      <c r="R19" s="28"/>
      <c r="S19" s="27"/>
      <c r="T19" s="27"/>
      <c r="U19" s="27"/>
      <c r="V19" s="28"/>
      <c r="W19" s="28"/>
    </row>
    <row r="20" spans="2:23" ht="15.75" customHeight="1">
      <c r="B20" s="27"/>
      <c r="C20" s="28"/>
      <c r="D20" s="28"/>
      <c r="E20" s="28"/>
      <c r="F20" s="28"/>
      <c r="G20" s="28"/>
      <c r="H20" s="28"/>
      <c r="I20" s="28"/>
      <c r="J20" s="28"/>
      <c r="K20" s="28"/>
      <c r="L20" s="28"/>
      <c r="M20" s="28"/>
      <c r="N20" s="28"/>
      <c r="O20" s="28"/>
      <c r="P20" s="27"/>
      <c r="Q20" s="27"/>
      <c r="R20" s="28"/>
      <c r="S20" s="27"/>
      <c r="T20" s="27"/>
      <c r="U20" s="27"/>
      <c r="V20" s="28"/>
      <c r="W20" s="28"/>
    </row>
    <row r="21" spans="2:23" ht="15.75" customHeight="1">
      <c r="B21" s="27"/>
      <c r="C21" s="28"/>
      <c r="D21" s="28"/>
      <c r="E21" s="28"/>
      <c r="F21" s="28"/>
      <c r="G21" s="28"/>
      <c r="H21" s="28"/>
      <c r="I21" s="28"/>
      <c r="J21" s="28"/>
      <c r="K21" s="28"/>
      <c r="L21" s="28"/>
      <c r="M21" s="28"/>
      <c r="N21" s="28"/>
      <c r="O21" s="28"/>
      <c r="P21" s="27"/>
      <c r="Q21" s="27"/>
      <c r="R21" s="28"/>
      <c r="S21" s="27"/>
      <c r="T21" s="27"/>
      <c r="U21" s="27"/>
      <c r="V21" s="28"/>
      <c r="W21" s="28"/>
    </row>
    <row r="22" spans="2:23" ht="15.75" customHeight="1">
      <c r="B22" s="27"/>
      <c r="C22" s="28"/>
      <c r="D22" s="28"/>
      <c r="E22" s="28"/>
      <c r="F22" s="28"/>
      <c r="G22" s="28"/>
      <c r="H22" s="28"/>
      <c r="I22" s="28"/>
      <c r="J22" s="28"/>
      <c r="K22" s="28"/>
      <c r="L22" s="28"/>
      <c r="M22" s="28"/>
      <c r="N22" s="28"/>
      <c r="O22" s="28"/>
      <c r="P22" s="27"/>
      <c r="Q22" s="27"/>
      <c r="R22" s="28"/>
      <c r="S22" s="27"/>
      <c r="T22" s="27"/>
      <c r="U22" s="27"/>
      <c r="V22" s="28"/>
      <c r="W22" s="28"/>
    </row>
    <row r="23" spans="2:23" ht="15.75" customHeight="1">
      <c r="B23" s="27"/>
      <c r="C23" s="28"/>
      <c r="D23" s="28"/>
      <c r="E23" s="28"/>
      <c r="F23" s="28"/>
      <c r="G23" s="28"/>
      <c r="H23" s="28"/>
      <c r="I23" s="28"/>
      <c r="J23" s="28"/>
      <c r="K23" s="28"/>
      <c r="L23" s="28"/>
      <c r="M23" s="28"/>
      <c r="N23" s="28"/>
      <c r="O23" s="28"/>
      <c r="P23" s="27"/>
      <c r="Q23" s="27"/>
      <c r="R23" s="28"/>
      <c r="S23" s="27"/>
      <c r="T23" s="27"/>
      <c r="U23" s="27"/>
      <c r="V23" s="28"/>
      <c r="W23" s="28"/>
    </row>
    <row r="24" spans="2:23" ht="15.75" customHeight="1">
      <c r="B24" s="27"/>
      <c r="C24" s="28"/>
      <c r="D24" s="28"/>
      <c r="E24" s="28"/>
      <c r="F24" s="28"/>
      <c r="G24" s="28"/>
      <c r="H24" s="28"/>
      <c r="I24" s="28"/>
      <c r="J24" s="28"/>
      <c r="K24" s="28"/>
      <c r="L24" s="28"/>
      <c r="M24" s="28"/>
      <c r="N24" s="28"/>
      <c r="O24" s="28"/>
      <c r="P24" s="27"/>
      <c r="Q24" s="27"/>
      <c r="R24" s="28"/>
      <c r="S24" s="27"/>
      <c r="T24" s="27"/>
      <c r="U24" s="27"/>
      <c r="V24" s="28"/>
      <c r="W24" s="28"/>
    </row>
    <row r="25" spans="2:23" ht="15.75" customHeight="1">
      <c r="B25" s="27"/>
      <c r="C25" s="28"/>
      <c r="D25" s="28"/>
      <c r="E25" s="28"/>
      <c r="F25" s="28"/>
      <c r="G25" s="28"/>
      <c r="H25" s="28"/>
      <c r="I25" s="28"/>
      <c r="J25" s="28"/>
      <c r="K25" s="28"/>
      <c r="L25" s="28"/>
      <c r="M25" s="28"/>
      <c r="N25" s="28"/>
      <c r="O25" s="28"/>
      <c r="P25" s="27"/>
      <c r="Q25" s="27"/>
      <c r="R25" s="28"/>
      <c r="S25" s="27"/>
      <c r="T25" s="27"/>
      <c r="U25" s="27"/>
      <c r="V25" s="28"/>
      <c r="W25" s="28"/>
    </row>
    <row r="26" spans="2:23" ht="15.75" customHeight="1">
      <c r="B26" s="27"/>
      <c r="C26" s="28"/>
      <c r="D26" s="28"/>
      <c r="E26" s="28"/>
      <c r="F26" s="28"/>
      <c r="G26" s="28"/>
      <c r="H26" s="28"/>
      <c r="I26" s="28"/>
      <c r="J26" s="28"/>
      <c r="K26" s="28"/>
      <c r="L26" s="28"/>
      <c r="M26" s="28"/>
      <c r="N26" s="28"/>
      <c r="O26" s="28"/>
      <c r="P26" s="27"/>
      <c r="Q26" s="27"/>
      <c r="R26" s="28"/>
      <c r="S26" s="27"/>
      <c r="T26" s="27"/>
      <c r="U26" s="27"/>
      <c r="V26" s="28"/>
      <c r="W26" s="28"/>
    </row>
    <row r="27" spans="2:23" ht="15.75" customHeight="1">
      <c r="B27" s="27"/>
      <c r="C27" s="28"/>
      <c r="D27" s="28"/>
      <c r="E27" s="28"/>
      <c r="F27" s="28"/>
      <c r="G27" s="28"/>
      <c r="H27" s="28"/>
      <c r="I27" s="28"/>
      <c r="J27" s="28"/>
      <c r="K27" s="28"/>
      <c r="L27" s="28"/>
      <c r="M27" s="28"/>
      <c r="N27" s="28"/>
      <c r="O27" s="28"/>
      <c r="P27" s="27"/>
      <c r="Q27" s="27"/>
      <c r="R27" s="28"/>
      <c r="S27" s="27"/>
      <c r="T27" s="27"/>
      <c r="U27" s="27"/>
      <c r="V27" s="28"/>
      <c r="W27" s="28"/>
    </row>
    <row r="28" spans="2:23" ht="15.75" customHeight="1">
      <c r="B28" s="27"/>
      <c r="C28" s="28"/>
      <c r="D28" s="28"/>
      <c r="E28" s="28"/>
      <c r="F28" s="28"/>
      <c r="G28" s="28"/>
      <c r="H28" s="28"/>
      <c r="I28" s="28"/>
      <c r="J28" s="28"/>
      <c r="K28" s="28"/>
      <c r="L28" s="28"/>
      <c r="M28" s="28"/>
      <c r="N28" s="28"/>
      <c r="O28" s="28"/>
      <c r="P28" s="27"/>
      <c r="Q28" s="27"/>
      <c r="R28" s="28"/>
      <c r="S28" s="27"/>
      <c r="T28" s="27"/>
      <c r="U28" s="27"/>
      <c r="V28" s="28"/>
      <c r="W28" s="28"/>
    </row>
    <row r="29" spans="2:23" ht="15.75" customHeight="1">
      <c r="B29" s="27"/>
      <c r="C29" s="28"/>
      <c r="D29" s="28"/>
      <c r="E29" s="28"/>
      <c r="F29" s="28"/>
      <c r="G29" s="28"/>
      <c r="H29" s="28"/>
      <c r="I29" s="28"/>
      <c r="J29" s="28"/>
      <c r="K29" s="28"/>
      <c r="L29" s="28"/>
      <c r="M29" s="28"/>
      <c r="N29" s="28"/>
      <c r="O29" s="28"/>
      <c r="P29" s="28"/>
      <c r="Q29" s="28"/>
      <c r="R29" s="28"/>
      <c r="S29" s="27"/>
      <c r="T29" s="27"/>
      <c r="U29" s="27"/>
      <c r="V29" s="28"/>
      <c r="W29" s="28"/>
    </row>
  </sheetData>
  <mergeCells count="1">
    <mergeCell ref="H2:N2"/>
  </mergeCells>
  <phoneticPr fontId="50" type="noConversion"/>
  <dataValidations count="1">
    <dataValidation type="list" allowBlank="1" showInputMessage="1" showErrorMessage="1" sqref="F5:N9">
      <formula1>"True,False"</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4:H48"/>
  <sheetViews>
    <sheetView showGridLines="0" topLeftCell="A28" zoomScaleNormal="100" workbookViewId="0">
      <selection activeCell="J25" sqref="J25"/>
    </sheetView>
  </sheetViews>
  <sheetFormatPr defaultColWidth="8.6328125" defaultRowHeight="14.5"/>
  <cols>
    <col min="1" max="1" width="3" style="42" customWidth="1"/>
    <col min="2" max="2" width="16" style="43" customWidth="1"/>
    <col min="3" max="3" width="26.90625" style="42" customWidth="1"/>
    <col min="4" max="8" width="10" style="42" customWidth="1"/>
  </cols>
  <sheetData>
    <row r="4" spans="2:8" ht="15" customHeight="1">
      <c r="B4" s="44" t="s">
        <v>86</v>
      </c>
      <c r="C4" s="44" t="s">
        <v>9</v>
      </c>
      <c r="D4" s="23"/>
      <c r="E4" s="23"/>
      <c r="F4" s="23"/>
      <c r="G4" s="23"/>
      <c r="H4" s="23"/>
    </row>
    <row r="5" spans="2:8" ht="42" customHeight="1">
      <c r="B5" s="45" t="s">
        <v>87</v>
      </c>
      <c r="C5" s="13" t="s">
        <v>88</v>
      </c>
      <c r="D5" s="13"/>
      <c r="E5" s="13"/>
      <c r="F5" s="13"/>
      <c r="G5" s="13"/>
      <c r="H5" s="13"/>
    </row>
    <row r="6" spans="2:8" ht="14.25" customHeight="1">
      <c r="B6" s="46"/>
      <c r="C6" s="23"/>
      <c r="D6" s="23"/>
      <c r="E6" s="23"/>
      <c r="F6" s="23"/>
      <c r="G6" s="23"/>
      <c r="H6" s="23"/>
    </row>
    <row r="7" spans="2:8" ht="42" customHeight="1">
      <c r="B7" s="47" t="s">
        <v>89</v>
      </c>
      <c r="C7" s="13" t="s">
        <v>90</v>
      </c>
      <c r="D7" s="13"/>
      <c r="E7" s="13"/>
      <c r="F7" s="13"/>
      <c r="G7" s="13"/>
      <c r="H7" s="13"/>
    </row>
    <row r="8" spans="2:8" ht="14.25" customHeight="1">
      <c r="B8" s="46"/>
      <c r="C8" s="23"/>
      <c r="D8" s="23"/>
      <c r="E8" s="23"/>
      <c r="F8" s="23"/>
      <c r="G8" s="23"/>
      <c r="H8" s="23"/>
    </row>
    <row r="9" spans="2:8" ht="42" customHeight="1">
      <c r="B9" s="47" t="s">
        <v>91</v>
      </c>
      <c r="C9" s="13" t="s">
        <v>92</v>
      </c>
      <c r="D9" s="13"/>
      <c r="E9" s="13"/>
      <c r="F9" s="13"/>
      <c r="G9" s="13"/>
      <c r="H9" s="13"/>
    </row>
    <row r="10" spans="2:8" ht="14.25" customHeight="1">
      <c r="B10" s="46"/>
      <c r="C10" s="23"/>
      <c r="D10" s="23"/>
      <c r="E10" s="23"/>
      <c r="F10" s="23"/>
      <c r="G10" s="23"/>
      <c r="H10" s="23"/>
    </row>
    <row r="11" spans="2:8" ht="42" customHeight="1">
      <c r="B11" s="47" t="s">
        <v>93</v>
      </c>
      <c r="C11" s="13" t="s">
        <v>94</v>
      </c>
      <c r="D11" s="13"/>
      <c r="E11" s="13"/>
      <c r="F11" s="13"/>
      <c r="G11" s="13"/>
      <c r="H11" s="13"/>
    </row>
    <row r="12" spans="2:8" ht="14.25" customHeight="1">
      <c r="B12" s="46"/>
      <c r="C12" s="23"/>
      <c r="D12" s="23"/>
      <c r="E12" s="23"/>
      <c r="F12" s="23"/>
      <c r="G12" s="23"/>
      <c r="H12" s="23"/>
    </row>
    <row r="13" spans="2:8" ht="42" customHeight="1">
      <c r="B13" s="48" t="s">
        <v>95</v>
      </c>
      <c r="C13" s="13" t="s">
        <v>96</v>
      </c>
      <c r="D13" s="13"/>
      <c r="E13" s="13"/>
      <c r="F13" s="13"/>
      <c r="G13" s="13"/>
      <c r="H13" s="13"/>
    </row>
    <row r="14" spans="2:8" ht="14.25" customHeight="1">
      <c r="B14" s="46"/>
      <c r="C14" s="23"/>
      <c r="D14" s="23"/>
      <c r="E14" s="23"/>
      <c r="F14" s="23"/>
      <c r="G14" s="23"/>
      <c r="H14" s="23"/>
    </row>
    <row r="15" spans="2:8" ht="42" customHeight="1">
      <c r="B15" s="45" t="s">
        <v>97</v>
      </c>
      <c r="C15" s="13" t="s">
        <v>98</v>
      </c>
      <c r="D15" s="13"/>
      <c r="E15" s="13"/>
      <c r="F15" s="13"/>
      <c r="G15" s="13"/>
      <c r="H15" s="13"/>
    </row>
    <row r="16" spans="2:8" ht="14.25" customHeight="1">
      <c r="B16" s="46"/>
      <c r="C16" s="23"/>
      <c r="D16" s="23"/>
      <c r="E16" s="23"/>
      <c r="F16" s="23"/>
      <c r="G16" s="23"/>
      <c r="H16" s="23"/>
    </row>
    <row r="17" spans="2:8" ht="42" customHeight="1">
      <c r="B17" s="45" t="s">
        <v>99</v>
      </c>
      <c r="C17" s="12" t="s">
        <v>100</v>
      </c>
      <c r="D17" s="12"/>
      <c r="E17" s="12"/>
      <c r="F17" s="12"/>
      <c r="G17" s="12"/>
      <c r="H17" s="12"/>
    </row>
    <row r="18" spans="2:8" ht="14.25" customHeight="1">
      <c r="B18" s="46"/>
      <c r="C18" s="23"/>
      <c r="D18" s="23"/>
      <c r="E18" s="23"/>
      <c r="F18" s="23"/>
      <c r="G18" s="23"/>
      <c r="H18" s="23"/>
    </row>
    <row r="19" spans="2:8" ht="42" customHeight="1">
      <c r="B19" s="45" t="s">
        <v>101</v>
      </c>
      <c r="C19" s="13" t="s">
        <v>102</v>
      </c>
      <c r="D19" s="13"/>
      <c r="E19" s="13"/>
      <c r="F19" s="13"/>
      <c r="G19" s="13"/>
      <c r="H19" s="13"/>
    </row>
    <row r="20" spans="2:8" ht="14.25" customHeight="1">
      <c r="B20" s="49"/>
      <c r="C20" s="23"/>
      <c r="D20" s="23"/>
      <c r="E20" s="23"/>
      <c r="F20" s="23"/>
      <c r="G20" s="23"/>
      <c r="H20" s="23"/>
    </row>
    <row r="21" spans="2:8" ht="42" customHeight="1">
      <c r="B21" s="50" t="s">
        <v>103</v>
      </c>
      <c r="C21" s="11" t="s">
        <v>104</v>
      </c>
      <c r="D21" s="11"/>
      <c r="E21" s="11"/>
      <c r="F21" s="11"/>
      <c r="G21" s="11"/>
      <c r="H21" s="11"/>
    </row>
    <row r="22" spans="2:8" ht="14.25" customHeight="1"/>
    <row r="23" spans="2:8" ht="42" customHeight="1">
      <c r="B23" s="50" t="s">
        <v>105</v>
      </c>
      <c r="C23" s="10" t="s">
        <v>106</v>
      </c>
      <c r="D23" s="10"/>
      <c r="E23" s="10"/>
      <c r="F23" s="10"/>
      <c r="G23" s="10"/>
      <c r="H23" s="10"/>
    </row>
    <row r="24" spans="2:8" ht="28.5" customHeight="1">
      <c r="D24" s="9"/>
      <c r="E24" s="9"/>
      <c r="F24" s="9"/>
      <c r="G24" s="9"/>
      <c r="H24" s="9"/>
    </row>
    <row r="25" spans="2:8" ht="28.5" customHeight="1">
      <c r="B25" s="49"/>
      <c r="C25" s="23"/>
      <c r="D25" s="8"/>
      <c r="E25" s="8"/>
      <c r="F25" s="8"/>
      <c r="G25" s="8"/>
      <c r="H25" s="8"/>
    </row>
    <row r="26" spans="2:8" ht="28.5" customHeight="1">
      <c r="B26" s="49"/>
      <c r="C26" s="23"/>
      <c r="D26" s="8"/>
      <c r="E26" s="8"/>
      <c r="F26" s="8"/>
      <c r="G26" s="8"/>
      <c r="H26" s="8"/>
    </row>
    <row r="27" spans="2:8" ht="28.5" customHeight="1">
      <c r="B27" s="52" t="s">
        <v>107</v>
      </c>
      <c r="C27" s="53" t="s">
        <v>108</v>
      </c>
      <c r="D27" s="7" t="s">
        <v>109</v>
      </c>
      <c r="E27" s="7"/>
      <c r="F27" s="7"/>
      <c r="G27" s="7"/>
      <c r="H27" s="7"/>
    </row>
    <row r="28" spans="2:8" ht="28.5" customHeight="1">
      <c r="B28" s="54" t="s">
        <v>110</v>
      </c>
      <c r="C28" s="55" t="s">
        <v>111</v>
      </c>
      <c r="D28" s="6" t="s">
        <v>112</v>
      </c>
      <c r="E28" s="6"/>
      <c r="F28" s="6"/>
      <c r="G28" s="6"/>
      <c r="H28" s="6"/>
    </row>
    <row r="29" spans="2:8" ht="28.5" customHeight="1">
      <c r="B29" s="54" t="s">
        <v>113</v>
      </c>
      <c r="C29" s="55" t="s">
        <v>114</v>
      </c>
      <c r="D29" s="6" t="s">
        <v>115</v>
      </c>
      <c r="E29" s="6"/>
      <c r="F29" s="6"/>
      <c r="G29" s="6"/>
      <c r="H29" s="6"/>
    </row>
    <row r="30" spans="2:8" ht="28.5" customHeight="1">
      <c r="B30" s="54" t="s">
        <v>116</v>
      </c>
      <c r="C30" s="55" t="s">
        <v>117</v>
      </c>
      <c r="D30" s="6" t="s">
        <v>118</v>
      </c>
      <c r="E30" s="6"/>
      <c r="F30" s="6"/>
      <c r="G30" s="6"/>
      <c r="H30" s="6"/>
    </row>
    <row r="31" spans="2:8" ht="28.5" customHeight="1">
      <c r="B31" s="54" t="s">
        <v>119</v>
      </c>
      <c r="C31" s="55" t="s">
        <v>120</v>
      </c>
      <c r="D31" s="6" t="s">
        <v>121</v>
      </c>
      <c r="E31" s="6"/>
      <c r="F31" s="6"/>
      <c r="G31" s="6"/>
      <c r="H31" s="6"/>
    </row>
    <row r="32" spans="2:8" ht="28.5" customHeight="1">
      <c r="B32" s="54" t="s">
        <v>122</v>
      </c>
      <c r="C32" s="55" t="s">
        <v>123</v>
      </c>
      <c r="D32" s="6" t="s">
        <v>124</v>
      </c>
      <c r="E32" s="6"/>
      <c r="F32" s="6"/>
      <c r="G32" s="6"/>
      <c r="H32" s="6"/>
    </row>
    <row r="33" spans="2:8" ht="28.5" customHeight="1">
      <c r="B33" s="54" t="s">
        <v>125</v>
      </c>
      <c r="C33" s="55" t="s">
        <v>126</v>
      </c>
      <c r="D33" s="6" t="s">
        <v>127</v>
      </c>
      <c r="E33" s="6"/>
      <c r="F33" s="6"/>
      <c r="G33" s="6"/>
      <c r="H33" s="6"/>
    </row>
    <row r="34" spans="2:8" ht="28.5" customHeight="1">
      <c r="B34" s="54" t="s">
        <v>128</v>
      </c>
      <c r="C34" s="55" t="s">
        <v>129</v>
      </c>
      <c r="D34" s="6" t="s">
        <v>130</v>
      </c>
      <c r="E34" s="6"/>
      <c r="F34" s="6"/>
      <c r="G34" s="6"/>
      <c r="H34" s="6"/>
    </row>
    <row r="35" spans="2:8" ht="28.5" customHeight="1">
      <c r="B35" s="54" t="s">
        <v>131</v>
      </c>
      <c r="C35" s="55" t="s">
        <v>132</v>
      </c>
      <c r="D35" s="6" t="s">
        <v>133</v>
      </c>
      <c r="E35" s="6"/>
      <c r="F35" s="6"/>
      <c r="G35" s="6"/>
      <c r="H35" s="6"/>
    </row>
    <row r="36" spans="2:8" ht="28.5" customHeight="1">
      <c r="B36" s="54" t="s">
        <v>134</v>
      </c>
      <c r="C36" s="55" t="s">
        <v>135</v>
      </c>
      <c r="D36" s="6" t="s">
        <v>136</v>
      </c>
      <c r="E36" s="6"/>
      <c r="F36" s="6"/>
      <c r="G36" s="6"/>
      <c r="H36" s="6"/>
    </row>
    <row r="37" spans="2:8" ht="28.5" customHeight="1">
      <c r="B37" s="54" t="s">
        <v>137</v>
      </c>
      <c r="C37" s="55" t="s">
        <v>138</v>
      </c>
      <c r="D37" s="6" t="s">
        <v>139</v>
      </c>
      <c r="E37" s="6"/>
      <c r="F37" s="6"/>
      <c r="G37" s="6"/>
      <c r="H37" s="6"/>
    </row>
    <row r="38" spans="2:8" ht="28.5" customHeight="1">
      <c r="B38" s="54" t="s">
        <v>140</v>
      </c>
      <c r="C38" s="55" t="s">
        <v>141</v>
      </c>
      <c r="D38" s="6" t="s">
        <v>142</v>
      </c>
      <c r="E38" s="6"/>
      <c r="F38" s="6"/>
      <c r="G38" s="6"/>
      <c r="H38" s="6"/>
    </row>
    <row r="39" spans="2:8" ht="28.5" customHeight="1">
      <c r="B39" s="54" t="s">
        <v>143</v>
      </c>
      <c r="C39" s="55" t="s">
        <v>144</v>
      </c>
      <c r="D39" s="6" t="s">
        <v>145</v>
      </c>
      <c r="E39" s="6"/>
      <c r="F39" s="6"/>
      <c r="G39" s="6"/>
      <c r="H39" s="6"/>
    </row>
    <row r="40" spans="2:8" ht="28.5" customHeight="1">
      <c r="B40" s="54" t="s">
        <v>146</v>
      </c>
      <c r="C40" s="55" t="s">
        <v>147</v>
      </c>
      <c r="D40" s="6" t="s">
        <v>148</v>
      </c>
      <c r="E40" s="6"/>
      <c r="F40" s="6"/>
      <c r="G40" s="6"/>
      <c r="H40" s="6"/>
    </row>
    <row r="41" spans="2:8" ht="28.5" customHeight="1">
      <c r="B41" s="54" t="s">
        <v>149</v>
      </c>
      <c r="C41" s="55" t="s">
        <v>150</v>
      </c>
      <c r="D41" s="6" t="s">
        <v>151</v>
      </c>
      <c r="E41" s="6"/>
      <c r="F41" s="6"/>
      <c r="G41" s="6"/>
      <c r="H41" s="6"/>
    </row>
    <row r="42" spans="2:8" ht="28.5" customHeight="1">
      <c r="B42" s="54" t="s">
        <v>152</v>
      </c>
      <c r="C42" s="55" t="s">
        <v>153</v>
      </c>
      <c r="D42" s="6" t="s">
        <v>154</v>
      </c>
      <c r="E42" s="6"/>
      <c r="F42" s="6"/>
      <c r="G42" s="6"/>
      <c r="H42" s="6"/>
    </row>
    <row r="43" spans="2:8" ht="28.5" customHeight="1">
      <c r="B43" s="54" t="s">
        <v>155</v>
      </c>
      <c r="C43" s="55" t="s">
        <v>156</v>
      </c>
      <c r="D43" s="6" t="s">
        <v>157</v>
      </c>
      <c r="E43" s="6"/>
      <c r="F43" s="6"/>
      <c r="G43" s="6"/>
      <c r="H43" s="6"/>
    </row>
    <row r="44" spans="2:8" ht="28.5" customHeight="1">
      <c r="B44" s="54" t="s">
        <v>158</v>
      </c>
      <c r="C44" s="55" t="s">
        <v>159</v>
      </c>
      <c r="D44" s="6" t="s">
        <v>160</v>
      </c>
      <c r="E44" s="6"/>
      <c r="F44" s="6"/>
      <c r="G44" s="6"/>
      <c r="H44" s="6"/>
    </row>
    <row r="45" spans="2:8" ht="72" customHeight="1">
      <c r="B45" s="54" t="s">
        <v>161</v>
      </c>
      <c r="C45" s="55" t="s">
        <v>162</v>
      </c>
      <c r="D45" s="56" t="s">
        <v>163</v>
      </c>
      <c r="E45" s="57"/>
      <c r="F45" s="57"/>
      <c r="G45" s="57"/>
      <c r="H45" s="58"/>
    </row>
    <row r="46" spans="2:8" ht="83.25" customHeight="1">
      <c r="B46" s="54" t="s">
        <v>164</v>
      </c>
      <c r="C46" s="55" t="s">
        <v>165</v>
      </c>
      <c r="D46" s="59" t="s">
        <v>166</v>
      </c>
      <c r="E46" s="57"/>
      <c r="F46" s="57"/>
      <c r="G46" s="57"/>
      <c r="H46" s="58"/>
    </row>
    <row r="47" spans="2:8" ht="15" customHeight="1">
      <c r="B47" s="54" t="s">
        <v>167</v>
      </c>
      <c r="C47" s="55" t="s">
        <v>168</v>
      </c>
      <c r="D47" s="56" t="s">
        <v>169</v>
      </c>
      <c r="E47" s="57"/>
      <c r="F47" s="57"/>
      <c r="G47" s="57"/>
      <c r="H47" s="58"/>
    </row>
    <row r="48" spans="2:8" ht="86.25" customHeight="1">
      <c r="B48" s="60" t="s">
        <v>170</v>
      </c>
      <c r="C48" s="61" t="s">
        <v>171</v>
      </c>
      <c r="D48" s="62" t="s">
        <v>172</v>
      </c>
      <c r="E48" s="57"/>
      <c r="F48" s="57"/>
      <c r="G48" s="57"/>
      <c r="H48" s="58"/>
    </row>
  </sheetData>
  <mergeCells count="31">
    <mergeCell ref="D44:H44"/>
    <mergeCell ref="D39:H39"/>
    <mergeCell ref="D40:H40"/>
    <mergeCell ref="D41:H41"/>
    <mergeCell ref="D42:H42"/>
    <mergeCell ref="D43:H43"/>
    <mergeCell ref="D34:H34"/>
    <mergeCell ref="D35:H35"/>
    <mergeCell ref="D36:H36"/>
    <mergeCell ref="D37:H37"/>
    <mergeCell ref="D38:H38"/>
    <mergeCell ref="D29:H29"/>
    <mergeCell ref="D30:H30"/>
    <mergeCell ref="D31:H31"/>
    <mergeCell ref="D32:H32"/>
    <mergeCell ref="D33:H33"/>
    <mergeCell ref="D24:H24"/>
    <mergeCell ref="D25:H25"/>
    <mergeCell ref="D26:H26"/>
    <mergeCell ref="D27:H27"/>
    <mergeCell ref="D28:H28"/>
    <mergeCell ref="C15:H15"/>
    <mergeCell ref="C17:H17"/>
    <mergeCell ref="C19:H19"/>
    <mergeCell ref="C21:H21"/>
    <mergeCell ref="C23:H23"/>
    <mergeCell ref="C5:H5"/>
    <mergeCell ref="C7:H7"/>
    <mergeCell ref="C9:H9"/>
    <mergeCell ref="C11:H11"/>
    <mergeCell ref="C13:H13"/>
  </mergeCells>
  <phoneticPr fontId="50"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4:G55"/>
  <sheetViews>
    <sheetView zoomScaleNormal="100" workbookViewId="0"/>
  </sheetViews>
  <sheetFormatPr defaultColWidth="8.6328125" defaultRowHeight="13"/>
  <cols>
    <col min="1" max="1" width="3" style="63" customWidth="1"/>
    <col min="2" max="2" width="28.81640625" style="63" customWidth="1"/>
    <col min="3" max="3" width="17.7265625" style="63" customWidth="1"/>
    <col min="4" max="4" width="19.7265625" style="63" customWidth="1"/>
    <col min="5" max="5" width="14" style="63" customWidth="1"/>
    <col min="6" max="6" width="12" style="63" customWidth="1"/>
    <col min="7" max="7" width="51.26953125" style="63" customWidth="1"/>
    <col min="8" max="16384" width="8.6328125" style="63"/>
  </cols>
  <sheetData>
    <row r="4" spans="2:7" ht="15" customHeight="1">
      <c r="B4" s="64" t="s">
        <v>173</v>
      </c>
      <c r="C4" s="64" t="s">
        <v>174</v>
      </c>
      <c r="D4" s="65"/>
      <c r="E4" s="65"/>
      <c r="F4" s="65"/>
      <c r="G4" s="65"/>
    </row>
    <row r="5" spans="2:7" ht="15" customHeight="1">
      <c r="B5" s="50" t="s">
        <v>175</v>
      </c>
      <c r="C5" s="66" t="str">
        <f>"경과 "&amp;EVMS_대시보드!N4&amp;"개월차 기준"</f>
        <v>경과 7개월차 기준</v>
      </c>
      <c r="D5" s="65"/>
      <c r="E5" s="65"/>
      <c r="F5" s="65"/>
      <c r="G5" s="65"/>
    </row>
    <row r="6" spans="2:7" ht="12.75" customHeight="1">
      <c r="B6" s="50" t="s">
        <v>176</v>
      </c>
      <c r="C6" s="67">
        <f>IFERROR(EVMS_대시보드!F35/EVMS_대시보드!D35,0)</f>
        <v>0.84496428640892707</v>
      </c>
      <c r="D6" s="65"/>
      <c r="E6" s="65"/>
      <c r="F6" s="65"/>
      <c r="G6" s="65"/>
    </row>
    <row r="7" spans="2:7" ht="12.75" customHeight="1">
      <c r="B7" s="50" t="s">
        <v>177</v>
      </c>
      <c r="C7" s="67">
        <f>IFERROR(EVMS_대시보드!G35/EVMS_대시보드!D35,0)</f>
        <v>0.5901454078655618</v>
      </c>
      <c r="D7" s="65"/>
      <c r="E7" s="65"/>
      <c r="F7" s="65"/>
      <c r="G7" s="65"/>
    </row>
    <row r="8" spans="2:7" ht="15" customHeight="1">
      <c r="B8" s="50" t="s">
        <v>178</v>
      </c>
      <c r="C8" s="50" t="str">
        <f>IF(AND(EVMS_대시보드!J35=0,EVMS_대시보드!K35=0),"미시작",IF(OR(EVMS_대시보드!J35&lt;0.8,EVMS_대시보드!K35&lt;0.8),"위험",IF(OR(EVMS_대시보드!J35&lt;0.9,EVMS_대시보드!K35&lt;0.9),"주의","정상")))</f>
        <v>정상</v>
      </c>
      <c r="D8" s="65"/>
      <c r="E8" s="65"/>
      <c r="F8" s="65"/>
      <c r="G8" s="65"/>
    </row>
    <row r="9" spans="2:7" ht="12.75" customHeight="1">
      <c r="B9" s="68" t="s">
        <v>179</v>
      </c>
      <c r="C9" s="69">
        <f>IFERROR(프로젝트예산_현금성!H11/프로젝트예산_현금성!D11,0)</f>
        <v>0.67500000000000004</v>
      </c>
    </row>
    <row r="10" spans="2:7" ht="15" customHeight="1">
      <c r="B10" s="68" t="s">
        <v>180</v>
      </c>
      <c r="C10" s="70" t="str">
        <f>IF(AND(프로젝트예산_현금성!D11=0,프로젝트예산_현금성!H11=0),"미시작",IF(OR(IFERROR(프로젝트예산_현금성!G11/프로젝트예산_현금성!K11,0)&lt;0.8,IFERROR(프로젝트예산_현금성!G11/프로젝트예산_현금성!H11,0)&lt;0.8),"위험",IF(OR(IFERROR(프로젝트예산_현금성!G11/프로젝트예산_현금성!K11,0)&lt;0.9,IFERROR(프로젝트예산_현금성!G11/프로젝트예산_현금성!H11,0)&lt;0.9),"주의","정상")))</f>
        <v>위험</v>
      </c>
    </row>
    <row r="11" spans="2:7" ht="15" customHeight="1">
      <c r="B11" s="68" t="s">
        <v>181</v>
      </c>
      <c r="C11" s="69">
        <f>IFERROR((EVMS_대시보드!R35+프로젝트예산_현금성!G11)/(EVMS_대시보드!P35+프로젝트예산_현금성!D11),0)</f>
        <v>0.86798426197215395</v>
      </c>
    </row>
    <row r="12" spans="2:7" ht="25.5" customHeight="1">
      <c r="B12" s="68" t="s">
        <v>182</v>
      </c>
      <c r="C12" s="70" t="str">
        <f>IF(AND((EVMS_대시보드!Q35+프로젝트예산_현금성!K11)=0,(EVMS_대시보드!S35+프로젝트예산_현금성!H11)=0),"미시작",IF(IFERROR((EVMS_대시보드!R35+프로젝트예산_현금성!G11)/(EVMS_대시보드!S35+프로젝트예산_현금성!H11),0)&lt;0.8,"위험",IF(IFERROR((EVMS_대시보드!R35+프로젝트예산_현금성!G11)/(EVMS_대시보드!S35+프로젝트예산_현금성!H11),0)&lt;0.9,"주의","정상")))</f>
        <v>정상</v>
      </c>
    </row>
    <row r="13" spans="2:7" ht="25.5" customHeight="1">
      <c r="B13" s="65"/>
      <c r="C13" s="65"/>
      <c r="D13" s="65"/>
      <c r="E13" s="65"/>
      <c r="F13" s="65"/>
      <c r="G13" s="65"/>
    </row>
    <row r="14" spans="2:7" ht="25.5" customHeight="1">
      <c r="B14" s="5" t="s">
        <v>183</v>
      </c>
      <c r="C14" s="5"/>
      <c r="D14" s="5"/>
      <c r="E14" s="5"/>
      <c r="F14" s="5"/>
      <c r="G14" s="65"/>
    </row>
    <row r="15" spans="2:7" ht="12.75" customHeight="1">
      <c r="B15" s="64" t="s">
        <v>184</v>
      </c>
      <c r="C15" s="64" t="s">
        <v>185</v>
      </c>
      <c r="D15" s="71" t="s">
        <v>186</v>
      </c>
      <c r="E15" s="64" t="s">
        <v>187</v>
      </c>
      <c r="F15" s="64" t="s">
        <v>188</v>
      </c>
      <c r="G15" s="64" t="s">
        <v>189</v>
      </c>
    </row>
    <row r="16" spans="2:7" ht="15" customHeight="1">
      <c r="B16" s="72">
        <v>1</v>
      </c>
      <c r="C16" s="73" t="str">
        <f>INDEX(EVMS_대시보드!$B$5:$B$33,MATCH(SMALL(EVMS_대시보드!$O$5:$O$33,1),EVMS_대시보드!$O$5:$O$33,0))</f>
        <v>VAL.1</v>
      </c>
      <c r="D16" s="74" t="str">
        <f>INDEX(EVMS_대시보드!$C$5:$C$33,MATCH($C16,EVMS_대시보드!$B$5:$B$33,0))</f>
        <v>제품확인(Validation)</v>
      </c>
      <c r="E16" s="75">
        <f>IFERROR(INDEX(CA_개요!$G$5:$G$33,MATCH($C16,CA_개요!$B$5:$B$33,0)),"")</f>
        <v>0</v>
      </c>
      <c r="F16" s="76" t="str">
        <f>IF(AND(INDEX(EVMS_대시보드!$J$5:$J$33,MATCH($C16,EVMS_대시보드!$B$5:$B$33,0))=0,INDEX(EVMS_대시보드!$K$5:$K$33,MATCH($C16,EVMS_대시보드!$B$5:$B$33,0))=0),"미시작",IF(OR(INDEX(EVMS_대시보드!$J$5:$J$33,MATCH($C16,EVMS_대시보드!$B$5:$B$33,0))&lt;0.8,INDEX(EVMS_대시보드!$K$5:$K$33,MATCH($C16,EVMS_대시보드!$B$5:$B$33,0))&lt;0.8),"위험",IF(OR(INDEX(EVMS_대시보드!$J$5:$J$33,MATCH($C16,EVMS_대시보드!$B$5:$B$33,0))&lt;0.9,INDEX(EVMS_대시보드!$K$5:$K$33,MATCH($C16,EVMS_대시보드!$B$5:$B$33,0))&lt;0.9),"주의","정상")))</f>
        <v>미시작</v>
      </c>
      <c r="G16" s="77">
        <f>IFERROR(INDEX(CA_개요!$K$5:$K$33,MATCH($C16,CA_개요!$B$5:$B$33,0)),"")</f>
        <v>0</v>
      </c>
    </row>
    <row r="17" spans="2:7" ht="15" customHeight="1">
      <c r="B17" s="72">
        <v>2</v>
      </c>
      <c r="C17" s="73" t="str">
        <f>INDEX(EVMS_대시보드!$B$5:$B$33,MATCH(SMALL(EVMS_대시보드!$O$5:$O$33,2),EVMS_대시보드!$O$5:$O$33,0))</f>
        <v>SYS.5</v>
      </c>
      <c r="D17" s="74" t="str">
        <f>INDEX(EVMS_대시보드!$C$5:$C$33,MATCH($C17,EVMS_대시보드!$B$5:$B$33,0))</f>
        <v>시스템 검증</v>
      </c>
      <c r="E17" s="75">
        <f>IFERROR(INDEX(CA_개요!$G$5:$G$33,MATCH($C17,CA_개요!$B$5:$B$33,0)),"")</f>
        <v>0</v>
      </c>
      <c r="F17" s="76" t="str">
        <f>IF(AND(INDEX(EVMS_대시보드!$J$5:$J$33,MATCH($C17,EVMS_대시보드!$B$5:$B$33,0))=0,INDEX(EVMS_대시보드!$K$5:$K$33,MATCH($C17,EVMS_대시보드!$B$5:$B$33,0))=0),"미시작",IF(OR(INDEX(EVMS_대시보드!$J$5:$J$33,MATCH($C17,EVMS_대시보드!$B$5:$B$33,0))&lt;0.8,INDEX(EVMS_대시보드!$K$5:$K$33,MATCH($C17,EVMS_대시보드!$B$5:$B$33,0))&lt;0.8),"위험",IF(OR(INDEX(EVMS_대시보드!$J$5:$J$33,MATCH($C17,EVMS_대시보드!$B$5:$B$33,0))&lt;0.9,INDEX(EVMS_대시보드!$K$5:$K$33,MATCH($C17,EVMS_대시보드!$B$5:$B$33,0))&lt;0.9),"주의","정상")))</f>
        <v>위험</v>
      </c>
      <c r="G17" s="77">
        <f>IFERROR(INDEX(CA_개요!$K$5:$K$33,MATCH($C17,CA_개요!$B$5:$B$33,0)),"")</f>
        <v>0</v>
      </c>
    </row>
    <row r="18" spans="2:7" ht="15" customHeight="1">
      <c r="B18" s="72">
        <v>3</v>
      </c>
      <c r="C18" s="73" t="str">
        <f>INDEX(EVMS_대시보드!$B$5:$B$33,MATCH(SMALL(EVMS_대시보드!$O$5:$O$33,3),EVMS_대시보드!$O$5:$O$33,0))</f>
        <v>SWE.6</v>
      </c>
      <c r="D18" s="74" t="str">
        <f>INDEX(EVMS_대시보드!$C$5:$C$33,MATCH($C18,EVMS_대시보드!$B$5:$B$33,0))</f>
        <v>SW 검증</v>
      </c>
      <c r="E18" s="75">
        <f>IFERROR(INDEX(CA_개요!$G$5:$G$33,MATCH($C18,CA_개요!$B$5:$B$33,0)),"")</f>
        <v>0</v>
      </c>
      <c r="F18" s="76" t="str">
        <f>IF(AND(INDEX(EVMS_대시보드!$J$5:$J$33,MATCH($C18,EVMS_대시보드!$B$5:$B$33,0))=0,INDEX(EVMS_대시보드!$K$5:$K$33,MATCH($C18,EVMS_대시보드!$B$5:$B$33,0))=0),"미시작",IF(OR(INDEX(EVMS_대시보드!$J$5:$J$33,MATCH($C18,EVMS_대시보드!$B$5:$B$33,0))&lt;0.8,INDEX(EVMS_대시보드!$K$5:$K$33,MATCH($C18,EVMS_대시보드!$B$5:$B$33,0))&lt;0.8),"위험",IF(OR(INDEX(EVMS_대시보드!$J$5:$J$33,MATCH($C18,EVMS_대시보드!$B$5:$B$33,0))&lt;0.9,INDEX(EVMS_대시보드!$K$5:$K$33,MATCH($C18,EVMS_대시보드!$B$5:$B$33,0))&lt;0.9),"주의","정상")))</f>
        <v>위험</v>
      </c>
      <c r="G18" s="77">
        <f>IFERROR(INDEX(CA_개요!$K$5:$K$33,MATCH($C18,CA_개요!$B$5:$B$33,0)),"")</f>
        <v>0</v>
      </c>
    </row>
    <row r="19" spans="2:7" ht="15" customHeight="1">
      <c r="B19" s="65"/>
      <c r="C19" s="65"/>
      <c r="D19" s="65"/>
      <c r="E19" s="65"/>
      <c r="F19" s="65"/>
      <c r="G19" s="65"/>
    </row>
    <row r="20" spans="2:7" ht="15" customHeight="1">
      <c r="B20" s="78" t="s">
        <v>190</v>
      </c>
      <c r="C20" s="65"/>
      <c r="D20" s="65"/>
      <c r="E20" s="65"/>
      <c r="F20" s="65"/>
      <c r="G20" s="65"/>
    </row>
    <row r="21" spans="2:7" ht="15" customHeight="1">
      <c r="B21" s="71" t="s">
        <v>186</v>
      </c>
      <c r="C21" s="64" t="s">
        <v>191</v>
      </c>
      <c r="D21" s="64" t="s">
        <v>188</v>
      </c>
      <c r="E21" s="65"/>
      <c r="F21" s="65"/>
      <c r="G21" s="65"/>
    </row>
    <row r="22" spans="2:7" ht="15" customHeight="1">
      <c r="B22" s="79" t="str">
        <f>CA_개요!C5</f>
        <v>협약/공급자 모니터링</v>
      </c>
      <c r="C22" s="79" t="str">
        <f>CA_개요!E5</f>
        <v>조달</v>
      </c>
      <c r="D22" s="79" t="str">
        <f>IF(AND(EVMS_대시보드!J5=0,EVMS_대시보드!K5=0),"미시작",IF(OR(EVMS_대시보드!J5&lt;0.8,EVMS_대시보드!K5&lt;0.8),"위험",IF(OR(EVMS_대시보드!J5&lt;0.9,EVMS_대시보드!K5&lt;0.9),"주의","정상")))</f>
        <v>정상</v>
      </c>
      <c r="E22" s="65"/>
      <c r="F22" s="65"/>
      <c r="G22" s="65"/>
    </row>
    <row r="23" spans="2:7" ht="15" customHeight="1">
      <c r="B23" s="79" t="str">
        <f>CA_개요!C6</f>
        <v>제품 릴리스 관리</v>
      </c>
      <c r="C23" s="79" t="str">
        <f>CA_개요!E6</f>
        <v>릴리스</v>
      </c>
      <c r="D23" s="79" t="str">
        <f>IF(AND(EVMS_대시보드!J6=0,EVMS_대시보드!K6=0),"미시작",IF(OR(EVMS_대시보드!J6&lt;0.8,EVMS_대시보드!K6&lt;0.8),"위험",IF(OR(EVMS_대시보드!J6&lt;0.9,EVMS_대시보드!K6&lt;0.9),"주의","정상")))</f>
        <v>정상</v>
      </c>
      <c r="E23" s="65"/>
      <c r="F23" s="65"/>
      <c r="G23" s="65"/>
    </row>
    <row r="24" spans="2:7" ht="15" customHeight="1">
      <c r="B24" s="79" t="str">
        <f>CA_개요!C7</f>
        <v>프로젝트 관리</v>
      </c>
      <c r="C24" s="79" t="str">
        <f>CA_개요!E7</f>
        <v>관리/LOE</v>
      </c>
      <c r="D24" s="79" t="str">
        <f>IF(AND(EVMS_대시보드!J7=0,EVMS_대시보드!K7=0),"미시작",IF(OR(EVMS_대시보드!J7&lt;0.8,EVMS_대시보드!K7&lt;0.8),"위험",IF(OR(EVMS_대시보드!J7&lt;0.9,EVMS_대시보드!K7&lt;0.9),"주의","정상")))</f>
        <v>정상</v>
      </c>
      <c r="E24" s="65"/>
      <c r="F24" s="65"/>
      <c r="G24" s="65"/>
    </row>
    <row r="25" spans="2:7" ht="15" customHeight="1">
      <c r="B25" s="79" t="str">
        <f>CA_개요!C8</f>
        <v>품질보증(QA)</v>
      </c>
      <c r="C25" s="79" t="str">
        <f>CA_개요!E8</f>
        <v>관리/LOE</v>
      </c>
      <c r="D25" s="79" t="str">
        <f>IF(AND(EVMS_대시보드!J8=0,EVMS_대시보드!K8=0),"미시작",IF(OR(EVMS_대시보드!J8&lt;0.8,EVMS_대시보드!K8&lt;0.8),"위험",IF(OR(EVMS_대시보드!J8&lt;0.9,EVMS_대시보드!K8&lt;0.9),"주의","정상")))</f>
        <v>정상</v>
      </c>
      <c r="E25" s="65"/>
      <c r="F25" s="65"/>
      <c r="G25" s="65"/>
    </row>
    <row r="26" spans="2:7" ht="15" customHeight="1">
      <c r="B26" s="79" t="str">
        <f>CA_개요!C9</f>
        <v>형상관리(CM)</v>
      </c>
      <c r="C26" s="79" t="str">
        <f>CA_개요!E9</f>
        <v>관리/LOE</v>
      </c>
      <c r="D26" s="79" t="str">
        <f>IF(AND(EVMS_대시보드!J9=0,EVMS_대시보드!K9=0),"미시작",IF(OR(EVMS_대시보드!J9&lt;0.8,EVMS_대시보드!K9&lt;0.8),"위험",IF(OR(EVMS_대시보드!J9&lt;0.9,EVMS_대시보드!K9&lt;0.9),"주의","정상")))</f>
        <v>정상</v>
      </c>
      <c r="E26" s="65"/>
      <c r="F26" s="65"/>
      <c r="G26" s="65"/>
    </row>
    <row r="27" spans="2:7" ht="15" customHeight="1">
      <c r="B27" s="79" t="str">
        <f>CA_개요!C10</f>
        <v>문제해결관리</v>
      </c>
      <c r="C27" s="79" t="str">
        <f>CA_개요!E10</f>
        <v>관리/LOE</v>
      </c>
      <c r="D27" s="79" t="str">
        <f>IF(AND(EVMS_대시보드!J10=0,EVMS_대시보드!K10=0),"미시작",IF(OR(EVMS_대시보드!J10&lt;0.8,EVMS_대시보드!K10&lt;0.8),"위험",IF(OR(EVMS_대시보드!J10&lt;0.9,EVMS_대시보드!K10&lt;0.9),"주의","정상")))</f>
        <v>정상</v>
      </c>
      <c r="E27" s="65"/>
      <c r="F27" s="65"/>
      <c r="G27" s="65"/>
    </row>
    <row r="28" spans="2:7" ht="15" customHeight="1">
      <c r="B28" s="79" t="str">
        <f>CA_개요!C11</f>
        <v>변경요청관리</v>
      </c>
      <c r="C28" s="79" t="str">
        <f>CA_개요!E11</f>
        <v>관리/LOE</v>
      </c>
      <c r="D28" s="79" t="str">
        <f>IF(AND(EVMS_대시보드!J11=0,EVMS_대시보드!K11=0),"미시작",IF(OR(EVMS_대시보드!J11&lt;0.8,EVMS_대시보드!K11&lt;0.8),"위험",IF(OR(EVMS_대시보드!J11&lt;0.9,EVMS_대시보드!K11&lt;0.9),"주의","정상")))</f>
        <v>주의</v>
      </c>
      <c r="E28" s="65"/>
      <c r="F28" s="65"/>
      <c r="G28" s="65"/>
    </row>
    <row r="29" spans="2:7" ht="15" customHeight="1">
      <c r="B29" s="79" t="str">
        <f>CA_개요!C12</f>
        <v>ML 데이터관리(ASW에 포함)</v>
      </c>
      <c r="C29" s="79" t="str">
        <f>CA_개요!E12</f>
        <v>ASW</v>
      </c>
      <c r="D29" s="79" t="str">
        <f>IF(AND(EVMS_대시보드!J12=0,EVMS_대시보드!K12=0),"미시작",IF(OR(EVMS_대시보드!J12&lt;0.8,EVMS_대시보드!K12&lt;0.8),"위험",IF(OR(EVMS_대시보드!J12&lt;0.9,EVMS_대시보드!K12&lt;0.9),"주의","정상")))</f>
        <v>정상</v>
      </c>
      <c r="E29" s="65"/>
      <c r="F29" s="65"/>
      <c r="G29" s="65"/>
    </row>
    <row r="30" spans="2:7" ht="15" customHeight="1">
      <c r="B30" s="79" t="str">
        <f>CA_개요!C13</f>
        <v>시스템 요구사항분석</v>
      </c>
      <c r="C30" s="79" t="str">
        <f>CA_개요!E13</f>
        <v>시스템</v>
      </c>
      <c r="D30" s="79" t="str">
        <f>IF(AND(EVMS_대시보드!J13=0,EVMS_대시보드!K13=0),"미시작",IF(OR(EVMS_대시보드!J13&lt;0.8,EVMS_대시보드!K13&lt;0.8),"위험",IF(OR(EVMS_대시보드!J13&lt;0.9,EVMS_대시보드!K13&lt;0.9),"주의","정상")))</f>
        <v>정상</v>
      </c>
      <c r="E30" s="65"/>
      <c r="F30" s="65"/>
      <c r="G30" s="65"/>
    </row>
    <row r="31" spans="2:7" ht="15" customHeight="1">
      <c r="B31" s="79" t="str">
        <f>CA_개요!C14</f>
        <v>시스템 아키텍처설계</v>
      </c>
      <c r="C31" s="79" t="str">
        <f>CA_개요!E14</f>
        <v>시스템</v>
      </c>
      <c r="D31" s="79" t="str">
        <f>IF(AND(EVMS_대시보드!J14=0,EVMS_대시보드!K14=0),"미시작",IF(OR(EVMS_대시보드!J14&lt;0.8,EVMS_대시보드!K14&lt;0.8),"위험",IF(OR(EVMS_대시보드!J14&lt;0.9,EVMS_대시보드!K14&lt;0.9),"주의","정상")))</f>
        <v>정상</v>
      </c>
      <c r="E31" s="65"/>
      <c r="F31" s="65"/>
      <c r="G31" s="65"/>
    </row>
    <row r="32" spans="2:7" ht="15" customHeight="1">
      <c r="B32" s="79" t="str">
        <f>CA_개요!C15</f>
        <v>시스템 통합/통합검증</v>
      </c>
      <c r="C32" s="79" t="str">
        <f>CA_개요!E15</f>
        <v>시스템</v>
      </c>
      <c r="D32" s="79" t="str">
        <f>IF(AND(EVMS_대시보드!J15=0,EVMS_대시보드!K15=0),"미시작",IF(OR(EVMS_대시보드!J15&lt;0.8,EVMS_대시보드!K15&lt;0.8),"위험",IF(OR(EVMS_대시보드!J15&lt;0.9,EVMS_대시보드!K15&lt;0.9),"주의","정상")))</f>
        <v>정상</v>
      </c>
      <c r="E32" s="65"/>
      <c r="F32" s="65"/>
      <c r="G32" s="65"/>
    </row>
    <row r="33" spans="2:7" ht="15" customHeight="1">
      <c r="B33" s="79" t="str">
        <f>CA_개요!C16</f>
        <v>시스템 검증</v>
      </c>
      <c r="C33" s="79" t="str">
        <f>CA_개요!E16</f>
        <v>시스템</v>
      </c>
      <c r="D33" s="79" t="str">
        <f>IF(AND(EVMS_대시보드!J16=0,EVMS_대시보드!K16=0),"미시작",IF(OR(EVMS_대시보드!J16&lt;0.8,EVMS_대시보드!K16&lt;0.8),"위험",IF(OR(EVMS_대시보드!J16&lt;0.9,EVMS_대시보드!K16&lt;0.9),"주의","정상")))</f>
        <v>위험</v>
      </c>
      <c r="E33" s="65"/>
      <c r="F33" s="65"/>
      <c r="G33" s="65"/>
    </row>
    <row r="34" spans="2:7" ht="15" customHeight="1">
      <c r="B34" s="79" t="str">
        <f>CA_개요!C17</f>
        <v>SW 요구사항분석</v>
      </c>
      <c r="C34" s="79" t="str">
        <f>CA_개요!E17</f>
        <v>공통(SW설계)</v>
      </c>
      <c r="D34" s="79" t="str">
        <f>IF(AND(EVMS_대시보드!J17=0,EVMS_대시보드!K17=0),"미시작",IF(OR(EVMS_대시보드!J17&lt;0.8,EVMS_대시보드!K17&lt;0.8),"위험",IF(OR(EVMS_대시보드!J17&lt;0.9,EVMS_대시보드!K17&lt;0.9),"주의","정상")))</f>
        <v>정상</v>
      </c>
      <c r="E34" s="65"/>
      <c r="F34" s="65"/>
      <c r="G34" s="65"/>
    </row>
    <row r="35" spans="2:7" ht="15" customHeight="1">
      <c r="B35" s="79" t="str">
        <f>CA_개요!C18</f>
        <v>SW 아키텍처설계</v>
      </c>
      <c r="C35" s="79" t="str">
        <f>CA_개요!E18</f>
        <v>공통(SW설계)</v>
      </c>
      <c r="D35" s="79" t="str">
        <f>IF(AND(EVMS_대시보드!J18=0,EVMS_대시보드!K18=0),"미시작",IF(OR(EVMS_대시보드!J18&lt;0.8,EVMS_대시보드!K18&lt;0.8),"위험",IF(OR(EVMS_대시보드!J18&lt;0.9,EVMS_대시보드!K18&lt;0.9),"주의","정상")))</f>
        <v>정상</v>
      </c>
      <c r="E35" s="65"/>
      <c r="F35" s="65"/>
      <c r="G35" s="65"/>
    </row>
    <row r="36" spans="2:7" ht="15" customHeight="1">
      <c r="B36" s="79" t="str">
        <f>CA_개요!C19</f>
        <v>SW 상세설계/단위구현(ASW)</v>
      </c>
      <c r="C36" s="79" t="str">
        <f>CA_개요!E19</f>
        <v>ASW</v>
      </c>
      <c r="D36" s="79" t="str">
        <f>IF(AND(EVMS_대시보드!J19=0,EVMS_대시보드!K19=0),"미시작",IF(OR(EVMS_대시보드!J19&lt;0.8,EVMS_대시보드!K19&lt;0.8),"위험",IF(OR(EVMS_대시보드!J19&lt;0.9,EVMS_대시보드!K19&lt;0.9),"주의","정상")))</f>
        <v>정상</v>
      </c>
      <c r="E36" s="65"/>
      <c r="F36" s="65"/>
      <c r="G36" s="65"/>
    </row>
    <row r="37" spans="2:7" ht="15" customHeight="1">
      <c r="B37" s="79" t="str">
        <f>CA_개요!C20</f>
        <v>SW 상세설계/단위구현(BSW)</v>
      </c>
      <c r="C37" s="79" t="str">
        <f>CA_개요!E20</f>
        <v>BSW</v>
      </c>
      <c r="D37" s="79" t="str">
        <f>IF(AND(EVMS_대시보드!J20=0,EVMS_대시보드!K20=0),"미시작",IF(OR(EVMS_대시보드!J20&lt;0.8,EVMS_대시보드!K20&lt;0.8),"위험",IF(OR(EVMS_대시보드!J20&lt;0.9,EVMS_대시보드!K20&lt;0.9),"주의","정상")))</f>
        <v>정상</v>
      </c>
      <c r="E37" s="65"/>
      <c r="F37" s="65"/>
      <c r="G37" s="65"/>
    </row>
    <row r="38" spans="2:7" ht="15" customHeight="1">
      <c r="B38" s="79" t="str">
        <f>CA_개요!C21</f>
        <v>SW 단위검증(ASW)</v>
      </c>
      <c r="C38" s="79" t="str">
        <f>CA_개요!E21</f>
        <v>ASW</v>
      </c>
      <c r="D38" s="79" t="str">
        <f>IF(AND(EVMS_대시보드!J21=0,EVMS_대시보드!K21=0),"미시작",IF(OR(EVMS_대시보드!J21&lt;0.8,EVMS_대시보드!K21&lt;0.8),"위험",IF(OR(EVMS_대시보드!J21&lt;0.9,EVMS_대시보드!K21&lt;0.9),"주의","정상")))</f>
        <v>정상</v>
      </c>
      <c r="E38" s="65"/>
      <c r="F38" s="65"/>
      <c r="G38" s="65"/>
    </row>
    <row r="39" spans="2:7" ht="15" customHeight="1">
      <c r="B39" s="79" t="str">
        <f>CA_개요!C22</f>
        <v>SW 단위검증(BSW)</v>
      </c>
      <c r="C39" s="79" t="str">
        <f>CA_개요!E22</f>
        <v>BSW</v>
      </c>
      <c r="D39" s="79" t="str">
        <f>IF(AND(EVMS_대시보드!J22=0,EVMS_대시보드!K22=0),"미시작",IF(OR(EVMS_대시보드!J22&lt;0.8,EVMS_대시보드!K22&lt;0.8),"위험",IF(OR(EVMS_대시보드!J22&lt;0.9,EVMS_대시보드!K22&lt;0.9),"주의","정상")))</f>
        <v>정상</v>
      </c>
      <c r="E39" s="65"/>
      <c r="F39" s="65"/>
      <c r="G39" s="65"/>
    </row>
    <row r="40" spans="2:7" ht="15" customHeight="1">
      <c r="B40" s="79" t="str">
        <f>CA_개요!C23</f>
        <v>SW 통합/통합검증</v>
      </c>
      <c r="C40" s="79" t="str">
        <f>CA_개요!E23</f>
        <v>통합</v>
      </c>
      <c r="D40" s="79" t="str">
        <f>IF(AND(EVMS_대시보드!J23=0,EVMS_대시보드!K23=0),"미시작",IF(OR(EVMS_대시보드!J23&lt;0.8,EVMS_대시보드!K23&lt;0.8),"위험",IF(OR(EVMS_대시보드!J23&lt;0.9,EVMS_대시보드!K23&lt;0.9),"주의","정상")))</f>
        <v>정상</v>
      </c>
      <c r="E40" s="65"/>
      <c r="F40" s="65"/>
      <c r="G40" s="65"/>
    </row>
    <row r="41" spans="2:7" ht="15" customHeight="1">
      <c r="B41" s="79" t="str">
        <f>CA_개요!C24</f>
        <v>SW 검증</v>
      </c>
      <c r="C41" s="79" t="str">
        <f>CA_개요!E24</f>
        <v>검증</v>
      </c>
      <c r="D41" s="79" t="str">
        <f>IF(AND(EVMS_대시보드!J24=0,EVMS_대시보드!K24=0),"미시작",IF(OR(EVMS_대시보드!J24&lt;0.8,EVMS_대시보드!K24&lt;0.8),"위험",IF(OR(EVMS_대시보드!J24&lt;0.9,EVMS_대시보드!K24&lt;0.9),"주의","정상")))</f>
        <v>위험</v>
      </c>
      <c r="E41" s="65"/>
      <c r="F41" s="65"/>
      <c r="G41" s="65"/>
    </row>
    <row r="42" spans="2:7" ht="15" customHeight="1">
      <c r="B42" s="79" t="str">
        <f>CA_개요!C25</f>
        <v>제품확인(Validation)</v>
      </c>
      <c r="C42" s="79" t="str">
        <f>CA_개요!E25</f>
        <v>검증</v>
      </c>
      <c r="D42" s="79" t="str">
        <f>IF(AND(EVMS_대시보드!J25=0,EVMS_대시보드!K25=0),"미시작",IF(OR(EVMS_대시보드!J25&lt;0.8,EVMS_대시보드!K25&lt;0.8),"위험",IF(OR(EVMS_대시보드!J25&lt;0.9,EVMS_대시보드!K25&lt;0.9),"주의","정상")))</f>
        <v>미시작</v>
      </c>
      <c r="E42" s="65"/>
      <c r="F42" s="65"/>
      <c r="G42" s="65"/>
    </row>
    <row r="43" spans="2:7" ht="15" customHeight="1">
      <c r="B43" s="79" t="str">
        <f>CA_개요!C26</f>
        <v>ML 요구사항분석(ASW에 포함)</v>
      </c>
      <c r="C43" s="79" t="str">
        <f>CA_개요!E26</f>
        <v>ASW</v>
      </c>
      <c r="D43" s="79" t="str">
        <f>IF(AND(EVMS_대시보드!J26=0,EVMS_대시보드!K26=0),"미시작",IF(OR(EVMS_대시보드!J26&lt;0.8,EVMS_대시보드!K26&lt;0.8),"위험",IF(OR(EVMS_대시보드!J26&lt;0.9,EVMS_대시보드!K26&lt;0.9),"주의","정상")))</f>
        <v>정상</v>
      </c>
      <c r="E43" s="65"/>
      <c r="F43" s="65"/>
      <c r="G43" s="65"/>
    </row>
    <row r="44" spans="2:7" ht="15" customHeight="1">
      <c r="B44" s="79" t="str">
        <f>CA_개요!C27</f>
        <v>ML 아키텍처설계(ASW에 포함)</v>
      </c>
      <c r="C44" s="79" t="str">
        <f>CA_개요!E27</f>
        <v>ASW</v>
      </c>
      <c r="D44" s="79" t="str">
        <f>IF(AND(EVMS_대시보드!J27=0,EVMS_대시보드!K27=0),"미시작",IF(OR(EVMS_대시보드!J27&lt;0.8,EVMS_대시보드!K27&lt;0.8),"위험",IF(OR(EVMS_대시보드!J27&lt;0.9,EVMS_대시보드!K27&lt;0.9),"주의","정상")))</f>
        <v>정상</v>
      </c>
      <c r="E44" s="65"/>
      <c r="F44" s="65"/>
      <c r="G44" s="65"/>
    </row>
    <row r="45" spans="2:7" ht="15" customHeight="1">
      <c r="B45" s="79" t="str">
        <f>CA_개요!C28</f>
        <v>ML 훈련/검증(ASW에 포함)</v>
      </c>
      <c r="C45" s="79" t="str">
        <f>CA_개요!E28</f>
        <v>ASW</v>
      </c>
      <c r="D45" s="79" t="str">
        <f>IF(AND(EVMS_대시보드!J28=0,EVMS_대시보드!K28=0),"미시작",IF(OR(EVMS_대시보드!J28&lt;0.8,EVMS_대시보드!K28&lt;0.8),"위험",IF(OR(EVMS_대시보드!J28&lt;0.9,EVMS_대시보드!K28&lt;0.9),"주의","정상")))</f>
        <v>정상</v>
      </c>
      <c r="E45" s="65"/>
      <c r="F45" s="65"/>
      <c r="G45" s="65"/>
    </row>
    <row r="46" spans="2:7" ht="15" customHeight="1">
      <c r="B46" s="79" t="str">
        <f>CA_개요!C29</f>
        <v>ML 테스트(ASW에 포함)</v>
      </c>
      <c r="C46" s="79" t="str">
        <f>CA_개요!E29</f>
        <v>ASW</v>
      </c>
      <c r="D46" s="79" t="str">
        <f>IF(AND(EVMS_대시보드!J29=0,EVMS_대시보드!K29=0),"미시작",IF(OR(EVMS_대시보드!J29&lt;0.8,EVMS_대시보드!K29&lt;0.8),"위험",IF(OR(EVMS_대시보드!J29&lt;0.9,EVMS_대시보드!K29&lt;0.9),"주의","정상")))</f>
        <v>위험</v>
      </c>
      <c r="E46" s="65"/>
      <c r="F46" s="65"/>
      <c r="G46" s="65"/>
    </row>
    <row r="47" spans="2:7" ht="12.75" customHeight="1">
      <c r="B47" s="79" t="str">
        <f>CA_개요!C30</f>
        <v>HW 요구사항분석</v>
      </c>
      <c r="C47" s="79" t="str">
        <f>CA_개요!E30</f>
        <v>HW</v>
      </c>
      <c r="D47" s="79" t="str">
        <f>IF(AND(EVMS_대시보드!J30=0,EVMS_대시보드!K30=0),"미시작",IF(OR(EVMS_대시보드!J30&lt;0.8,EVMS_대시보드!K30&lt;0.8),"위험",IF(OR(EVMS_대시보드!J30&lt;0.9,EVMS_대시보드!K30&lt;0.9),"주의","정상")))</f>
        <v>정상</v>
      </c>
      <c r="E47" s="65"/>
      <c r="F47" s="65"/>
      <c r="G47" s="65"/>
    </row>
    <row r="48" spans="2:7" ht="12.75" customHeight="1">
      <c r="B48" s="79" t="str">
        <f>CA_개요!C31</f>
        <v>HW 아키텍처/상세설계</v>
      </c>
      <c r="C48" s="79" t="str">
        <f>CA_개요!E31</f>
        <v>HW</v>
      </c>
      <c r="D48" s="79" t="str">
        <f>IF(AND(EVMS_대시보드!J31=0,EVMS_대시보드!K31=0),"미시작",IF(OR(EVMS_대시보드!J31&lt;0.8,EVMS_대시보드!K31&lt;0.8),"위험",IF(OR(EVMS_대시보드!J31&lt;0.9,EVMS_대시보드!K31&lt;0.9),"주의","정상")))</f>
        <v>정상</v>
      </c>
      <c r="E48" s="65"/>
      <c r="F48" s="65"/>
      <c r="G48" s="65"/>
    </row>
    <row r="49" spans="2:7" ht="30" customHeight="1">
      <c r="B49" s="79" t="str">
        <f>CA_개요!C32</f>
        <v>HW 설계검증</v>
      </c>
      <c r="C49" s="79" t="str">
        <f>CA_개요!E32</f>
        <v>HW</v>
      </c>
      <c r="D49" s="79" t="str">
        <f>IF(AND(EVMS_대시보드!J32=0,EVMS_대시보드!K32=0),"미시작",IF(OR(EVMS_대시보드!J32&lt;0.8,EVMS_대시보드!K32&lt;0.8),"위험",IF(OR(EVMS_대시보드!J32&lt;0.9,EVMS_대시보드!K32&lt;0.9),"주의","정상")))</f>
        <v>정상</v>
      </c>
      <c r="E49" s="65"/>
      <c r="F49" s="65"/>
      <c r="G49" s="65"/>
    </row>
    <row r="50" spans="2:7" ht="30" customHeight="1">
      <c r="B50" s="79" t="str">
        <f>CA_개요!C33</f>
        <v>HW 요구사항검증</v>
      </c>
      <c r="C50" s="79" t="str">
        <f>CA_개요!E33</f>
        <v>HW</v>
      </c>
      <c r="D50" s="79" t="str">
        <f>IF(AND(EVMS_대시보드!J33=0,EVMS_대시보드!K33=0),"미시작",IF(OR(EVMS_대시보드!J33&lt;0.8,EVMS_대시보드!K33&lt;0.8),"위험",IF(OR(EVMS_대시보드!J33&lt;0.9,EVMS_대시보드!K33&lt;0.9),"주의","정상")))</f>
        <v>위험</v>
      </c>
      <c r="E50" s="65"/>
      <c r="F50" s="65"/>
      <c r="G50" s="65"/>
    </row>
    <row r="51" spans="2:7" ht="30" customHeight="1">
      <c r="B51" s="65"/>
      <c r="C51" s="65"/>
      <c r="D51" s="65"/>
      <c r="E51" s="65"/>
      <c r="F51" s="65"/>
      <c r="G51" s="65"/>
    </row>
    <row r="52" spans="2:7" ht="15" customHeight="1">
      <c r="B52" s="78" t="s">
        <v>192</v>
      </c>
      <c r="C52" s="65"/>
      <c r="D52" s="65"/>
      <c r="E52" s="65"/>
      <c r="F52" s="65"/>
      <c r="G52" s="65"/>
    </row>
    <row r="53" spans="2:7" ht="15" customHeight="1">
      <c r="B53" s="65" t="s">
        <v>193</v>
      </c>
      <c r="C53" s="4" t="s">
        <v>194</v>
      </c>
      <c r="D53" s="4"/>
      <c r="E53" s="4"/>
      <c r="F53" s="4"/>
      <c r="G53" s="4"/>
    </row>
    <row r="54" spans="2:7" ht="15" customHeight="1">
      <c r="B54" s="65" t="s">
        <v>193</v>
      </c>
      <c r="C54" s="4" t="s">
        <v>195</v>
      </c>
      <c r="D54" s="4"/>
      <c r="E54" s="4"/>
      <c r="F54" s="4"/>
      <c r="G54" s="4"/>
    </row>
    <row r="55" spans="2:7" ht="15" customHeight="1">
      <c r="B55" s="65" t="s">
        <v>193</v>
      </c>
      <c r="C55" s="4" t="s">
        <v>196</v>
      </c>
      <c r="D55" s="4"/>
      <c r="E55" s="4"/>
      <c r="F55" s="4"/>
      <c r="G55" s="4"/>
    </row>
  </sheetData>
  <mergeCells count="4">
    <mergeCell ref="B14:F14"/>
    <mergeCell ref="C53:G53"/>
    <mergeCell ref="C54:G54"/>
    <mergeCell ref="C55:G55"/>
  </mergeCells>
  <phoneticPr fontId="50" type="noConversion"/>
  <conditionalFormatting sqref="C8">
    <cfRule type="cellIs" dxfId="19" priority="2" operator="equal">
      <formula>"정상"</formula>
    </cfRule>
    <cfRule type="cellIs" dxfId="18" priority="3" operator="equal">
      <formula>"주의"</formula>
    </cfRule>
    <cfRule type="cellIs" dxfId="17" priority="4" operator="equal">
      <formula>"위험"</formula>
    </cfRule>
    <cfRule type="cellIs" dxfId="16" priority="5" operator="equal">
      <formula>"미시작"</formula>
    </cfRule>
  </conditionalFormatting>
  <conditionalFormatting sqref="F12:F14">
    <cfRule type="cellIs" dxfId="15" priority="6" operator="equal">
      <formula>"정상"</formula>
    </cfRule>
    <cfRule type="cellIs" dxfId="14" priority="7" operator="equal">
      <formula>"주의"</formula>
    </cfRule>
    <cfRule type="cellIs" dxfId="13" priority="8" operator="equal">
      <formula>"위험"</formula>
    </cfRule>
    <cfRule type="cellIs" dxfId="12" priority="9" operator="equal">
      <formula>"미시작"</formula>
    </cfRule>
  </conditionalFormatting>
  <conditionalFormatting sqref="D18:D46">
    <cfRule type="cellIs" dxfId="11" priority="10" operator="equal">
      <formula>"정상"</formula>
    </cfRule>
    <cfRule type="cellIs" dxfId="10" priority="11" operator="equal">
      <formula>"주의"</formula>
    </cfRule>
    <cfRule type="cellIs" dxfId="9" priority="12" operator="equal">
      <formula>"위험"</formula>
    </cfRule>
    <cfRule type="cellIs" dxfId="8" priority="13" operator="equal">
      <formula>"미시작"</formula>
    </cfRule>
  </conditionalFormatting>
  <conditionalFormatting sqref="C10">
    <cfRule type="cellIs" dxfId="7" priority="14" operator="equal">
      <formula>"정상"</formula>
    </cfRule>
    <cfRule type="cellIs" dxfId="6" priority="15" operator="equal">
      <formula>"주의"</formula>
    </cfRule>
    <cfRule type="cellIs" dxfId="5" priority="16" operator="equal">
      <formula>"위험"</formula>
    </cfRule>
    <cfRule type="cellIs" dxfId="4" priority="17" operator="equal">
      <formula>"미시작"</formula>
    </cfRule>
  </conditionalFormatting>
  <conditionalFormatting sqref="C12">
    <cfRule type="cellIs" dxfId="3" priority="18" operator="equal">
      <formula>"정상"</formula>
    </cfRule>
    <cfRule type="cellIs" dxfId="2" priority="19" operator="equal">
      <formula>"주의"</formula>
    </cfRule>
    <cfRule type="cellIs" dxfId="1" priority="20" operator="equal">
      <formula>"위험"</formula>
    </cfRule>
    <cfRule type="cellIs" dxfId="0" priority="21" operator="equal">
      <formula>"미시작"</formula>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4:K35"/>
  <sheetViews>
    <sheetView zoomScaleNormal="100" workbookViewId="0">
      <pane ySplit="4" topLeftCell="A5" activePane="bottomLeft" state="frozen"/>
      <selection pane="bottomLeft"/>
    </sheetView>
  </sheetViews>
  <sheetFormatPr defaultColWidth="8.6328125" defaultRowHeight="14.5"/>
  <cols>
    <col min="1" max="1" width="6" style="42" customWidth="1"/>
    <col min="2" max="2" width="12" style="42" customWidth="1"/>
    <col min="3" max="3" width="20" style="42" customWidth="1"/>
    <col min="4" max="4" width="14" style="42" customWidth="1"/>
    <col min="5" max="5" width="12" style="42" customWidth="1"/>
    <col min="6" max="6" width="26" style="42" customWidth="1"/>
    <col min="7" max="8" width="14" style="42" customWidth="1"/>
    <col min="9" max="9" width="12" style="42" customWidth="1"/>
    <col min="10" max="10" width="14" style="42" customWidth="1"/>
    <col min="11" max="11" width="40" style="42" customWidth="1"/>
  </cols>
  <sheetData>
    <row r="4" spans="1:11" ht="25.5" customHeight="1">
      <c r="A4" s="71" t="s">
        <v>197</v>
      </c>
      <c r="B4" s="71" t="s">
        <v>198</v>
      </c>
      <c r="C4" s="71" t="s">
        <v>199</v>
      </c>
      <c r="D4" s="64" t="s">
        <v>200</v>
      </c>
      <c r="E4" s="64" t="s">
        <v>191</v>
      </c>
      <c r="F4" s="64" t="s">
        <v>201</v>
      </c>
      <c r="G4" s="71" t="s">
        <v>202</v>
      </c>
      <c r="H4" s="71" t="s">
        <v>203</v>
      </c>
      <c r="I4" s="64" t="s">
        <v>204</v>
      </c>
      <c r="J4" s="71" t="s">
        <v>205</v>
      </c>
      <c r="K4" s="64" t="s">
        <v>10</v>
      </c>
    </row>
    <row r="5" spans="1:11" ht="39" customHeight="1">
      <c r="A5" s="80">
        <v>1</v>
      </c>
      <c r="B5" s="80" t="s">
        <v>206</v>
      </c>
      <c r="C5" s="81" t="s">
        <v>207</v>
      </c>
      <c r="D5" s="82" t="s">
        <v>208</v>
      </c>
      <c r="E5" s="82" t="s">
        <v>209</v>
      </c>
      <c r="F5" s="80" t="s">
        <v>210</v>
      </c>
      <c r="G5" s="83"/>
      <c r="H5" s="84">
        <f>INDEX(가정!$C$7:$L$9,MATCH(가정!$C$4,가정!$B$7:$B$9,0),MATCH(E5,가정!$C$6:$L$6,0))*(I5/SUMIF($E$5:$E$33,E5,$I$5:$I$33))</f>
        <v>0.08</v>
      </c>
      <c r="I5" s="80">
        <f>COUNTIF(WP_상세!$B$5:$B$500,B5)</f>
        <v>5</v>
      </c>
      <c r="J5" s="85">
        <f>IFERROR(ROUND(AVERAGEIF(WP_상세!$B$5:$B$500,B5,WP_상세!$L$5:$L$500)*100,1),0)</f>
        <v>95</v>
      </c>
      <c r="K5" s="81" t="s">
        <v>211</v>
      </c>
    </row>
    <row r="6" spans="1:11" ht="39" customHeight="1">
      <c r="A6" s="86">
        <v>2</v>
      </c>
      <c r="B6" s="86" t="s">
        <v>212</v>
      </c>
      <c r="C6" s="87" t="s">
        <v>213</v>
      </c>
      <c r="D6" s="86" t="s">
        <v>214</v>
      </c>
      <c r="E6" s="88" t="s">
        <v>215</v>
      </c>
      <c r="F6" s="88" t="s">
        <v>216</v>
      </c>
      <c r="G6" s="83"/>
      <c r="H6" s="89">
        <f>INDEX(가정!$C$7:$L$9,MATCH(가정!$C$4,가정!$B$7:$B$9,0),MATCH(E6,가정!$C$6:$L$6,0))*(I6/SUMIF($E$5:$E$33,E6,$I$5:$I$33))</f>
        <v>0.04</v>
      </c>
      <c r="I6" s="86">
        <f>COUNTIF(WP_상세!$B$5:$B$500,B6)</f>
        <v>8</v>
      </c>
      <c r="J6" s="90">
        <f>IFERROR(ROUND(AVERAGEIF(WP_상세!$B$5:$B$500,B6,WP_상세!$L$5:$L$500)*100,1),0)</f>
        <v>70</v>
      </c>
      <c r="K6" s="87" t="s">
        <v>217</v>
      </c>
    </row>
    <row r="7" spans="1:11" ht="25.5" customHeight="1">
      <c r="A7" s="91">
        <v>3</v>
      </c>
      <c r="B7" s="91" t="s">
        <v>218</v>
      </c>
      <c r="C7" s="92" t="s">
        <v>219</v>
      </c>
      <c r="D7" s="93" t="s">
        <v>220</v>
      </c>
      <c r="E7" s="93" t="s">
        <v>221</v>
      </c>
      <c r="F7" s="91" t="s">
        <v>210</v>
      </c>
      <c r="G7" s="83"/>
      <c r="H7" s="94">
        <f>INDEX(가정!$C$7:$L$9,MATCH(가정!$C$4,가정!$B$7:$B$9,0),MATCH(E7,가정!$C$6:$L$6,0))*(I7/SUMIF($E$5:$E$33,E7,$I$5:$I$33))</f>
        <v>4.7368421052631574E-2</v>
      </c>
      <c r="I7" s="91">
        <f>COUNTIF(WP_상세!$B$5:$B$500,B7)</f>
        <v>10</v>
      </c>
      <c r="J7" s="95">
        <f>IFERROR(ROUND(AVERAGEIF(WP_상세!$B$5:$B$500,B7,WP_상세!$L$5:$L$500)*100,1),0)</f>
        <v>95</v>
      </c>
      <c r="K7" s="96" t="s">
        <v>222</v>
      </c>
    </row>
    <row r="8" spans="1:11" ht="25.5" customHeight="1">
      <c r="A8" s="80">
        <v>4</v>
      </c>
      <c r="B8" s="80" t="s">
        <v>223</v>
      </c>
      <c r="C8" s="81" t="s">
        <v>224</v>
      </c>
      <c r="D8" s="82" t="s">
        <v>208</v>
      </c>
      <c r="E8" s="82" t="s">
        <v>221</v>
      </c>
      <c r="F8" s="80" t="s">
        <v>210</v>
      </c>
      <c r="G8" s="83"/>
      <c r="H8" s="84">
        <f>INDEX(가정!$C$7:$L$9,MATCH(가정!$C$4,가정!$B$7:$B$9,0),MATCH(E8,가정!$C$6:$L$6,0))*(I8/SUMIF($E$5:$E$33,E8,$I$5:$I$33))</f>
        <v>3.3157894736842101E-2</v>
      </c>
      <c r="I8" s="80">
        <f>COUNTIF(WP_상세!$B$5:$B$500,B8)</f>
        <v>7</v>
      </c>
      <c r="J8" s="85">
        <f>IFERROR(ROUND(AVERAGEIF(WP_상세!$B$5:$B$500,B8,WP_상세!$L$5:$L$500)*100,1),0)</f>
        <v>89.3</v>
      </c>
      <c r="K8" s="81" t="s">
        <v>225</v>
      </c>
    </row>
    <row r="9" spans="1:11" ht="25.5" customHeight="1">
      <c r="A9" s="80">
        <v>5</v>
      </c>
      <c r="B9" s="80" t="s">
        <v>226</v>
      </c>
      <c r="C9" s="81" t="s">
        <v>227</v>
      </c>
      <c r="D9" s="82" t="s">
        <v>208</v>
      </c>
      <c r="E9" s="82" t="s">
        <v>221</v>
      </c>
      <c r="F9" s="80" t="s">
        <v>210</v>
      </c>
      <c r="G9" s="83"/>
      <c r="H9" s="84">
        <f>INDEX(가정!$C$7:$L$9,MATCH(가정!$C$4,가정!$B$7:$B$9,0),MATCH(E9,가정!$C$6:$L$6,0))*(I9/SUMIF($E$5:$E$33,E9,$I$5:$I$33))</f>
        <v>3.7894736842105259E-2</v>
      </c>
      <c r="I9" s="80">
        <f>COUNTIF(WP_상세!$B$5:$B$500,B9)</f>
        <v>8</v>
      </c>
      <c r="J9" s="85">
        <f>IFERROR(ROUND(AVERAGEIF(WP_상세!$B$5:$B$500,B9,WP_상세!$L$5:$L$500)*100,1),0)</f>
        <v>90.6</v>
      </c>
      <c r="K9" s="81" t="s">
        <v>228</v>
      </c>
    </row>
    <row r="10" spans="1:11" ht="25.5" customHeight="1">
      <c r="A10" s="91">
        <v>6</v>
      </c>
      <c r="B10" s="91" t="s">
        <v>229</v>
      </c>
      <c r="C10" s="92" t="s">
        <v>230</v>
      </c>
      <c r="D10" s="91" t="s">
        <v>231</v>
      </c>
      <c r="E10" s="93" t="s">
        <v>221</v>
      </c>
      <c r="F10" s="91" t="s">
        <v>232</v>
      </c>
      <c r="G10" s="83"/>
      <c r="H10" s="94">
        <f>INDEX(가정!$C$7:$L$9,MATCH(가정!$C$4,가정!$B$7:$B$9,0),MATCH(E10,가정!$C$6:$L$6,0))*(I10/SUMIF($E$5:$E$33,E10,$I$5:$I$33))</f>
        <v>3.3157894736842101E-2</v>
      </c>
      <c r="I10" s="91">
        <f>COUNTIF(WP_상세!$B$5:$B$500,B10)</f>
        <v>7</v>
      </c>
      <c r="J10" s="95">
        <f>IFERROR(ROUND(AVERAGEIF(WP_상세!$B$5:$B$500,B10,WP_상세!$L$5:$L$500)*100,1),0)</f>
        <v>89.3</v>
      </c>
      <c r="K10" s="92" t="s">
        <v>233</v>
      </c>
    </row>
    <row r="11" spans="1:11" ht="25.5" customHeight="1">
      <c r="A11" s="80">
        <v>7</v>
      </c>
      <c r="B11" s="80" t="s">
        <v>234</v>
      </c>
      <c r="C11" s="81" t="s">
        <v>235</v>
      </c>
      <c r="D11" s="82" t="s">
        <v>208</v>
      </c>
      <c r="E11" s="82" t="s">
        <v>221</v>
      </c>
      <c r="F11" s="80" t="s">
        <v>236</v>
      </c>
      <c r="G11" s="83"/>
      <c r="H11" s="84">
        <f>INDEX(가정!$C$7:$L$9,MATCH(가정!$C$4,가정!$B$7:$B$9,0),MATCH(E11,가정!$C$6:$L$6,0))*(I11/SUMIF($E$5:$E$33,E11,$I$5:$I$33))</f>
        <v>2.8421052631578944E-2</v>
      </c>
      <c r="I11" s="80">
        <f>COUNTIF(WP_상세!$B$5:$B$500,B11)</f>
        <v>6</v>
      </c>
      <c r="J11" s="85">
        <f>IFERROR(ROUND(AVERAGEIF(WP_상세!$B$5:$B$500,B11,WP_상세!$L$5:$L$500)*100,1),0)</f>
        <v>67.5</v>
      </c>
      <c r="K11" s="81" t="s">
        <v>237</v>
      </c>
    </row>
    <row r="12" spans="1:11" ht="39" customHeight="1">
      <c r="A12" s="86">
        <v>8</v>
      </c>
      <c r="B12" s="86" t="s">
        <v>238</v>
      </c>
      <c r="C12" s="97" t="s">
        <v>239</v>
      </c>
      <c r="D12" s="86" t="s">
        <v>214</v>
      </c>
      <c r="E12" s="86" t="s">
        <v>240</v>
      </c>
      <c r="F12" s="86" t="s">
        <v>210</v>
      </c>
      <c r="G12" s="83"/>
      <c r="H12" s="89">
        <f>INDEX(가정!$C$7:$L$9,MATCH(가정!$C$4,가정!$B$7:$B$9,0),MATCH(E12,가정!$C$6:$L$6,0))*(I12/SUMIF($E$5:$E$33,E12,$I$5:$I$33))</f>
        <v>3.2195121951219513E-2</v>
      </c>
      <c r="I12" s="86">
        <f>COUNTIF(WP_상세!$B$5:$B$500,B12)</f>
        <v>6</v>
      </c>
      <c r="J12" s="90">
        <f>IFERROR(ROUND(AVERAGEIF(WP_상세!$B$5:$B$500,B12,WP_상세!$L$5:$L$500)*100,1),0)</f>
        <v>91.7</v>
      </c>
      <c r="K12" s="97" t="s">
        <v>241</v>
      </c>
    </row>
    <row r="13" spans="1:11" ht="15" customHeight="1">
      <c r="A13" s="86">
        <v>9</v>
      </c>
      <c r="B13" s="86" t="s">
        <v>242</v>
      </c>
      <c r="C13" s="87" t="s">
        <v>243</v>
      </c>
      <c r="D13" s="86" t="s">
        <v>214</v>
      </c>
      <c r="E13" s="88" t="s">
        <v>244</v>
      </c>
      <c r="F13" s="86" t="s">
        <v>245</v>
      </c>
      <c r="G13" s="83"/>
      <c r="H13" s="89">
        <f>INDEX(가정!$C$7:$L$9,MATCH(가정!$C$4,가정!$B$7:$B$9,0),MATCH(E13,가정!$C$6:$L$6,0))*(I13/SUMIF($E$5:$E$33,E13,$I$5:$I$33))</f>
        <v>2.2857142857142857E-2</v>
      </c>
      <c r="I13" s="86">
        <f>COUNTIF(WP_상세!$B$5:$B$500,B13)</f>
        <v>6</v>
      </c>
      <c r="J13" s="90">
        <f>IFERROR(ROUND(AVERAGEIF(WP_상세!$B$5:$B$500,B13,WP_상세!$L$5:$L$500)*100,1),0)</f>
        <v>75</v>
      </c>
      <c r="K13" s="97"/>
    </row>
    <row r="14" spans="1:11" ht="15" customHeight="1">
      <c r="A14" s="86">
        <v>10</v>
      </c>
      <c r="B14" s="86" t="s">
        <v>246</v>
      </c>
      <c r="C14" s="87" t="s">
        <v>247</v>
      </c>
      <c r="D14" s="86" t="s">
        <v>214</v>
      </c>
      <c r="E14" s="88" t="s">
        <v>244</v>
      </c>
      <c r="F14" s="86" t="s">
        <v>245</v>
      </c>
      <c r="G14" s="83"/>
      <c r="H14" s="89">
        <f>INDEX(가정!$C$7:$L$9,MATCH(가정!$C$4,가정!$B$7:$B$9,0),MATCH(E14,가정!$C$6:$L$6,0))*(I14/SUMIF($E$5:$E$33,E14,$I$5:$I$33))</f>
        <v>1.9047619047619046E-2</v>
      </c>
      <c r="I14" s="86">
        <f>COUNTIF(WP_상세!$B$5:$B$500,B14)</f>
        <v>5</v>
      </c>
      <c r="J14" s="90">
        <f>IFERROR(ROUND(AVERAGEIF(WP_상세!$B$5:$B$500,B14,WP_상세!$L$5:$L$500)*100,1),0)</f>
        <v>100</v>
      </c>
      <c r="K14" s="97"/>
    </row>
    <row r="15" spans="1:11" ht="15" customHeight="1">
      <c r="A15" s="86">
        <v>11</v>
      </c>
      <c r="B15" s="86" t="s">
        <v>248</v>
      </c>
      <c r="C15" s="87" t="s">
        <v>249</v>
      </c>
      <c r="D15" s="86" t="s">
        <v>214</v>
      </c>
      <c r="E15" s="88" t="s">
        <v>244</v>
      </c>
      <c r="F15" s="86" t="s">
        <v>236</v>
      </c>
      <c r="G15" s="83"/>
      <c r="H15" s="89">
        <f>INDEX(가정!$C$7:$L$9,MATCH(가정!$C$4,가정!$B$7:$B$9,0),MATCH(E15,가정!$C$6:$L$6,0))*(I15/SUMIF($E$5:$E$33,E15,$I$5:$I$33))</f>
        <v>1.9047619047619046E-2</v>
      </c>
      <c r="I15" s="86">
        <f>COUNTIF(WP_상세!$B$5:$B$500,B15)</f>
        <v>5</v>
      </c>
      <c r="J15" s="90">
        <f>IFERROR(ROUND(AVERAGEIF(WP_상세!$B$5:$B$500,B15,WP_상세!$L$5:$L$500)*100,1),0)</f>
        <v>85</v>
      </c>
      <c r="K15" s="97"/>
    </row>
    <row r="16" spans="1:11" ht="15" customHeight="1">
      <c r="A16" s="86">
        <v>12</v>
      </c>
      <c r="B16" s="86" t="s">
        <v>250</v>
      </c>
      <c r="C16" s="87" t="s">
        <v>251</v>
      </c>
      <c r="D16" s="86" t="s">
        <v>214</v>
      </c>
      <c r="E16" s="88" t="s">
        <v>244</v>
      </c>
      <c r="F16" s="86" t="s">
        <v>252</v>
      </c>
      <c r="G16" s="83"/>
      <c r="H16" s="89">
        <f>INDEX(가정!$C$7:$L$9,MATCH(가정!$C$4,가정!$B$7:$B$9,0),MATCH(E16,가정!$C$6:$L$6,0))*(I16/SUMIF($E$5:$E$33,E16,$I$5:$I$33))</f>
        <v>1.9047619047619046E-2</v>
      </c>
      <c r="I16" s="86">
        <f>COUNTIF(WP_상세!$B$5:$B$500,B16)</f>
        <v>5</v>
      </c>
      <c r="J16" s="90">
        <f>IFERROR(ROUND(AVERAGEIF(WP_상세!$B$5:$B$500,B16,WP_상세!$L$5:$L$500)*100,1),0)</f>
        <v>30</v>
      </c>
      <c r="K16" s="97"/>
    </row>
    <row r="17" spans="1:11" ht="15" customHeight="1">
      <c r="A17" s="86">
        <v>13</v>
      </c>
      <c r="B17" s="86" t="s">
        <v>253</v>
      </c>
      <c r="C17" s="97" t="s">
        <v>254</v>
      </c>
      <c r="D17" s="86" t="s">
        <v>214</v>
      </c>
      <c r="E17" s="88" t="s">
        <v>255</v>
      </c>
      <c r="F17" s="86" t="s">
        <v>245</v>
      </c>
      <c r="G17" s="83"/>
      <c r="H17" s="89">
        <f>INDEX(가정!$C$7:$L$9,MATCH(가정!$C$4,가정!$B$7:$B$9,0),MATCH(E17,가정!$C$6:$L$6,0))*(I17/SUMIF($E$5:$E$33,E17,$I$5:$I$33))</f>
        <v>3.2727272727272723E-2</v>
      </c>
      <c r="I17" s="86">
        <f>COUNTIF(WP_상세!$B$5:$B$500,B17)</f>
        <v>6</v>
      </c>
      <c r="J17" s="90">
        <f>IFERROR(ROUND(AVERAGEIF(WP_상세!$B$5:$B$500,B17,WP_상세!$L$5:$L$500)*100,1),0)</f>
        <v>75</v>
      </c>
      <c r="K17" s="97"/>
    </row>
    <row r="18" spans="1:11" ht="15" customHeight="1">
      <c r="A18" s="86">
        <v>14</v>
      </c>
      <c r="B18" s="86" t="s">
        <v>256</v>
      </c>
      <c r="C18" s="97" t="s">
        <v>257</v>
      </c>
      <c r="D18" s="86" t="s">
        <v>214</v>
      </c>
      <c r="E18" s="88" t="s">
        <v>255</v>
      </c>
      <c r="F18" s="86" t="s">
        <v>245</v>
      </c>
      <c r="G18" s="83"/>
      <c r="H18" s="89">
        <f>INDEX(가정!$C$7:$L$9,MATCH(가정!$C$4,가정!$B$7:$B$9,0),MATCH(E18,가정!$C$6:$L$6,0))*(I18/SUMIF($E$5:$E$33,E18,$I$5:$I$33))</f>
        <v>2.7272727272727271E-2</v>
      </c>
      <c r="I18" s="86">
        <f>COUNTIF(WP_상세!$B$5:$B$500,B18)</f>
        <v>5</v>
      </c>
      <c r="J18" s="90">
        <f>IFERROR(ROUND(AVERAGEIF(WP_상세!$B$5:$B$500,B18,WP_상세!$L$5:$L$500)*100,1),0)</f>
        <v>100</v>
      </c>
      <c r="K18" s="97"/>
    </row>
    <row r="19" spans="1:11" ht="39" customHeight="1">
      <c r="A19" s="86">
        <v>15</v>
      </c>
      <c r="B19" s="86" t="s">
        <v>258</v>
      </c>
      <c r="C19" s="97" t="s">
        <v>259</v>
      </c>
      <c r="D19" s="86" t="s">
        <v>214</v>
      </c>
      <c r="E19" s="86" t="s">
        <v>240</v>
      </c>
      <c r="F19" s="86" t="s">
        <v>260</v>
      </c>
      <c r="G19" s="83"/>
      <c r="H19" s="89">
        <f>INDEX(가정!$C$7:$L$9,MATCH(가정!$C$4,가정!$B$7:$B$9,0),MATCH(E19,가정!$C$6:$L$6,0))*(I19/SUMIF($E$5:$E$33,E19,$I$5:$I$33))</f>
        <v>2.6829268292682926E-2</v>
      </c>
      <c r="I19" s="86">
        <f>COUNTIF(WP_상세!$B$5:$B$500,B19)</f>
        <v>5</v>
      </c>
      <c r="J19" s="90">
        <f>IFERROR(ROUND(AVERAGEIF(WP_상세!$B$5:$B$500,B19,WP_상세!$L$5:$L$500)*100,1),0)</f>
        <v>65</v>
      </c>
      <c r="K19" s="87" t="s">
        <v>261</v>
      </c>
    </row>
    <row r="20" spans="1:11" ht="39" customHeight="1">
      <c r="A20" s="86">
        <v>16</v>
      </c>
      <c r="B20" s="86" t="s">
        <v>262</v>
      </c>
      <c r="C20" s="97" t="s">
        <v>263</v>
      </c>
      <c r="D20" s="86" t="s">
        <v>214</v>
      </c>
      <c r="E20" s="86" t="s">
        <v>264</v>
      </c>
      <c r="F20" s="86" t="s">
        <v>260</v>
      </c>
      <c r="G20" s="83"/>
      <c r="H20" s="89">
        <f>INDEX(가정!$C$7:$L$9,MATCH(가정!$C$4,가정!$B$7:$B$9,0),MATCH(E20,가정!$C$6:$L$6,0))*(I20/SUMIF($E$5:$E$33,E20,$I$5:$I$33))</f>
        <v>0.1</v>
      </c>
      <c r="I20" s="86">
        <f>COUNTIF(WP_상세!$B$5:$B$500,B20)</f>
        <v>5</v>
      </c>
      <c r="J20" s="90">
        <f>IFERROR(ROUND(AVERAGEIF(WP_상세!$B$5:$B$500,B20,WP_상세!$L$5:$L$500)*100,1),0)</f>
        <v>100</v>
      </c>
      <c r="K20" s="87" t="s">
        <v>265</v>
      </c>
    </row>
    <row r="21" spans="1:11" ht="39" customHeight="1">
      <c r="A21" s="86">
        <v>17</v>
      </c>
      <c r="B21" s="86" t="s">
        <v>266</v>
      </c>
      <c r="C21" s="97" t="s">
        <v>267</v>
      </c>
      <c r="D21" s="86" t="s">
        <v>214</v>
      </c>
      <c r="E21" s="86" t="s">
        <v>240</v>
      </c>
      <c r="F21" s="86" t="s">
        <v>260</v>
      </c>
      <c r="G21" s="83"/>
      <c r="H21" s="89">
        <f>INDEX(가정!$C$7:$L$9,MATCH(가정!$C$4,가정!$B$7:$B$9,0),MATCH(E21,가정!$C$6:$L$6,0))*(I21/SUMIF($E$5:$E$33,E21,$I$5:$I$33))</f>
        <v>2.6829268292682926E-2</v>
      </c>
      <c r="I21" s="86">
        <f>COUNTIF(WP_상세!$B$5:$B$500,B21)</f>
        <v>5</v>
      </c>
      <c r="J21" s="90">
        <f>IFERROR(ROUND(AVERAGEIF(WP_상세!$B$5:$B$500,B21,WP_상세!$L$5:$L$500)*100,1),0)</f>
        <v>65</v>
      </c>
      <c r="K21" s="87" t="s">
        <v>268</v>
      </c>
    </row>
    <row r="22" spans="1:11" ht="39" customHeight="1">
      <c r="A22" s="86">
        <v>18</v>
      </c>
      <c r="B22" s="86" t="s">
        <v>269</v>
      </c>
      <c r="C22" s="97" t="s">
        <v>270</v>
      </c>
      <c r="D22" s="86" t="s">
        <v>214</v>
      </c>
      <c r="E22" s="86" t="s">
        <v>264</v>
      </c>
      <c r="F22" s="86" t="s">
        <v>260</v>
      </c>
      <c r="G22" s="83"/>
      <c r="H22" s="89">
        <f>INDEX(가정!$C$7:$L$9,MATCH(가정!$C$4,가정!$B$7:$B$9,0),MATCH(E22,가정!$C$6:$L$6,0))*(I22/SUMIF($E$5:$E$33,E22,$I$5:$I$33))</f>
        <v>0.1</v>
      </c>
      <c r="I22" s="86">
        <f>COUNTIF(WP_상세!$B$5:$B$500,B22)</f>
        <v>5</v>
      </c>
      <c r="J22" s="90">
        <f>IFERROR(ROUND(AVERAGEIF(WP_상세!$B$5:$B$500,B22,WP_상세!$L$5:$L$500)*100,1),0)</f>
        <v>100</v>
      </c>
      <c r="K22" s="87" t="s">
        <v>271</v>
      </c>
    </row>
    <row r="23" spans="1:11" ht="15" customHeight="1">
      <c r="A23" s="86">
        <v>19</v>
      </c>
      <c r="B23" s="86" t="s">
        <v>272</v>
      </c>
      <c r="C23" s="97" t="s">
        <v>273</v>
      </c>
      <c r="D23" s="86" t="s">
        <v>214</v>
      </c>
      <c r="E23" s="88" t="s">
        <v>274</v>
      </c>
      <c r="F23" s="86" t="s">
        <v>236</v>
      </c>
      <c r="G23" s="83"/>
      <c r="H23" s="89">
        <f>INDEX(가정!$C$7:$L$9,MATCH(가정!$C$4,가정!$B$7:$B$9,0),MATCH(E23,가정!$C$6:$L$6,0))*(I23/SUMIF($E$5:$E$33,E23,$I$5:$I$33))</f>
        <v>0.06</v>
      </c>
      <c r="I23" s="86">
        <f>COUNTIF(WP_상세!$B$5:$B$500,B23)</f>
        <v>7</v>
      </c>
      <c r="J23" s="90">
        <f>IFERROR(ROUND(AVERAGEIF(WP_상세!$B$5:$B$500,B23,WP_상세!$L$5:$L$500)*100,1),0)</f>
        <v>85.7</v>
      </c>
      <c r="K23" s="97"/>
    </row>
    <row r="24" spans="1:11" ht="15" customHeight="1">
      <c r="A24" s="86">
        <v>20</v>
      </c>
      <c r="B24" s="86" t="s">
        <v>275</v>
      </c>
      <c r="C24" s="97" t="s">
        <v>276</v>
      </c>
      <c r="D24" s="86" t="s">
        <v>214</v>
      </c>
      <c r="E24" s="88" t="s">
        <v>277</v>
      </c>
      <c r="F24" s="86" t="s">
        <v>252</v>
      </c>
      <c r="G24" s="83"/>
      <c r="H24" s="89">
        <f>INDEX(가정!$C$7:$L$9,MATCH(가정!$C$4,가정!$B$7:$B$9,0),MATCH(E24,가정!$C$6:$L$6,0))*(I24/SUMIF($E$5:$E$33,E24,$I$5:$I$33))</f>
        <v>0.01</v>
      </c>
      <c r="I24" s="86">
        <f>COUNTIF(WP_상세!$B$5:$B$500,B24)</f>
        <v>5</v>
      </c>
      <c r="J24" s="90">
        <f>IFERROR(ROUND(AVERAGEIF(WP_상세!$B$5:$B$500,B24,WP_상세!$L$5:$L$500)*100,1),0)</f>
        <v>30</v>
      </c>
      <c r="K24" s="97"/>
    </row>
    <row r="25" spans="1:11" ht="15" customHeight="1">
      <c r="A25" s="86">
        <v>21</v>
      </c>
      <c r="B25" s="86" t="s">
        <v>278</v>
      </c>
      <c r="C25" s="87" t="s">
        <v>279</v>
      </c>
      <c r="D25" s="86" t="s">
        <v>214</v>
      </c>
      <c r="E25" s="88" t="s">
        <v>277</v>
      </c>
      <c r="F25" s="86" t="s">
        <v>280</v>
      </c>
      <c r="G25" s="83"/>
      <c r="H25" s="89">
        <f>INDEX(가정!$C$7:$L$9,MATCH(가정!$C$4,가정!$B$7:$B$9,0),MATCH(E25,가정!$C$6:$L$6,0))*(I25/SUMIF($E$5:$E$33,E25,$I$5:$I$33))</f>
        <v>0.01</v>
      </c>
      <c r="I25" s="86">
        <f>COUNTIF(WP_상세!$B$5:$B$500,B25)</f>
        <v>5</v>
      </c>
      <c r="J25" s="90">
        <f>IFERROR(ROUND(AVERAGEIF(WP_상세!$B$5:$B$500,B25,WP_상세!$L$5:$L$500)*100,1),0)</f>
        <v>0</v>
      </c>
      <c r="K25" s="97"/>
    </row>
    <row r="26" spans="1:11" ht="25.5" customHeight="1">
      <c r="A26" s="86">
        <v>22</v>
      </c>
      <c r="B26" s="86" t="s">
        <v>281</v>
      </c>
      <c r="C26" s="97" t="s">
        <v>282</v>
      </c>
      <c r="D26" s="86" t="s">
        <v>214</v>
      </c>
      <c r="E26" s="86" t="s">
        <v>240</v>
      </c>
      <c r="F26" s="86" t="s">
        <v>245</v>
      </c>
      <c r="G26" s="83"/>
      <c r="H26" s="89">
        <f>INDEX(가정!$C$7:$L$9,MATCH(가정!$C$4,가정!$B$7:$B$9,0),MATCH(E26,가정!$C$6:$L$6,0))*(I26/SUMIF($E$5:$E$33,E26,$I$5:$I$33))</f>
        <v>3.2195121951219513E-2</v>
      </c>
      <c r="I26" s="86">
        <f>COUNTIF(WP_상세!$B$5:$B$500,B26)</f>
        <v>6</v>
      </c>
      <c r="J26" s="90">
        <f>IFERROR(ROUND(AVERAGEIF(WP_상세!$B$5:$B$500,B26,WP_상세!$L$5:$L$500)*100,1),0)</f>
        <v>100</v>
      </c>
      <c r="K26" s="97" t="s">
        <v>283</v>
      </c>
    </row>
    <row r="27" spans="1:11" ht="25.5" customHeight="1">
      <c r="A27" s="86">
        <v>23</v>
      </c>
      <c r="B27" s="86" t="s">
        <v>284</v>
      </c>
      <c r="C27" s="97" t="s">
        <v>285</v>
      </c>
      <c r="D27" s="86" t="s">
        <v>214</v>
      </c>
      <c r="E27" s="86" t="s">
        <v>240</v>
      </c>
      <c r="F27" s="86" t="s">
        <v>245</v>
      </c>
      <c r="G27" s="83"/>
      <c r="H27" s="89">
        <f>INDEX(가정!$C$7:$L$9,MATCH(가정!$C$4,가정!$B$7:$B$9,0),MATCH(E27,가정!$C$6:$L$6,0))*(I27/SUMIF($E$5:$E$33,E27,$I$5:$I$33))</f>
        <v>3.7560975609756103E-2</v>
      </c>
      <c r="I27" s="86">
        <f>COUNTIF(WP_상세!$B$5:$B$500,B27)</f>
        <v>7</v>
      </c>
      <c r="J27" s="90">
        <f>IFERROR(ROUND(AVERAGEIF(WP_상세!$B$5:$B$500,B27,WP_상세!$L$5:$L$500)*100,1),0)</f>
        <v>100</v>
      </c>
      <c r="K27" s="97" t="s">
        <v>283</v>
      </c>
    </row>
    <row r="28" spans="1:11" ht="25.5" customHeight="1">
      <c r="A28" s="86">
        <v>24</v>
      </c>
      <c r="B28" s="86" t="s">
        <v>286</v>
      </c>
      <c r="C28" s="97" t="s">
        <v>287</v>
      </c>
      <c r="D28" s="86" t="s">
        <v>214</v>
      </c>
      <c r="E28" s="86" t="s">
        <v>240</v>
      </c>
      <c r="F28" s="86" t="s">
        <v>236</v>
      </c>
      <c r="G28" s="83"/>
      <c r="H28" s="89">
        <f>INDEX(가정!$C$7:$L$9,MATCH(가정!$C$4,가정!$B$7:$B$9,0),MATCH(E28,가정!$C$6:$L$6,0))*(I28/SUMIF($E$5:$E$33,E28,$I$5:$I$33))</f>
        <v>2.6829268292682926E-2</v>
      </c>
      <c r="I28" s="86">
        <f>COUNTIF(WP_상세!$B$5:$B$500,B28)</f>
        <v>5</v>
      </c>
      <c r="J28" s="90">
        <f>IFERROR(ROUND(AVERAGEIF(WP_상세!$B$5:$B$500,B28,WP_상세!$L$5:$L$500)*100,1),0)</f>
        <v>85</v>
      </c>
      <c r="K28" s="97" t="s">
        <v>283</v>
      </c>
    </row>
    <row r="29" spans="1:11" ht="25.5" customHeight="1">
      <c r="A29" s="86">
        <v>25</v>
      </c>
      <c r="B29" s="86" t="s">
        <v>288</v>
      </c>
      <c r="C29" s="97" t="s">
        <v>289</v>
      </c>
      <c r="D29" s="86" t="s">
        <v>214</v>
      </c>
      <c r="E29" s="86" t="s">
        <v>240</v>
      </c>
      <c r="F29" s="86" t="s">
        <v>252</v>
      </c>
      <c r="G29" s="83"/>
      <c r="H29" s="89">
        <f>INDEX(가정!$C$7:$L$9,MATCH(가정!$C$4,가정!$B$7:$B$9,0),MATCH(E29,가정!$C$6:$L$6,0))*(I29/SUMIF($E$5:$E$33,E29,$I$5:$I$33))</f>
        <v>3.7560975609756103E-2</v>
      </c>
      <c r="I29" s="86">
        <f>COUNTIF(WP_상세!$B$5:$B$500,B29)</f>
        <v>7</v>
      </c>
      <c r="J29" s="90">
        <f>IFERROR(ROUND(AVERAGEIF(WP_상세!$B$5:$B$500,B29,WP_상세!$L$5:$L$500)*100,1),0)</f>
        <v>32.1</v>
      </c>
      <c r="K29" s="97" t="s">
        <v>283</v>
      </c>
    </row>
    <row r="30" spans="1:11" ht="25.5" customHeight="1">
      <c r="A30" s="86">
        <v>26</v>
      </c>
      <c r="B30" s="86" t="s">
        <v>290</v>
      </c>
      <c r="C30" s="97" t="s">
        <v>291</v>
      </c>
      <c r="D30" s="86" t="s">
        <v>214</v>
      </c>
      <c r="E30" s="86" t="s">
        <v>292</v>
      </c>
      <c r="F30" s="86" t="s">
        <v>245</v>
      </c>
      <c r="G30" s="83"/>
      <c r="H30" s="89">
        <f>INDEX(가정!$C$7:$L$9,MATCH(가정!$C$4,가정!$B$7:$B$9,0),MATCH(E30,가정!$C$6:$L$6,0))*(I30/SUMIF($E$5:$E$33,E30,$I$5:$I$33))</f>
        <v>1.4999999999999999E-2</v>
      </c>
      <c r="I30" s="86">
        <f>COUNTIF(WP_상세!$B$5:$B$500,B30)</f>
        <v>6</v>
      </c>
      <c r="J30" s="90">
        <f>IFERROR(ROUND(AVERAGEIF(WP_상세!$B$5:$B$500,B30,WP_상세!$L$5:$L$500)*100,1),0)</f>
        <v>100</v>
      </c>
      <c r="K30" s="97" t="s">
        <v>293</v>
      </c>
    </row>
    <row r="31" spans="1:11" ht="25.5" customHeight="1">
      <c r="A31" s="86">
        <v>27</v>
      </c>
      <c r="B31" s="86" t="s">
        <v>294</v>
      </c>
      <c r="C31" s="97" t="s">
        <v>295</v>
      </c>
      <c r="D31" s="86" t="s">
        <v>214</v>
      </c>
      <c r="E31" s="86" t="s">
        <v>292</v>
      </c>
      <c r="F31" s="86" t="s">
        <v>245</v>
      </c>
      <c r="G31" s="83"/>
      <c r="H31" s="89">
        <f>INDEX(가정!$C$7:$L$9,MATCH(가정!$C$4,가정!$B$7:$B$9,0),MATCH(E31,가정!$C$6:$L$6,0))*(I31/SUMIF($E$5:$E$33,E31,$I$5:$I$33))</f>
        <v>1.4999999999999999E-2</v>
      </c>
      <c r="I31" s="86">
        <f>COUNTIF(WP_상세!$B$5:$B$500,B31)</f>
        <v>6</v>
      </c>
      <c r="J31" s="90">
        <f>IFERROR(ROUND(AVERAGEIF(WP_상세!$B$5:$B$500,B31,WP_상세!$L$5:$L$500)*100,1),0)</f>
        <v>100</v>
      </c>
      <c r="K31" s="97" t="s">
        <v>293</v>
      </c>
    </row>
    <row r="32" spans="1:11" ht="25.5" customHeight="1">
      <c r="A32" s="86">
        <v>28</v>
      </c>
      <c r="B32" s="86" t="s">
        <v>296</v>
      </c>
      <c r="C32" s="97" t="s">
        <v>297</v>
      </c>
      <c r="D32" s="86" t="s">
        <v>214</v>
      </c>
      <c r="E32" s="86" t="s">
        <v>292</v>
      </c>
      <c r="F32" s="86" t="s">
        <v>236</v>
      </c>
      <c r="G32" s="83"/>
      <c r="H32" s="89">
        <f>INDEX(가정!$C$7:$L$9,MATCH(가정!$C$4,가정!$B$7:$B$9,0),MATCH(E32,가정!$C$6:$L$6,0))*(I32/SUMIF($E$5:$E$33,E32,$I$5:$I$33))</f>
        <v>1.4999999999999999E-2</v>
      </c>
      <c r="I32" s="86">
        <f>COUNTIF(WP_상세!$B$5:$B$500,B32)</f>
        <v>6</v>
      </c>
      <c r="J32" s="90">
        <f>IFERROR(ROUND(AVERAGEIF(WP_상세!$B$5:$B$500,B32,WP_상세!$L$5:$L$500)*100,1),0)</f>
        <v>90</v>
      </c>
      <c r="K32" s="97" t="s">
        <v>293</v>
      </c>
    </row>
    <row r="33" spans="1:11" ht="25.5" customHeight="1">
      <c r="A33" s="86">
        <v>29</v>
      </c>
      <c r="B33" s="86" t="s">
        <v>298</v>
      </c>
      <c r="C33" s="97" t="s">
        <v>299</v>
      </c>
      <c r="D33" s="86" t="s">
        <v>214</v>
      </c>
      <c r="E33" s="86" t="s">
        <v>292</v>
      </c>
      <c r="F33" s="86" t="s">
        <v>252</v>
      </c>
      <c r="G33" s="83"/>
      <c r="H33" s="89">
        <f>INDEX(가정!$C$7:$L$9,MATCH(가정!$C$4,가정!$B$7:$B$9,0),MATCH(E33,가정!$C$6:$L$6,0))*(I33/SUMIF($E$5:$E$33,E33,$I$5:$I$33))</f>
        <v>1.4999999999999999E-2</v>
      </c>
      <c r="I33" s="86">
        <f>COUNTIF(WP_상세!$B$5:$B$500,B33)</f>
        <v>6</v>
      </c>
      <c r="J33" s="90">
        <f>IFERROR(ROUND(AVERAGEIF(WP_상세!$B$5:$B$500,B33,WP_상세!$L$5:$L$500)*100,1),0)</f>
        <v>42.5</v>
      </c>
      <c r="K33" s="97" t="s">
        <v>293</v>
      </c>
    </row>
    <row r="34" spans="1:11" ht="14.25" customHeight="1">
      <c r="A34" s="23"/>
      <c r="B34" s="23"/>
      <c r="C34" s="23"/>
      <c r="D34" s="23"/>
      <c r="E34" s="23"/>
      <c r="F34" s="23"/>
      <c r="G34" s="23"/>
      <c r="H34" s="23"/>
      <c r="I34" s="23"/>
      <c r="J34" s="23"/>
      <c r="K34" s="23"/>
    </row>
    <row r="35" spans="1:11" ht="16.5" customHeight="1">
      <c r="A35" s="23"/>
      <c r="B35" s="23"/>
      <c r="C35" s="23"/>
      <c r="D35" s="23"/>
      <c r="E35" s="23"/>
      <c r="F35" s="23"/>
      <c r="G35" s="98" t="s">
        <v>300</v>
      </c>
      <c r="H35" s="99">
        <f>SUM(H5:H33)</f>
        <v>1.0000000000000002</v>
      </c>
      <c r="I35" s="23"/>
      <c r="J35" s="23"/>
      <c r="K35" s="23"/>
    </row>
  </sheetData>
  <phoneticPr fontId="50"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4:O179"/>
  <sheetViews>
    <sheetView zoomScaleNormal="100" workbookViewId="0">
      <pane ySplit="4" topLeftCell="A5" activePane="bottomLeft" state="frozen"/>
      <selection pane="bottomLeft"/>
    </sheetView>
  </sheetViews>
  <sheetFormatPr defaultColWidth="8.6328125" defaultRowHeight="14.5"/>
  <cols>
    <col min="1" max="1" width="5" style="42" customWidth="1"/>
    <col min="2" max="2" width="10" style="42" customWidth="1"/>
    <col min="3" max="3" width="20" style="42" customWidth="1"/>
    <col min="4" max="4" width="8" style="42" customWidth="1"/>
    <col min="5" max="5" width="6" style="42" customWidth="1"/>
    <col min="6" max="6" width="42" style="42" customWidth="1"/>
    <col min="7" max="8" width="12" style="42" customWidth="1"/>
    <col min="9" max="9" width="10" style="42" customWidth="1"/>
    <col min="10" max="10" width="12" style="42" customWidth="1"/>
    <col min="11" max="11" width="30" style="42" customWidth="1"/>
    <col min="12" max="13" width="10" style="42" customWidth="1"/>
    <col min="14" max="14" width="26" style="42" customWidth="1"/>
    <col min="15" max="15" width="18" style="42" customWidth="1"/>
  </cols>
  <sheetData>
    <row r="4" spans="1:15" ht="25.5" customHeight="1">
      <c r="A4" s="71" t="s">
        <v>34</v>
      </c>
      <c r="B4" s="71" t="s">
        <v>301</v>
      </c>
      <c r="C4" s="71" t="s">
        <v>186</v>
      </c>
      <c r="D4" s="71" t="s">
        <v>302</v>
      </c>
      <c r="E4" s="71" t="s">
        <v>303</v>
      </c>
      <c r="F4" s="71" t="s">
        <v>304</v>
      </c>
      <c r="G4" s="64" t="s">
        <v>305</v>
      </c>
      <c r="H4" s="64" t="s">
        <v>306</v>
      </c>
      <c r="I4" s="64" t="s">
        <v>307</v>
      </c>
      <c r="J4" s="64" t="s">
        <v>308</v>
      </c>
      <c r="K4" s="64" t="s">
        <v>309</v>
      </c>
      <c r="L4" s="64" t="s">
        <v>310</v>
      </c>
      <c r="M4" s="64" t="s">
        <v>311</v>
      </c>
      <c r="N4" s="64" t="s">
        <v>312</v>
      </c>
      <c r="O4" s="64" t="s">
        <v>313</v>
      </c>
    </row>
    <row r="5" spans="1:15" ht="14.25" customHeight="1">
      <c r="A5" s="100">
        <v>1</v>
      </c>
      <c r="B5" s="101" t="s">
        <v>206</v>
      </c>
      <c r="C5" s="102" t="s">
        <v>207</v>
      </c>
      <c r="D5" s="101"/>
      <c r="E5" s="101">
        <v>1</v>
      </c>
      <c r="F5" s="103" t="s">
        <v>314</v>
      </c>
      <c r="G5" s="100" t="s">
        <v>245</v>
      </c>
      <c r="H5" s="101" t="s">
        <v>214</v>
      </c>
      <c r="I5" s="101" t="s">
        <v>315</v>
      </c>
      <c r="J5" s="104">
        <v>1</v>
      </c>
      <c r="K5" s="102" t="s">
        <v>316</v>
      </c>
      <c r="L5" s="105">
        <v>1</v>
      </c>
      <c r="M5" s="106" t="s">
        <v>317</v>
      </c>
      <c r="N5" s="100"/>
      <c r="O5" s="107"/>
    </row>
    <row r="6" spans="1:15" ht="14.25" customHeight="1">
      <c r="A6" s="100">
        <v>2</v>
      </c>
      <c r="B6" s="101" t="s">
        <v>206</v>
      </c>
      <c r="C6" s="102" t="s">
        <v>207</v>
      </c>
      <c r="D6" s="101"/>
      <c r="E6" s="101">
        <v>2</v>
      </c>
      <c r="F6" s="103" t="s">
        <v>318</v>
      </c>
      <c r="G6" s="100" t="s">
        <v>260</v>
      </c>
      <c r="H6" s="101" t="s">
        <v>214</v>
      </c>
      <c r="I6" s="101" t="s">
        <v>315</v>
      </c>
      <c r="J6" s="104">
        <v>1</v>
      </c>
      <c r="K6" s="102" t="s">
        <v>319</v>
      </c>
      <c r="L6" s="105">
        <v>1</v>
      </c>
      <c r="M6" s="106" t="s">
        <v>317</v>
      </c>
      <c r="N6" s="100"/>
      <c r="O6" s="107"/>
    </row>
    <row r="7" spans="1:15" ht="14.25" customHeight="1">
      <c r="A7" s="108">
        <v>3</v>
      </c>
      <c r="B7" s="109" t="s">
        <v>206</v>
      </c>
      <c r="C7" s="110" t="s">
        <v>207</v>
      </c>
      <c r="D7" s="109"/>
      <c r="E7" s="109">
        <v>3</v>
      </c>
      <c r="F7" s="111" t="s">
        <v>320</v>
      </c>
      <c r="G7" s="108" t="s">
        <v>260</v>
      </c>
      <c r="H7" s="109" t="s">
        <v>125</v>
      </c>
      <c r="I7" s="109"/>
      <c r="J7" s="109"/>
      <c r="K7" s="110" t="s">
        <v>321</v>
      </c>
      <c r="L7" s="105">
        <v>1</v>
      </c>
      <c r="M7" s="106" t="s">
        <v>317</v>
      </c>
      <c r="N7" s="110" t="s">
        <v>322</v>
      </c>
      <c r="O7" s="107"/>
    </row>
    <row r="8" spans="1:15" ht="14.25" customHeight="1">
      <c r="A8" s="108">
        <v>4</v>
      </c>
      <c r="B8" s="109" t="s">
        <v>206</v>
      </c>
      <c r="C8" s="110" t="s">
        <v>207</v>
      </c>
      <c r="D8" s="109"/>
      <c r="E8" s="109">
        <v>4</v>
      </c>
      <c r="F8" s="111" t="s">
        <v>323</v>
      </c>
      <c r="G8" s="108" t="s">
        <v>260</v>
      </c>
      <c r="H8" s="109" t="s">
        <v>125</v>
      </c>
      <c r="I8" s="109"/>
      <c r="J8" s="109"/>
      <c r="K8" s="110" t="s">
        <v>324</v>
      </c>
      <c r="L8" s="105">
        <v>1</v>
      </c>
      <c r="M8" s="106" t="s">
        <v>317</v>
      </c>
      <c r="N8" s="108"/>
      <c r="O8" s="107"/>
    </row>
    <row r="9" spans="1:15" ht="14.25" customHeight="1">
      <c r="A9" s="108">
        <v>5</v>
      </c>
      <c r="B9" s="109" t="s">
        <v>206</v>
      </c>
      <c r="C9" s="110" t="s">
        <v>207</v>
      </c>
      <c r="D9" s="109"/>
      <c r="E9" s="109">
        <v>5</v>
      </c>
      <c r="F9" s="111" t="s">
        <v>325</v>
      </c>
      <c r="G9" s="108" t="s">
        <v>326</v>
      </c>
      <c r="H9" s="109" t="s">
        <v>125</v>
      </c>
      <c r="I9" s="109"/>
      <c r="J9" s="109"/>
      <c r="K9" s="110" t="s">
        <v>327</v>
      </c>
      <c r="L9" s="105">
        <v>0.75</v>
      </c>
      <c r="M9" s="106" t="s">
        <v>328</v>
      </c>
      <c r="N9" s="110" t="s">
        <v>322</v>
      </c>
      <c r="O9" s="107"/>
    </row>
    <row r="10" spans="1:15" ht="14.25" customHeight="1">
      <c r="A10" s="100">
        <v>6</v>
      </c>
      <c r="B10" s="101" t="s">
        <v>212</v>
      </c>
      <c r="C10" s="102" t="s">
        <v>213</v>
      </c>
      <c r="D10" s="101"/>
      <c r="E10" s="101">
        <v>1</v>
      </c>
      <c r="F10" s="103" t="s">
        <v>329</v>
      </c>
      <c r="G10" s="102" t="s">
        <v>330</v>
      </c>
      <c r="H10" s="101" t="s">
        <v>214</v>
      </c>
      <c r="I10" s="101"/>
      <c r="J10" s="101"/>
      <c r="K10" s="102" t="s">
        <v>331</v>
      </c>
      <c r="L10" s="105">
        <v>1</v>
      </c>
      <c r="M10" s="106" t="s">
        <v>317</v>
      </c>
      <c r="N10" s="100"/>
      <c r="O10" s="107"/>
    </row>
    <row r="11" spans="1:15" ht="14.25" customHeight="1">
      <c r="A11" s="100">
        <v>7</v>
      </c>
      <c r="B11" s="101" t="s">
        <v>212</v>
      </c>
      <c r="C11" s="102" t="s">
        <v>213</v>
      </c>
      <c r="D11" s="101"/>
      <c r="E11" s="101">
        <v>2</v>
      </c>
      <c r="F11" s="103" t="s">
        <v>332</v>
      </c>
      <c r="G11" s="102" t="s">
        <v>330</v>
      </c>
      <c r="H11" s="101" t="s">
        <v>214</v>
      </c>
      <c r="I11" s="101"/>
      <c r="J11" s="101"/>
      <c r="K11" s="102" t="s">
        <v>333</v>
      </c>
      <c r="L11" s="105">
        <v>1</v>
      </c>
      <c r="M11" s="106" t="s">
        <v>317</v>
      </c>
      <c r="N11" s="100"/>
      <c r="O11" s="107"/>
    </row>
    <row r="12" spans="1:15" ht="22.5" customHeight="1">
      <c r="A12" s="100">
        <v>8</v>
      </c>
      <c r="B12" s="101" t="s">
        <v>212</v>
      </c>
      <c r="C12" s="102" t="s">
        <v>213</v>
      </c>
      <c r="D12" s="101"/>
      <c r="E12" s="101">
        <v>3</v>
      </c>
      <c r="F12" s="103" t="s">
        <v>334</v>
      </c>
      <c r="G12" s="102" t="s">
        <v>330</v>
      </c>
      <c r="H12" s="101" t="s">
        <v>214</v>
      </c>
      <c r="I12" s="101"/>
      <c r="J12" s="101"/>
      <c r="K12" s="102" t="s">
        <v>335</v>
      </c>
      <c r="L12" s="105">
        <v>1</v>
      </c>
      <c r="M12" s="106" t="s">
        <v>317</v>
      </c>
      <c r="N12" s="100"/>
      <c r="O12" s="107"/>
    </row>
    <row r="13" spans="1:15" ht="22.5" customHeight="1">
      <c r="A13" s="100">
        <v>9</v>
      </c>
      <c r="B13" s="101" t="s">
        <v>212</v>
      </c>
      <c r="C13" s="102" t="s">
        <v>213</v>
      </c>
      <c r="D13" s="101"/>
      <c r="E13" s="101">
        <v>4</v>
      </c>
      <c r="F13" s="103" t="s">
        <v>336</v>
      </c>
      <c r="G13" s="102" t="s">
        <v>330</v>
      </c>
      <c r="H13" s="101" t="s">
        <v>214</v>
      </c>
      <c r="I13" s="101"/>
      <c r="J13" s="101"/>
      <c r="K13" s="102" t="s">
        <v>337</v>
      </c>
      <c r="L13" s="105">
        <v>1</v>
      </c>
      <c r="M13" s="106" t="s">
        <v>317</v>
      </c>
      <c r="N13" s="100"/>
      <c r="O13" s="107"/>
    </row>
    <row r="14" spans="1:15" ht="14.25" customHeight="1">
      <c r="A14" s="100">
        <v>10</v>
      </c>
      <c r="B14" s="101" t="s">
        <v>212</v>
      </c>
      <c r="C14" s="102" t="s">
        <v>213</v>
      </c>
      <c r="D14" s="101"/>
      <c r="E14" s="101">
        <v>5</v>
      </c>
      <c r="F14" s="103" t="s">
        <v>338</v>
      </c>
      <c r="G14" s="102" t="s">
        <v>330</v>
      </c>
      <c r="H14" s="101" t="s">
        <v>214</v>
      </c>
      <c r="I14" s="101"/>
      <c r="J14" s="101"/>
      <c r="K14" s="102" t="s">
        <v>339</v>
      </c>
      <c r="L14" s="105">
        <v>0.4</v>
      </c>
      <c r="M14" s="106" t="s">
        <v>340</v>
      </c>
      <c r="N14" s="100"/>
      <c r="O14" s="107"/>
    </row>
    <row r="15" spans="1:15" ht="14.25" customHeight="1">
      <c r="A15" s="100">
        <v>11</v>
      </c>
      <c r="B15" s="101" t="s">
        <v>212</v>
      </c>
      <c r="C15" s="102" t="s">
        <v>213</v>
      </c>
      <c r="D15" s="101"/>
      <c r="E15" s="101">
        <v>6</v>
      </c>
      <c r="F15" s="103" t="s">
        <v>341</v>
      </c>
      <c r="G15" s="102" t="s">
        <v>330</v>
      </c>
      <c r="H15" s="101" t="s">
        <v>214</v>
      </c>
      <c r="I15" s="101"/>
      <c r="J15" s="101"/>
      <c r="K15" s="102" t="s">
        <v>342</v>
      </c>
      <c r="L15" s="105">
        <v>0.4</v>
      </c>
      <c r="M15" s="106" t="s">
        <v>340</v>
      </c>
      <c r="N15" s="100"/>
      <c r="O15" s="107"/>
    </row>
    <row r="16" spans="1:15" ht="22.5" customHeight="1">
      <c r="A16" s="100">
        <v>12</v>
      </c>
      <c r="B16" s="101" t="s">
        <v>212</v>
      </c>
      <c r="C16" s="102" t="s">
        <v>213</v>
      </c>
      <c r="D16" s="101"/>
      <c r="E16" s="101">
        <v>7</v>
      </c>
      <c r="F16" s="103" t="s">
        <v>343</v>
      </c>
      <c r="G16" s="102" t="s">
        <v>330</v>
      </c>
      <c r="H16" s="101" t="s">
        <v>214</v>
      </c>
      <c r="I16" s="101"/>
      <c r="J16" s="101"/>
      <c r="K16" s="102" t="s">
        <v>344</v>
      </c>
      <c r="L16" s="105">
        <v>0.4</v>
      </c>
      <c r="M16" s="106" t="s">
        <v>340</v>
      </c>
      <c r="N16" s="100"/>
      <c r="O16" s="107"/>
    </row>
    <row r="17" spans="1:15" ht="14.25" customHeight="1">
      <c r="A17" s="100">
        <v>13</v>
      </c>
      <c r="B17" s="101" t="s">
        <v>212</v>
      </c>
      <c r="C17" s="102" t="s">
        <v>213</v>
      </c>
      <c r="D17" s="101"/>
      <c r="E17" s="101">
        <v>8</v>
      </c>
      <c r="F17" s="103" t="s">
        <v>345</v>
      </c>
      <c r="G17" s="102" t="s">
        <v>330</v>
      </c>
      <c r="H17" s="101" t="s">
        <v>214</v>
      </c>
      <c r="I17" s="101"/>
      <c r="J17" s="101"/>
      <c r="K17" s="102" t="s">
        <v>346</v>
      </c>
      <c r="L17" s="105">
        <v>0.4</v>
      </c>
      <c r="M17" s="106" t="s">
        <v>340</v>
      </c>
      <c r="N17" s="100"/>
      <c r="O17" s="107"/>
    </row>
    <row r="18" spans="1:15" ht="22.5" customHeight="1">
      <c r="A18" s="100">
        <v>14</v>
      </c>
      <c r="B18" s="101" t="s">
        <v>218</v>
      </c>
      <c r="C18" s="102" t="s">
        <v>219</v>
      </c>
      <c r="D18" s="101"/>
      <c r="E18" s="101">
        <v>1</v>
      </c>
      <c r="F18" s="103" t="s">
        <v>347</v>
      </c>
      <c r="G18" s="100" t="s">
        <v>245</v>
      </c>
      <c r="H18" s="101" t="s">
        <v>214</v>
      </c>
      <c r="I18" s="101" t="s">
        <v>348</v>
      </c>
      <c r="J18" s="104">
        <v>0.4</v>
      </c>
      <c r="K18" s="102" t="s">
        <v>316</v>
      </c>
      <c r="L18" s="105">
        <v>1</v>
      </c>
      <c r="M18" s="106" t="s">
        <v>317</v>
      </c>
      <c r="N18" s="100"/>
      <c r="O18" s="107"/>
    </row>
    <row r="19" spans="1:15" ht="22.5" customHeight="1">
      <c r="A19" s="100">
        <v>15</v>
      </c>
      <c r="B19" s="101" t="s">
        <v>218</v>
      </c>
      <c r="C19" s="102" t="s">
        <v>219</v>
      </c>
      <c r="D19" s="101"/>
      <c r="E19" s="101">
        <v>2</v>
      </c>
      <c r="F19" s="103" t="s">
        <v>349</v>
      </c>
      <c r="G19" s="100" t="s">
        <v>245</v>
      </c>
      <c r="H19" s="101" t="s">
        <v>214</v>
      </c>
      <c r="I19" s="101" t="s">
        <v>348</v>
      </c>
      <c r="J19" s="104">
        <v>0.4</v>
      </c>
      <c r="K19" s="102" t="s">
        <v>350</v>
      </c>
      <c r="L19" s="105">
        <v>1</v>
      </c>
      <c r="M19" s="106" t="s">
        <v>317</v>
      </c>
      <c r="N19" s="100"/>
      <c r="O19" s="107"/>
    </row>
    <row r="20" spans="1:15" ht="14.25" customHeight="1">
      <c r="A20" s="100">
        <v>16</v>
      </c>
      <c r="B20" s="101" t="s">
        <v>218</v>
      </c>
      <c r="C20" s="102" t="s">
        <v>219</v>
      </c>
      <c r="D20" s="101"/>
      <c r="E20" s="101">
        <v>3</v>
      </c>
      <c r="F20" s="103" t="s">
        <v>351</v>
      </c>
      <c r="G20" s="100" t="s">
        <v>245</v>
      </c>
      <c r="H20" s="101" t="s">
        <v>214</v>
      </c>
      <c r="I20" s="101" t="s">
        <v>315</v>
      </c>
      <c r="J20" s="104">
        <v>1</v>
      </c>
      <c r="K20" s="102" t="s">
        <v>352</v>
      </c>
      <c r="L20" s="105">
        <v>1</v>
      </c>
      <c r="M20" s="106" t="s">
        <v>317</v>
      </c>
      <c r="N20" s="100"/>
      <c r="O20" s="107"/>
    </row>
    <row r="21" spans="1:15" ht="22.5" customHeight="1">
      <c r="A21" s="100">
        <v>17</v>
      </c>
      <c r="B21" s="101" t="s">
        <v>218</v>
      </c>
      <c r="C21" s="102" t="s">
        <v>219</v>
      </c>
      <c r="D21" s="101"/>
      <c r="E21" s="101">
        <v>4</v>
      </c>
      <c r="F21" s="103" t="s">
        <v>353</v>
      </c>
      <c r="G21" s="100" t="s">
        <v>245</v>
      </c>
      <c r="H21" s="101" t="s">
        <v>214</v>
      </c>
      <c r="I21" s="101" t="s">
        <v>348</v>
      </c>
      <c r="J21" s="104">
        <v>0.4</v>
      </c>
      <c r="K21" s="102" t="s">
        <v>354</v>
      </c>
      <c r="L21" s="105">
        <v>1</v>
      </c>
      <c r="M21" s="106" t="s">
        <v>317</v>
      </c>
      <c r="N21" s="100"/>
      <c r="O21" s="107"/>
    </row>
    <row r="22" spans="1:15" ht="22.5" customHeight="1">
      <c r="A22" s="100">
        <v>18</v>
      </c>
      <c r="B22" s="101" t="s">
        <v>218</v>
      </c>
      <c r="C22" s="102" t="s">
        <v>219</v>
      </c>
      <c r="D22" s="101"/>
      <c r="E22" s="101">
        <v>5</v>
      </c>
      <c r="F22" s="103" t="s">
        <v>355</v>
      </c>
      <c r="G22" s="100" t="s">
        <v>245</v>
      </c>
      <c r="H22" s="101" t="s">
        <v>214</v>
      </c>
      <c r="I22" s="101" t="s">
        <v>348</v>
      </c>
      <c r="J22" s="104">
        <v>0.4</v>
      </c>
      <c r="K22" s="102" t="s">
        <v>356</v>
      </c>
      <c r="L22" s="105">
        <v>1</v>
      </c>
      <c r="M22" s="106" t="s">
        <v>317</v>
      </c>
      <c r="N22" s="100"/>
      <c r="O22" s="107"/>
    </row>
    <row r="23" spans="1:15" ht="22.5" customHeight="1">
      <c r="A23" s="100">
        <v>19</v>
      </c>
      <c r="B23" s="101" t="s">
        <v>218</v>
      </c>
      <c r="C23" s="102" t="s">
        <v>219</v>
      </c>
      <c r="D23" s="101"/>
      <c r="E23" s="101">
        <v>6</v>
      </c>
      <c r="F23" s="103" t="s">
        <v>357</v>
      </c>
      <c r="G23" s="100" t="s">
        <v>245</v>
      </c>
      <c r="H23" s="101" t="s">
        <v>214</v>
      </c>
      <c r="I23" s="101" t="s">
        <v>348</v>
      </c>
      <c r="J23" s="104">
        <v>0.4</v>
      </c>
      <c r="K23" s="102" t="s">
        <v>358</v>
      </c>
      <c r="L23" s="105">
        <v>1</v>
      </c>
      <c r="M23" s="106" t="s">
        <v>317</v>
      </c>
      <c r="N23" s="100"/>
      <c r="O23" s="107"/>
    </row>
    <row r="24" spans="1:15" ht="22.5" customHeight="1">
      <c r="A24" s="100">
        <v>20</v>
      </c>
      <c r="B24" s="101" t="s">
        <v>218</v>
      </c>
      <c r="C24" s="102" t="s">
        <v>219</v>
      </c>
      <c r="D24" s="101"/>
      <c r="E24" s="101">
        <v>7</v>
      </c>
      <c r="F24" s="103" t="s">
        <v>359</v>
      </c>
      <c r="G24" s="100" t="s">
        <v>245</v>
      </c>
      <c r="H24" s="101" t="s">
        <v>214</v>
      </c>
      <c r="I24" s="101" t="s">
        <v>348</v>
      </c>
      <c r="J24" s="104">
        <v>0.4</v>
      </c>
      <c r="K24" s="102" t="s">
        <v>360</v>
      </c>
      <c r="L24" s="105">
        <v>1</v>
      </c>
      <c r="M24" s="106" t="s">
        <v>317</v>
      </c>
      <c r="N24" s="100"/>
      <c r="O24" s="107"/>
    </row>
    <row r="25" spans="1:15" ht="14.25" customHeight="1">
      <c r="A25" s="100">
        <v>21</v>
      </c>
      <c r="B25" s="101" t="s">
        <v>218</v>
      </c>
      <c r="C25" s="102" t="s">
        <v>219</v>
      </c>
      <c r="D25" s="101"/>
      <c r="E25" s="101">
        <v>8</v>
      </c>
      <c r="F25" s="103" t="s">
        <v>361</v>
      </c>
      <c r="G25" s="100" t="s">
        <v>245</v>
      </c>
      <c r="H25" s="101" t="s">
        <v>214</v>
      </c>
      <c r="I25" s="101" t="s">
        <v>348</v>
      </c>
      <c r="J25" s="104">
        <v>0.4</v>
      </c>
      <c r="K25" s="102" t="s">
        <v>362</v>
      </c>
      <c r="L25" s="105">
        <v>1</v>
      </c>
      <c r="M25" s="106" t="s">
        <v>317</v>
      </c>
      <c r="N25" s="100"/>
      <c r="O25" s="107"/>
    </row>
    <row r="26" spans="1:15" ht="14.25" customHeight="1">
      <c r="A26" s="100">
        <v>22</v>
      </c>
      <c r="B26" s="101" t="s">
        <v>218</v>
      </c>
      <c r="C26" s="102" t="s">
        <v>219</v>
      </c>
      <c r="D26" s="101"/>
      <c r="E26" s="101">
        <v>9</v>
      </c>
      <c r="F26" s="103" t="s">
        <v>363</v>
      </c>
      <c r="G26" s="100" t="s">
        <v>326</v>
      </c>
      <c r="H26" s="101" t="s">
        <v>214</v>
      </c>
      <c r="I26" s="101" t="s">
        <v>315</v>
      </c>
      <c r="J26" s="104">
        <v>1</v>
      </c>
      <c r="K26" s="102" t="s">
        <v>364</v>
      </c>
      <c r="L26" s="105">
        <v>0.75</v>
      </c>
      <c r="M26" s="106" t="s">
        <v>328</v>
      </c>
      <c r="N26" s="100"/>
      <c r="O26" s="107"/>
    </row>
    <row r="27" spans="1:15" ht="14.25" customHeight="1">
      <c r="A27" s="108">
        <v>23</v>
      </c>
      <c r="B27" s="109" t="s">
        <v>218</v>
      </c>
      <c r="C27" s="110" t="s">
        <v>219</v>
      </c>
      <c r="D27" s="109"/>
      <c r="E27" s="109">
        <v>10</v>
      </c>
      <c r="F27" s="111" t="s">
        <v>365</v>
      </c>
      <c r="G27" s="108" t="s">
        <v>326</v>
      </c>
      <c r="H27" s="109" t="s">
        <v>125</v>
      </c>
      <c r="I27" s="109"/>
      <c r="J27" s="109"/>
      <c r="K27" s="110" t="s">
        <v>366</v>
      </c>
      <c r="L27" s="105">
        <v>0.75</v>
      </c>
      <c r="M27" s="106" t="s">
        <v>328</v>
      </c>
      <c r="N27" s="108"/>
      <c r="O27" s="107"/>
    </row>
    <row r="28" spans="1:15" ht="22.5" customHeight="1">
      <c r="A28" s="100">
        <v>24</v>
      </c>
      <c r="B28" s="101" t="s">
        <v>223</v>
      </c>
      <c r="C28" s="102" t="s">
        <v>224</v>
      </c>
      <c r="D28" s="101"/>
      <c r="E28" s="101">
        <v>1</v>
      </c>
      <c r="F28" s="103" t="s">
        <v>367</v>
      </c>
      <c r="G28" s="100" t="s">
        <v>245</v>
      </c>
      <c r="H28" s="101" t="s">
        <v>214</v>
      </c>
      <c r="I28" s="101" t="s">
        <v>348</v>
      </c>
      <c r="J28" s="104">
        <v>0.4</v>
      </c>
      <c r="K28" s="102" t="s">
        <v>316</v>
      </c>
      <c r="L28" s="105">
        <v>1</v>
      </c>
      <c r="M28" s="106" t="s">
        <v>317</v>
      </c>
      <c r="N28" s="100"/>
      <c r="O28" s="107"/>
    </row>
    <row r="29" spans="1:15" ht="22.5" customHeight="1">
      <c r="A29" s="100">
        <v>25</v>
      </c>
      <c r="B29" s="101" t="s">
        <v>223</v>
      </c>
      <c r="C29" s="102" t="s">
        <v>224</v>
      </c>
      <c r="D29" s="101"/>
      <c r="E29" s="101">
        <v>2</v>
      </c>
      <c r="F29" s="103" t="s">
        <v>368</v>
      </c>
      <c r="G29" s="100" t="s">
        <v>245</v>
      </c>
      <c r="H29" s="101" t="s">
        <v>214</v>
      </c>
      <c r="I29" s="101" t="s">
        <v>348</v>
      </c>
      <c r="J29" s="104">
        <v>0.4</v>
      </c>
      <c r="K29" s="102" t="s">
        <v>350</v>
      </c>
      <c r="L29" s="105">
        <v>1</v>
      </c>
      <c r="M29" s="106" t="s">
        <v>317</v>
      </c>
      <c r="N29" s="100"/>
      <c r="O29" s="107"/>
    </row>
    <row r="30" spans="1:15" ht="14.25" customHeight="1">
      <c r="A30" s="108">
        <v>26</v>
      </c>
      <c r="B30" s="109" t="s">
        <v>223</v>
      </c>
      <c r="C30" s="110" t="s">
        <v>224</v>
      </c>
      <c r="D30" s="109"/>
      <c r="E30" s="109">
        <v>3</v>
      </c>
      <c r="F30" s="111" t="s">
        <v>369</v>
      </c>
      <c r="G30" s="108" t="s">
        <v>260</v>
      </c>
      <c r="H30" s="109" t="s">
        <v>125</v>
      </c>
      <c r="I30" s="109"/>
      <c r="J30" s="109"/>
      <c r="K30" s="110" t="s">
        <v>321</v>
      </c>
      <c r="L30" s="105">
        <v>1</v>
      </c>
      <c r="M30" s="106" t="s">
        <v>317</v>
      </c>
      <c r="N30" s="108"/>
      <c r="O30" s="107"/>
    </row>
    <row r="31" spans="1:15" ht="14.25" customHeight="1">
      <c r="A31" s="100">
        <v>27</v>
      </c>
      <c r="B31" s="101" t="s">
        <v>223</v>
      </c>
      <c r="C31" s="102" t="s">
        <v>224</v>
      </c>
      <c r="D31" s="101"/>
      <c r="E31" s="101">
        <v>4</v>
      </c>
      <c r="F31" s="103" t="s">
        <v>370</v>
      </c>
      <c r="G31" s="100" t="s">
        <v>260</v>
      </c>
      <c r="H31" s="101" t="s">
        <v>214</v>
      </c>
      <c r="I31" s="101" t="s">
        <v>315</v>
      </c>
      <c r="J31" s="104">
        <v>1</v>
      </c>
      <c r="K31" s="102" t="s">
        <v>324</v>
      </c>
      <c r="L31" s="105">
        <v>1</v>
      </c>
      <c r="M31" s="106" t="s">
        <v>317</v>
      </c>
      <c r="N31" s="100"/>
      <c r="O31" s="107"/>
    </row>
    <row r="32" spans="1:15" ht="14.25" customHeight="1">
      <c r="A32" s="108">
        <v>28</v>
      </c>
      <c r="B32" s="109" t="s">
        <v>223</v>
      </c>
      <c r="C32" s="110" t="s">
        <v>224</v>
      </c>
      <c r="D32" s="109"/>
      <c r="E32" s="109">
        <v>5</v>
      </c>
      <c r="F32" s="111" t="s">
        <v>371</v>
      </c>
      <c r="G32" s="108" t="s">
        <v>326</v>
      </c>
      <c r="H32" s="109" t="s">
        <v>125</v>
      </c>
      <c r="I32" s="109"/>
      <c r="J32" s="109"/>
      <c r="K32" s="110" t="s">
        <v>327</v>
      </c>
      <c r="L32" s="105">
        <v>0.75</v>
      </c>
      <c r="M32" s="106" t="s">
        <v>328</v>
      </c>
      <c r="N32" s="108"/>
      <c r="O32" s="107"/>
    </row>
    <row r="33" spans="1:15" ht="14.25" customHeight="1">
      <c r="A33" s="108">
        <v>29</v>
      </c>
      <c r="B33" s="109" t="s">
        <v>223</v>
      </c>
      <c r="C33" s="110" t="s">
        <v>224</v>
      </c>
      <c r="D33" s="109"/>
      <c r="E33" s="109">
        <v>6</v>
      </c>
      <c r="F33" s="111" t="s">
        <v>372</v>
      </c>
      <c r="G33" s="108" t="s">
        <v>326</v>
      </c>
      <c r="H33" s="109" t="s">
        <v>125</v>
      </c>
      <c r="I33" s="109"/>
      <c r="J33" s="109"/>
      <c r="K33" s="110" t="s">
        <v>373</v>
      </c>
      <c r="L33" s="105">
        <v>0.75</v>
      </c>
      <c r="M33" s="106" t="s">
        <v>328</v>
      </c>
      <c r="N33" s="108"/>
      <c r="O33" s="107"/>
    </row>
    <row r="34" spans="1:15" ht="14.25" customHeight="1">
      <c r="A34" s="108">
        <v>30</v>
      </c>
      <c r="B34" s="109" t="s">
        <v>223</v>
      </c>
      <c r="C34" s="110" t="s">
        <v>224</v>
      </c>
      <c r="D34" s="109"/>
      <c r="E34" s="109">
        <v>7</v>
      </c>
      <c r="F34" s="111" t="s">
        <v>374</v>
      </c>
      <c r="G34" s="108" t="s">
        <v>326</v>
      </c>
      <c r="H34" s="109" t="s">
        <v>125</v>
      </c>
      <c r="I34" s="109"/>
      <c r="J34" s="109"/>
      <c r="K34" s="110" t="s">
        <v>375</v>
      </c>
      <c r="L34" s="105">
        <v>0.75</v>
      </c>
      <c r="M34" s="106" t="s">
        <v>328</v>
      </c>
      <c r="N34" s="108"/>
      <c r="O34" s="107"/>
    </row>
    <row r="35" spans="1:15" ht="14.25" customHeight="1">
      <c r="A35" s="100">
        <v>31</v>
      </c>
      <c r="B35" s="101" t="s">
        <v>226</v>
      </c>
      <c r="C35" s="102" t="s">
        <v>227</v>
      </c>
      <c r="D35" s="101"/>
      <c r="E35" s="101">
        <v>1</v>
      </c>
      <c r="F35" s="103" t="s">
        <v>376</v>
      </c>
      <c r="G35" s="100" t="s">
        <v>245</v>
      </c>
      <c r="H35" s="101" t="s">
        <v>214</v>
      </c>
      <c r="I35" s="101" t="s">
        <v>315</v>
      </c>
      <c r="J35" s="104">
        <v>1</v>
      </c>
      <c r="K35" s="102" t="s">
        <v>316</v>
      </c>
      <c r="L35" s="105">
        <v>1</v>
      </c>
      <c r="M35" s="106" t="s">
        <v>317</v>
      </c>
      <c r="N35" s="100"/>
      <c r="O35" s="107"/>
    </row>
    <row r="36" spans="1:15" ht="14.25" customHeight="1">
      <c r="A36" s="100">
        <v>32</v>
      </c>
      <c r="B36" s="101" t="s">
        <v>226</v>
      </c>
      <c r="C36" s="102" t="s">
        <v>227</v>
      </c>
      <c r="D36" s="101"/>
      <c r="E36" s="101">
        <v>2</v>
      </c>
      <c r="F36" s="103" t="s">
        <v>377</v>
      </c>
      <c r="G36" s="100" t="s">
        <v>245</v>
      </c>
      <c r="H36" s="101" t="s">
        <v>214</v>
      </c>
      <c r="I36" s="101" t="s">
        <v>315</v>
      </c>
      <c r="J36" s="104">
        <v>1</v>
      </c>
      <c r="K36" s="102" t="s">
        <v>350</v>
      </c>
      <c r="L36" s="105">
        <v>1</v>
      </c>
      <c r="M36" s="106" t="s">
        <v>317</v>
      </c>
      <c r="N36" s="100"/>
      <c r="O36" s="107"/>
    </row>
    <row r="37" spans="1:15" ht="14.25" customHeight="1">
      <c r="A37" s="100">
        <v>33</v>
      </c>
      <c r="B37" s="101" t="s">
        <v>226</v>
      </c>
      <c r="C37" s="102" t="s">
        <v>227</v>
      </c>
      <c r="D37" s="101"/>
      <c r="E37" s="101">
        <v>3</v>
      </c>
      <c r="F37" s="103" t="s">
        <v>378</v>
      </c>
      <c r="G37" s="100" t="s">
        <v>245</v>
      </c>
      <c r="H37" s="101" t="s">
        <v>214</v>
      </c>
      <c r="I37" s="101" t="s">
        <v>348</v>
      </c>
      <c r="J37" s="104">
        <v>0.4</v>
      </c>
      <c r="K37" s="102" t="s">
        <v>352</v>
      </c>
      <c r="L37" s="105">
        <v>1</v>
      </c>
      <c r="M37" s="106" t="s">
        <v>317</v>
      </c>
      <c r="N37" s="100"/>
      <c r="O37" s="107"/>
    </row>
    <row r="38" spans="1:15" ht="14.25" customHeight="1">
      <c r="A38" s="108">
        <v>34</v>
      </c>
      <c r="B38" s="109" t="s">
        <v>226</v>
      </c>
      <c r="C38" s="110" t="s">
        <v>227</v>
      </c>
      <c r="D38" s="109"/>
      <c r="E38" s="109">
        <v>4</v>
      </c>
      <c r="F38" s="111" t="s">
        <v>379</v>
      </c>
      <c r="G38" s="108" t="s">
        <v>260</v>
      </c>
      <c r="H38" s="109" t="s">
        <v>125</v>
      </c>
      <c r="I38" s="109"/>
      <c r="J38" s="109"/>
      <c r="K38" s="110" t="s">
        <v>324</v>
      </c>
      <c r="L38" s="105">
        <v>1</v>
      </c>
      <c r="M38" s="106" t="s">
        <v>317</v>
      </c>
      <c r="N38" s="108"/>
      <c r="O38" s="107"/>
    </row>
    <row r="39" spans="1:15" ht="14.25" customHeight="1">
      <c r="A39" s="100">
        <v>35</v>
      </c>
      <c r="B39" s="101" t="s">
        <v>226</v>
      </c>
      <c r="C39" s="102" t="s">
        <v>227</v>
      </c>
      <c r="D39" s="101"/>
      <c r="E39" s="101">
        <v>5</v>
      </c>
      <c r="F39" s="103" t="s">
        <v>380</v>
      </c>
      <c r="G39" s="100" t="s">
        <v>260</v>
      </c>
      <c r="H39" s="101" t="s">
        <v>214</v>
      </c>
      <c r="I39" s="101" t="s">
        <v>315</v>
      </c>
      <c r="J39" s="104">
        <v>1</v>
      </c>
      <c r="K39" s="102" t="s">
        <v>381</v>
      </c>
      <c r="L39" s="105">
        <v>1</v>
      </c>
      <c r="M39" s="106" t="s">
        <v>317</v>
      </c>
      <c r="N39" s="100"/>
      <c r="O39" s="107"/>
    </row>
    <row r="40" spans="1:15" ht="14.25" customHeight="1">
      <c r="A40" s="108">
        <v>36</v>
      </c>
      <c r="B40" s="109" t="s">
        <v>226</v>
      </c>
      <c r="C40" s="110" t="s">
        <v>227</v>
      </c>
      <c r="D40" s="109"/>
      <c r="E40" s="109">
        <v>6</v>
      </c>
      <c r="F40" s="111" t="s">
        <v>382</v>
      </c>
      <c r="G40" s="108" t="s">
        <v>326</v>
      </c>
      <c r="H40" s="109" t="s">
        <v>125</v>
      </c>
      <c r="I40" s="109"/>
      <c r="J40" s="109"/>
      <c r="K40" s="110" t="s">
        <v>373</v>
      </c>
      <c r="L40" s="105">
        <v>0.75</v>
      </c>
      <c r="M40" s="106" t="s">
        <v>328</v>
      </c>
      <c r="N40" s="108"/>
      <c r="O40" s="107"/>
    </row>
    <row r="41" spans="1:15" ht="14.25" customHeight="1">
      <c r="A41" s="100">
        <v>37</v>
      </c>
      <c r="B41" s="101" t="s">
        <v>226</v>
      </c>
      <c r="C41" s="102" t="s">
        <v>227</v>
      </c>
      <c r="D41" s="101"/>
      <c r="E41" s="101">
        <v>7</v>
      </c>
      <c r="F41" s="103" t="s">
        <v>383</v>
      </c>
      <c r="G41" s="100" t="s">
        <v>326</v>
      </c>
      <c r="H41" s="101" t="s">
        <v>214</v>
      </c>
      <c r="I41" s="101" t="s">
        <v>315</v>
      </c>
      <c r="J41" s="104">
        <v>1</v>
      </c>
      <c r="K41" s="102" t="s">
        <v>375</v>
      </c>
      <c r="L41" s="105">
        <v>0.75</v>
      </c>
      <c r="M41" s="106" t="s">
        <v>328</v>
      </c>
      <c r="N41" s="100"/>
      <c r="O41" s="107"/>
    </row>
    <row r="42" spans="1:15" ht="22.5" customHeight="1">
      <c r="A42" s="100">
        <v>38</v>
      </c>
      <c r="B42" s="101" t="s">
        <v>226</v>
      </c>
      <c r="C42" s="102" t="s">
        <v>227</v>
      </c>
      <c r="D42" s="101"/>
      <c r="E42" s="101">
        <v>8</v>
      </c>
      <c r="F42" s="103" t="s">
        <v>384</v>
      </c>
      <c r="G42" s="100" t="s">
        <v>326</v>
      </c>
      <c r="H42" s="101" t="s">
        <v>214</v>
      </c>
      <c r="I42" s="101" t="s">
        <v>315</v>
      </c>
      <c r="J42" s="104">
        <v>1</v>
      </c>
      <c r="K42" s="102" t="s">
        <v>385</v>
      </c>
      <c r="L42" s="105">
        <v>0.75</v>
      </c>
      <c r="M42" s="106" t="s">
        <v>328</v>
      </c>
      <c r="N42" s="100"/>
      <c r="O42" s="107"/>
    </row>
    <row r="43" spans="1:15" ht="14.25" customHeight="1">
      <c r="A43" s="108">
        <v>39</v>
      </c>
      <c r="B43" s="109" t="s">
        <v>229</v>
      </c>
      <c r="C43" s="110" t="s">
        <v>230</v>
      </c>
      <c r="D43" s="109"/>
      <c r="E43" s="109">
        <v>1</v>
      </c>
      <c r="F43" s="111" t="s">
        <v>386</v>
      </c>
      <c r="G43" s="108" t="s">
        <v>260</v>
      </c>
      <c r="H43" s="109" t="s">
        <v>125</v>
      </c>
      <c r="I43" s="109"/>
      <c r="J43" s="109"/>
      <c r="K43" s="110" t="s">
        <v>387</v>
      </c>
      <c r="L43" s="105">
        <v>1</v>
      </c>
      <c r="M43" s="106" t="s">
        <v>317</v>
      </c>
      <c r="N43" s="108"/>
      <c r="O43" s="107"/>
    </row>
    <row r="44" spans="1:15" ht="14.25" customHeight="1">
      <c r="A44" s="108">
        <v>40</v>
      </c>
      <c r="B44" s="109" t="s">
        <v>229</v>
      </c>
      <c r="C44" s="110" t="s">
        <v>230</v>
      </c>
      <c r="D44" s="109"/>
      <c r="E44" s="109">
        <v>2</v>
      </c>
      <c r="F44" s="111" t="s">
        <v>388</v>
      </c>
      <c r="G44" s="108" t="s">
        <v>260</v>
      </c>
      <c r="H44" s="109" t="s">
        <v>125</v>
      </c>
      <c r="I44" s="109"/>
      <c r="J44" s="109"/>
      <c r="K44" s="110" t="s">
        <v>319</v>
      </c>
      <c r="L44" s="105">
        <v>1</v>
      </c>
      <c r="M44" s="106" t="s">
        <v>317</v>
      </c>
      <c r="N44" s="108"/>
      <c r="O44" s="107"/>
    </row>
    <row r="45" spans="1:15" ht="14.25" customHeight="1">
      <c r="A45" s="108">
        <v>41</v>
      </c>
      <c r="B45" s="109" t="s">
        <v>229</v>
      </c>
      <c r="C45" s="110" t="s">
        <v>230</v>
      </c>
      <c r="D45" s="109"/>
      <c r="E45" s="109">
        <v>3</v>
      </c>
      <c r="F45" s="111" t="s">
        <v>389</v>
      </c>
      <c r="G45" s="108" t="s">
        <v>260</v>
      </c>
      <c r="H45" s="109" t="s">
        <v>125</v>
      </c>
      <c r="I45" s="109"/>
      <c r="J45" s="109"/>
      <c r="K45" s="110" t="s">
        <v>321</v>
      </c>
      <c r="L45" s="105">
        <v>1</v>
      </c>
      <c r="M45" s="106" t="s">
        <v>317</v>
      </c>
      <c r="N45" s="108"/>
      <c r="O45" s="107"/>
    </row>
    <row r="46" spans="1:15" ht="14.25" customHeight="1">
      <c r="A46" s="108">
        <v>42</v>
      </c>
      <c r="B46" s="109" t="s">
        <v>229</v>
      </c>
      <c r="C46" s="110" t="s">
        <v>230</v>
      </c>
      <c r="D46" s="109"/>
      <c r="E46" s="109">
        <v>4</v>
      </c>
      <c r="F46" s="111" t="s">
        <v>390</v>
      </c>
      <c r="G46" s="108" t="s">
        <v>260</v>
      </c>
      <c r="H46" s="109" t="s">
        <v>125</v>
      </c>
      <c r="I46" s="109"/>
      <c r="J46" s="109"/>
      <c r="K46" s="110" t="s">
        <v>324</v>
      </c>
      <c r="L46" s="105">
        <v>1</v>
      </c>
      <c r="M46" s="106" t="s">
        <v>317</v>
      </c>
      <c r="N46" s="108"/>
      <c r="O46" s="107"/>
    </row>
    <row r="47" spans="1:15" ht="14.25" customHeight="1">
      <c r="A47" s="108">
        <v>43</v>
      </c>
      <c r="B47" s="109" t="s">
        <v>229</v>
      </c>
      <c r="C47" s="110" t="s">
        <v>230</v>
      </c>
      <c r="D47" s="109"/>
      <c r="E47" s="109">
        <v>5</v>
      </c>
      <c r="F47" s="111" t="s">
        <v>391</v>
      </c>
      <c r="G47" s="108" t="s">
        <v>326</v>
      </c>
      <c r="H47" s="109" t="s">
        <v>125</v>
      </c>
      <c r="I47" s="109"/>
      <c r="J47" s="109"/>
      <c r="K47" s="110" t="s">
        <v>327</v>
      </c>
      <c r="L47" s="105">
        <v>0.75</v>
      </c>
      <c r="M47" s="106" t="s">
        <v>328</v>
      </c>
      <c r="N47" s="108"/>
      <c r="O47" s="107"/>
    </row>
    <row r="48" spans="1:15" ht="14.25" customHeight="1">
      <c r="A48" s="108">
        <v>44</v>
      </c>
      <c r="B48" s="109" t="s">
        <v>229</v>
      </c>
      <c r="C48" s="110" t="s">
        <v>230</v>
      </c>
      <c r="D48" s="109"/>
      <c r="E48" s="109">
        <v>6</v>
      </c>
      <c r="F48" s="111" t="s">
        <v>392</v>
      </c>
      <c r="G48" s="108" t="s">
        <v>326</v>
      </c>
      <c r="H48" s="109" t="s">
        <v>125</v>
      </c>
      <c r="I48" s="109"/>
      <c r="J48" s="109"/>
      <c r="K48" s="110" t="s">
        <v>373</v>
      </c>
      <c r="L48" s="105">
        <v>0.75</v>
      </c>
      <c r="M48" s="106" t="s">
        <v>328</v>
      </c>
      <c r="N48" s="108"/>
      <c r="O48" s="107"/>
    </row>
    <row r="49" spans="1:15" ht="14.25" customHeight="1">
      <c r="A49" s="108">
        <v>45</v>
      </c>
      <c r="B49" s="109" t="s">
        <v>229</v>
      </c>
      <c r="C49" s="110" t="s">
        <v>230</v>
      </c>
      <c r="D49" s="109"/>
      <c r="E49" s="109">
        <v>7</v>
      </c>
      <c r="F49" s="111" t="s">
        <v>393</v>
      </c>
      <c r="G49" s="108" t="s">
        <v>326</v>
      </c>
      <c r="H49" s="109" t="s">
        <v>125</v>
      </c>
      <c r="I49" s="109"/>
      <c r="J49" s="109"/>
      <c r="K49" s="110" t="s">
        <v>375</v>
      </c>
      <c r="L49" s="105">
        <v>0.75</v>
      </c>
      <c r="M49" s="106" t="s">
        <v>328</v>
      </c>
      <c r="N49" s="108"/>
      <c r="O49" s="107"/>
    </row>
    <row r="50" spans="1:15" ht="14.25" customHeight="1">
      <c r="A50" s="108">
        <v>46</v>
      </c>
      <c r="B50" s="109" t="s">
        <v>234</v>
      </c>
      <c r="C50" s="110" t="s">
        <v>235</v>
      </c>
      <c r="D50" s="109"/>
      <c r="E50" s="109">
        <v>1</v>
      </c>
      <c r="F50" s="111" t="s">
        <v>394</v>
      </c>
      <c r="G50" s="108" t="s">
        <v>260</v>
      </c>
      <c r="H50" s="109" t="s">
        <v>125</v>
      </c>
      <c r="I50" s="109"/>
      <c r="J50" s="109"/>
      <c r="K50" s="110" t="s">
        <v>387</v>
      </c>
      <c r="L50" s="105">
        <v>0.8</v>
      </c>
      <c r="M50" s="106" t="s">
        <v>328</v>
      </c>
      <c r="N50" s="108"/>
      <c r="O50" s="107"/>
    </row>
    <row r="51" spans="1:15" ht="14.25" customHeight="1">
      <c r="A51" s="108">
        <v>47</v>
      </c>
      <c r="B51" s="109" t="s">
        <v>234</v>
      </c>
      <c r="C51" s="110" t="s">
        <v>235</v>
      </c>
      <c r="D51" s="109"/>
      <c r="E51" s="109">
        <v>2</v>
      </c>
      <c r="F51" s="111" t="s">
        <v>395</v>
      </c>
      <c r="G51" s="108" t="s">
        <v>260</v>
      </c>
      <c r="H51" s="109" t="s">
        <v>125</v>
      </c>
      <c r="I51" s="109"/>
      <c r="J51" s="109"/>
      <c r="K51" s="110" t="s">
        <v>319</v>
      </c>
      <c r="L51" s="105">
        <v>0.8</v>
      </c>
      <c r="M51" s="106" t="s">
        <v>328</v>
      </c>
      <c r="N51" s="108"/>
      <c r="O51" s="107"/>
    </row>
    <row r="52" spans="1:15" ht="14.25" customHeight="1">
      <c r="A52" s="108">
        <v>48</v>
      </c>
      <c r="B52" s="109" t="s">
        <v>234</v>
      </c>
      <c r="C52" s="110" t="s">
        <v>235</v>
      </c>
      <c r="D52" s="109"/>
      <c r="E52" s="109">
        <v>3</v>
      </c>
      <c r="F52" s="111" t="s">
        <v>396</v>
      </c>
      <c r="G52" s="108" t="s">
        <v>260</v>
      </c>
      <c r="H52" s="109" t="s">
        <v>125</v>
      </c>
      <c r="I52" s="109"/>
      <c r="J52" s="109"/>
      <c r="K52" s="110" t="s">
        <v>321</v>
      </c>
      <c r="L52" s="105">
        <v>0.8</v>
      </c>
      <c r="M52" s="106" t="s">
        <v>328</v>
      </c>
      <c r="N52" s="108"/>
      <c r="O52" s="107"/>
    </row>
    <row r="53" spans="1:15" ht="14.25" customHeight="1">
      <c r="A53" s="100">
        <v>49</v>
      </c>
      <c r="B53" s="101" t="s">
        <v>234</v>
      </c>
      <c r="C53" s="102" t="s">
        <v>235</v>
      </c>
      <c r="D53" s="101"/>
      <c r="E53" s="101">
        <v>4</v>
      </c>
      <c r="F53" s="103" t="s">
        <v>397</v>
      </c>
      <c r="G53" s="100" t="s">
        <v>326</v>
      </c>
      <c r="H53" s="101" t="s">
        <v>214</v>
      </c>
      <c r="I53" s="101" t="s">
        <v>315</v>
      </c>
      <c r="J53" s="104">
        <v>1</v>
      </c>
      <c r="K53" s="102" t="s">
        <v>398</v>
      </c>
      <c r="L53" s="105">
        <v>0.55000000000000004</v>
      </c>
      <c r="M53" s="106" t="s">
        <v>340</v>
      </c>
      <c r="N53" s="100"/>
      <c r="O53" s="107"/>
    </row>
    <row r="54" spans="1:15" ht="14.25" customHeight="1">
      <c r="A54" s="108">
        <v>50</v>
      </c>
      <c r="B54" s="109" t="s">
        <v>234</v>
      </c>
      <c r="C54" s="110" t="s">
        <v>235</v>
      </c>
      <c r="D54" s="109"/>
      <c r="E54" s="109">
        <v>5</v>
      </c>
      <c r="F54" s="111" t="s">
        <v>399</v>
      </c>
      <c r="G54" s="108" t="s">
        <v>326</v>
      </c>
      <c r="H54" s="109" t="s">
        <v>125</v>
      </c>
      <c r="I54" s="109"/>
      <c r="J54" s="109"/>
      <c r="K54" s="110" t="s">
        <v>327</v>
      </c>
      <c r="L54" s="105">
        <v>0.55000000000000004</v>
      </c>
      <c r="M54" s="106" t="s">
        <v>340</v>
      </c>
      <c r="N54" s="108"/>
      <c r="O54" s="107"/>
    </row>
    <row r="55" spans="1:15" ht="14.25" customHeight="1">
      <c r="A55" s="108">
        <v>51</v>
      </c>
      <c r="B55" s="109" t="s">
        <v>234</v>
      </c>
      <c r="C55" s="110" t="s">
        <v>235</v>
      </c>
      <c r="D55" s="109"/>
      <c r="E55" s="109">
        <v>6</v>
      </c>
      <c r="F55" s="111" t="s">
        <v>400</v>
      </c>
      <c r="G55" s="108" t="s">
        <v>326</v>
      </c>
      <c r="H55" s="109" t="s">
        <v>125</v>
      </c>
      <c r="I55" s="109"/>
      <c r="J55" s="109"/>
      <c r="K55" s="110" t="s">
        <v>373</v>
      </c>
      <c r="L55" s="105">
        <v>0.55000000000000004</v>
      </c>
      <c r="M55" s="106" t="s">
        <v>340</v>
      </c>
      <c r="N55" s="108"/>
      <c r="O55" s="107"/>
    </row>
    <row r="56" spans="1:15" ht="14.25" customHeight="1">
      <c r="A56" s="100">
        <v>52</v>
      </c>
      <c r="B56" s="101" t="s">
        <v>238</v>
      </c>
      <c r="C56" s="100" t="s">
        <v>401</v>
      </c>
      <c r="D56" s="101"/>
      <c r="E56" s="101">
        <v>1</v>
      </c>
      <c r="F56" s="103" t="s">
        <v>402</v>
      </c>
      <c r="G56" s="100" t="s">
        <v>245</v>
      </c>
      <c r="H56" s="101" t="s">
        <v>214</v>
      </c>
      <c r="I56" s="101" t="s">
        <v>348</v>
      </c>
      <c r="J56" s="104">
        <v>0.4</v>
      </c>
      <c r="K56" s="102" t="s">
        <v>316</v>
      </c>
      <c r="L56" s="105">
        <v>1</v>
      </c>
      <c r="M56" s="106" t="s">
        <v>317</v>
      </c>
      <c r="N56" s="100"/>
      <c r="O56" s="107"/>
    </row>
    <row r="57" spans="1:15" ht="14.25" customHeight="1">
      <c r="A57" s="100">
        <v>53</v>
      </c>
      <c r="B57" s="101" t="s">
        <v>238</v>
      </c>
      <c r="C57" s="100" t="s">
        <v>401</v>
      </c>
      <c r="D57" s="101"/>
      <c r="E57" s="101">
        <v>2</v>
      </c>
      <c r="F57" s="103" t="s">
        <v>403</v>
      </c>
      <c r="G57" s="100" t="s">
        <v>245</v>
      </c>
      <c r="H57" s="101" t="s">
        <v>214</v>
      </c>
      <c r="I57" s="101" t="s">
        <v>348</v>
      </c>
      <c r="J57" s="104">
        <v>0.4</v>
      </c>
      <c r="K57" s="102" t="s">
        <v>350</v>
      </c>
      <c r="L57" s="105">
        <v>1</v>
      </c>
      <c r="M57" s="106" t="s">
        <v>317</v>
      </c>
      <c r="N57" s="100"/>
      <c r="O57" s="107"/>
    </row>
    <row r="58" spans="1:15" ht="14.25" customHeight="1">
      <c r="A58" s="100">
        <v>54</v>
      </c>
      <c r="B58" s="101" t="s">
        <v>238</v>
      </c>
      <c r="C58" s="100" t="s">
        <v>401</v>
      </c>
      <c r="D58" s="101"/>
      <c r="E58" s="101">
        <v>3</v>
      </c>
      <c r="F58" s="103" t="s">
        <v>404</v>
      </c>
      <c r="G58" s="100" t="s">
        <v>260</v>
      </c>
      <c r="H58" s="101" t="s">
        <v>214</v>
      </c>
      <c r="I58" s="101" t="s">
        <v>315</v>
      </c>
      <c r="J58" s="104">
        <v>1</v>
      </c>
      <c r="K58" s="102" t="s">
        <v>321</v>
      </c>
      <c r="L58" s="105">
        <v>1</v>
      </c>
      <c r="M58" s="106" t="s">
        <v>317</v>
      </c>
      <c r="N58" s="100"/>
      <c r="O58" s="107"/>
    </row>
    <row r="59" spans="1:15" ht="14.25" customHeight="1">
      <c r="A59" s="100">
        <v>55</v>
      </c>
      <c r="B59" s="101" t="s">
        <v>238</v>
      </c>
      <c r="C59" s="100" t="s">
        <v>401</v>
      </c>
      <c r="D59" s="101"/>
      <c r="E59" s="101">
        <v>4</v>
      </c>
      <c r="F59" s="103" t="s">
        <v>405</v>
      </c>
      <c r="G59" s="100" t="s">
        <v>260</v>
      </c>
      <c r="H59" s="101" t="s">
        <v>214</v>
      </c>
      <c r="I59" s="101" t="s">
        <v>315</v>
      </c>
      <c r="J59" s="104">
        <v>1</v>
      </c>
      <c r="K59" s="102" t="s">
        <v>324</v>
      </c>
      <c r="L59" s="105">
        <v>1</v>
      </c>
      <c r="M59" s="106" t="s">
        <v>317</v>
      </c>
      <c r="N59" s="100"/>
      <c r="O59" s="107"/>
    </row>
    <row r="60" spans="1:15" ht="14.25" customHeight="1">
      <c r="A60" s="100">
        <v>56</v>
      </c>
      <c r="B60" s="101" t="s">
        <v>238</v>
      </c>
      <c r="C60" s="100" t="s">
        <v>401</v>
      </c>
      <c r="D60" s="101"/>
      <c r="E60" s="101">
        <v>5</v>
      </c>
      <c r="F60" s="103" t="s">
        <v>406</v>
      </c>
      <c r="G60" s="100" t="s">
        <v>326</v>
      </c>
      <c r="H60" s="101" t="s">
        <v>214</v>
      </c>
      <c r="I60" s="101" t="s">
        <v>315</v>
      </c>
      <c r="J60" s="104">
        <v>1</v>
      </c>
      <c r="K60" s="102" t="s">
        <v>327</v>
      </c>
      <c r="L60" s="105">
        <v>0.75</v>
      </c>
      <c r="M60" s="106" t="s">
        <v>328</v>
      </c>
      <c r="N60" s="100"/>
      <c r="O60" s="107"/>
    </row>
    <row r="61" spans="1:15" ht="22.5" customHeight="1">
      <c r="A61" s="100">
        <v>57</v>
      </c>
      <c r="B61" s="101" t="s">
        <v>238</v>
      </c>
      <c r="C61" s="100" t="s">
        <v>401</v>
      </c>
      <c r="D61" s="101"/>
      <c r="E61" s="101">
        <v>6</v>
      </c>
      <c r="F61" s="103" t="s">
        <v>407</v>
      </c>
      <c r="G61" s="100" t="s">
        <v>326</v>
      </c>
      <c r="H61" s="101" t="s">
        <v>214</v>
      </c>
      <c r="I61" s="101" t="s">
        <v>315</v>
      </c>
      <c r="J61" s="104">
        <v>1</v>
      </c>
      <c r="K61" s="102" t="s">
        <v>373</v>
      </c>
      <c r="L61" s="105">
        <v>0.75</v>
      </c>
      <c r="M61" s="106" t="s">
        <v>328</v>
      </c>
      <c r="N61" s="100"/>
      <c r="O61" s="107"/>
    </row>
    <row r="62" spans="1:15" ht="14.25" customHeight="1">
      <c r="A62" s="100">
        <v>58</v>
      </c>
      <c r="B62" s="101" t="s">
        <v>242</v>
      </c>
      <c r="C62" s="102" t="s">
        <v>243</v>
      </c>
      <c r="D62" s="101"/>
      <c r="E62" s="101">
        <v>1</v>
      </c>
      <c r="F62" s="103" t="s">
        <v>408</v>
      </c>
      <c r="G62" s="100" t="s">
        <v>245</v>
      </c>
      <c r="H62" s="101" t="s">
        <v>214</v>
      </c>
      <c r="I62" s="101" t="s">
        <v>348</v>
      </c>
      <c r="J62" s="104">
        <v>0.4</v>
      </c>
      <c r="K62" s="102" t="s">
        <v>316</v>
      </c>
      <c r="L62" s="105">
        <v>0.75</v>
      </c>
      <c r="M62" s="106" t="s">
        <v>328</v>
      </c>
      <c r="N62" s="100"/>
      <c r="O62" s="107"/>
    </row>
    <row r="63" spans="1:15" ht="22.5" customHeight="1">
      <c r="A63" s="100">
        <v>59</v>
      </c>
      <c r="B63" s="101" t="s">
        <v>242</v>
      </c>
      <c r="C63" s="102" t="s">
        <v>243</v>
      </c>
      <c r="D63" s="101"/>
      <c r="E63" s="101">
        <v>2</v>
      </c>
      <c r="F63" s="103" t="s">
        <v>409</v>
      </c>
      <c r="G63" s="100" t="s">
        <v>245</v>
      </c>
      <c r="H63" s="101" t="s">
        <v>214</v>
      </c>
      <c r="I63" s="101" t="s">
        <v>348</v>
      </c>
      <c r="J63" s="104">
        <v>0.4</v>
      </c>
      <c r="K63" s="102" t="s">
        <v>350</v>
      </c>
      <c r="L63" s="105">
        <v>0.75</v>
      </c>
      <c r="M63" s="106" t="s">
        <v>328</v>
      </c>
      <c r="N63" s="100"/>
      <c r="O63" s="107"/>
    </row>
    <row r="64" spans="1:15" ht="14.25" customHeight="1">
      <c r="A64" s="100">
        <v>60</v>
      </c>
      <c r="B64" s="101" t="s">
        <v>242</v>
      </c>
      <c r="C64" s="102" t="s">
        <v>243</v>
      </c>
      <c r="D64" s="101"/>
      <c r="E64" s="101">
        <v>3</v>
      </c>
      <c r="F64" s="103" t="s">
        <v>410</v>
      </c>
      <c r="G64" s="100" t="s">
        <v>245</v>
      </c>
      <c r="H64" s="101" t="s">
        <v>214</v>
      </c>
      <c r="I64" s="101" t="s">
        <v>315</v>
      </c>
      <c r="J64" s="104">
        <v>1</v>
      </c>
      <c r="K64" s="102" t="s">
        <v>352</v>
      </c>
      <c r="L64" s="105">
        <v>0.75</v>
      </c>
      <c r="M64" s="106" t="s">
        <v>328</v>
      </c>
      <c r="N64" s="100"/>
      <c r="O64" s="107"/>
    </row>
    <row r="65" spans="1:15" ht="14.25" customHeight="1">
      <c r="A65" s="100">
        <v>61</v>
      </c>
      <c r="B65" s="101" t="s">
        <v>242</v>
      </c>
      <c r="C65" s="102" t="s">
        <v>243</v>
      </c>
      <c r="D65" s="101"/>
      <c r="E65" s="101">
        <v>4</v>
      </c>
      <c r="F65" s="103" t="s">
        <v>411</v>
      </c>
      <c r="G65" s="100" t="s">
        <v>245</v>
      </c>
      <c r="H65" s="101" t="s">
        <v>214</v>
      </c>
      <c r="I65" s="101" t="s">
        <v>315</v>
      </c>
      <c r="J65" s="104">
        <v>1</v>
      </c>
      <c r="K65" s="102" t="s">
        <v>354</v>
      </c>
      <c r="L65" s="105">
        <v>0.75</v>
      </c>
      <c r="M65" s="106" t="s">
        <v>328</v>
      </c>
      <c r="N65" s="100"/>
      <c r="O65" s="107"/>
    </row>
    <row r="66" spans="1:15" ht="22.5" customHeight="1">
      <c r="A66" s="100">
        <v>62</v>
      </c>
      <c r="B66" s="101" t="s">
        <v>242</v>
      </c>
      <c r="C66" s="102" t="s">
        <v>243</v>
      </c>
      <c r="D66" s="101"/>
      <c r="E66" s="101">
        <v>5</v>
      </c>
      <c r="F66" s="103" t="s">
        <v>412</v>
      </c>
      <c r="G66" s="100" t="s">
        <v>245</v>
      </c>
      <c r="H66" s="101" t="s">
        <v>214</v>
      </c>
      <c r="I66" s="101" t="s">
        <v>315</v>
      </c>
      <c r="J66" s="104">
        <v>1</v>
      </c>
      <c r="K66" s="102" t="s">
        <v>356</v>
      </c>
      <c r="L66" s="105">
        <v>0.75</v>
      </c>
      <c r="M66" s="106" t="s">
        <v>328</v>
      </c>
      <c r="N66" s="100"/>
      <c r="O66" s="107"/>
    </row>
    <row r="67" spans="1:15" ht="14.25" customHeight="1">
      <c r="A67" s="100">
        <v>63</v>
      </c>
      <c r="B67" s="101" t="s">
        <v>242</v>
      </c>
      <c r="C67" s="102" t="s">
        <v>243</v>
      </c>
      <c r="D67" s="101"/>
      <c r="E67" s="101">
        <v>6</v>
      </c>
      <c r="F67" s="103" t="s">
        <v>413</v>
      </c>
      <c r="G67" s="100" t="s">
        <v>245</v>
      </c>
      <c r="H67" s="101" t="s">
        <v>214</v>
      </c>
      <c r="I67" s="101" t="s">
        <v>315</v>
      </c>
      <c r="J67" s="104">
        <v>1</v>
      </c>
      <c r="K67" s="102" t="s">
        <v>358</v>
      </c>
      <c r="L67" s="105">
        <v>0.75</v>
      </c>
      <c r="M67" s="106" t="s">
        <v>328</v>
      </c>
      <c r="N67" s="100"/>
      <c r="O67" s="107"/>
    </row>
    <row r="68" spans="1:15" ht="14.25" customHeight="1">
      <c r="A68" s="100">
        <v>64</v>
      </c>
      <c r="B68" s="101" t="s">
        <v>246</v>
      </c>
      <c r="C68" s="102" t="s">
        <v>247</v>
      </c>
      <c r="D68" s="101"/>
      <c r="E68" s="101">
        <v>1</v>
      </c>
      <c r="F68" s="103" t="s">
        <v>414</v>
      </c>
      <c r="G68" s="100" t="s">
        <v>245</v>
      </c>
      <c r="H68" s="101" t="s">
        <v>214</v>
      </c>
      <c r="I68" s="101" t="s">
        <v>348</v>
      </c>
      <c r="J68" s="104">
        <v>0.4</v>
      </c>
      <c r="K68" s="102" t="s">
        <v>316</v>
      </c>
      <c r="L68" s="105">
        <v>1</v>
      </c>
      <c r="M68" s="106" t="s">
        <v>317</v>
      </c>
      <c r="N68" s="100"/>
      <c r="O68" s="107"/>
    </row>
    <row r="69" spans="1:15" ht="14.25" customHeight="1">
      <c r="A69" s="100">
        <v>65</v>
      </c>
      <c r="B69" s="101" t="s">
        <v>246</v>
      </c>
      <c r="C69" s="102" t="s">
        <v>247</v>
      </c>
      <c r="D69" s="101"/>
      <c r="E69" s="101">
        <v>2</v>
      </c>
      <c r="F69" s="103" t="s">
        <v>415</v>
      </c>
      <c r="G69" s="100" t="s">
        <v>245</v>
      </c>
      <c r="H69" s="101" t="s">
        <v>214</v>
      </c>
      <c r="I69" s="101" t="s">
        <v>348</v>
      </c>
      <c r="J69" s="104">
        <v>0.4</v>
      </c>
      <c r="K69" s="102" t="s">
        <v>350</v>
      </c>
      <c r="L69" s="105">
        <v>1</v>
      </c>
      <c r="M69" s="106" t="s">
        <v>317</v>
      </c>
      <c r="N69" s="100"/>
      <c r="O69" s="107"/>
    </row>
    <row r="70" spans="1:15" ht="14.25" customHeight="1">
      <c r="A70" s="100">
        <v>66</v>
      </c>
      <c r="B70" s="101" t="s">
        <v>246</v>
      </c>
      <c r="C70" s="102" t="s">
        <v>247</v>
      </c>
      <c r="D70" s="101"/>
      <c r="E70" s="101">
        <v>3</v>
      </c>
      <c r="F70" s="103" t="s">
        <v>416</v>
      </c>
      <c r="G70" s="100" t="s">
        <v>245</v>
      </c>
      <c r="H70" s="101" t="s">
        <v>214</v>
      </c>
      <c r="I70" s="101" t="s">
        <v>315</v>
      </c>
      <c r="J70" s="104">
        <v>1</v>
      </c>
      <c r="K70" s="102" t="s">
        <v>352</v>
      </c>
      <c r="L70" s="105">
        <v>1</v>
      </c>
      <c r="M70" s="106" t="s">
        <v>317</v>
      </c>
      <c r="N70" s="100"/>
      <c r="O70" s="107"/>
    </row>
    <row r="71" spans="1:15" ht="22.5" customHeight="1">
      <c r="A71" s="100">
        <v>67</v>
      </c>
      <c r="B71" s="101" t="s">
        <v>246</v>
      </c>
      <c r="C71" s="102" t="s">
        <v>247</v>
      </c>
      <c r="D71" s="101"/>
      <c r="E71" s="101">
        <v>4</v>
      </c>
      <c r="F71" s="103" t="s">
        <v>417</v>
      </c>
      <c r="G71" s="100" t="s">
        <v>245</v>
      </c>
      <c r="H71" s="101" t="s">
        <v>214</v>
      </c>
      <c r="I71" s="101" t="s">
        <v>315</v>
      </c>
      <c r="J71" s="104">
        <v>1</v>
      </c>
      <c r="K71" s="102" t="s">
        <v>354</v>
      </c>
      <c r="L71" s="105">
        <v>1</v>
      </c>
      <c r="M71" s="106" t="s">
        <v>317</v>
      </c>
      <c r="N71" s="100"/>
      <c r="O71" s="107"/>
    </row>
    <row r="72" spans="1:15" ht="14.25" customHeight="1">
      <c r="A72" s="100">
        <v>68</v>
      </c>
      <c r="B72" s="101" t="s">
        <v>246</v>
      </c>
      <c r="C72" s="102" t="s">
        <v>247</v>
      </c>
      <c r="D72" s="101"/>
      <c r="E72" s="101">
        <v>5</v>
      </c>
      <c r="F72" s="103" t="s">
        <v>418</v>
      </c>
      <c r="G72" s="100" t="s">
        <v>245</v>
      </c>
      <c r="H72" s="101" t="s">
        <v>214</v>
      </c>
      <c r="I72" s="101" t="s">
        <v>315</v>
      </c>
      <c r="J72" s="104">
        <v>1</v>
      </c>
      <c r="K72" s="102" t="s">
        <v>356</v>
      </c>
      <c r="L72" s="105">
        <v>1</v>
      </c>
      <c r="M72" s="106" t="s">
        <v>317</v>
      </c>
      <c r="N72" s="100"/>
      <c r="O72" s="107"/>
    </row>
    <row r="73" spans="1:15" ht="14.25" customHeight="1">
      <c r="A73" s="100">
        <v>69</v>
      </c>
      <c r="B73" s="101" t="s">
        <v>248</v>
      </c>
      <c r="C73" s="102" t="s">
        <v>249</v>
      </c>
      <c r="D73" s="101"/>
      <c r="E73" s="101">
        <v>1</v>
      </c>
      <c r="F73" s="103" t="s">
        <v>419</v>
      </c>
      <c r="G73" s="100" t="s">
        <v>260</v>
      </c>
      <c r="H73" s="101" t="s">
        <v>214</v>
      </c>
      <c r="I73" s="101" t="s">
        <v>315</v>
      </c>
      <c r="J73" s="104">
        <v>1</v>
      </c>
      <c r="K73" s="102" t="s">
        <v>387</v>
      </c>
      <c r="L73" s="105">
        <v>1</v>
      </c>
      <c r="M73" s="106" t="s">
        <v>317</v>
      </c>
      <c r="N73" s="100"/>
      <c r="O73" s="107"/>
    </row>
    <row r="74" spans="1:15" ht="14.25" customHeight="1">
      <c r="A74" s="100">
        <v>70</v>
      </c>
      <c r="B74" s="101" t="s">
        <v>248</v>
      </c>
      <c r="C74" s="102" t="s">
        <v>249</v>
      </c>
      <c r="D74" s="101"/>
      <c r="E74" s="101">
        <v>2</v>
      </c>
      <c r="F74" s="103" t="s">
        <v>420</v>
      </c>
      <c r="G74" s="100" t="s">
        <v>260</v>
      </c>
      <c r="H74" s="101" t="s">
        <v>214</v>
      </c>
      <c r="I74" s="101" t="s">
        <v>315</v>
      </c>
      <c r="J74" s="104">
        <v>1</v>
      </c>
      <c r="K74" s="102" t="s">
        <v>319</v>
      </c>
      <c r="L74" s="105">
        <v>1</v>
      </c>
      <c r="M74" s="106" t="s">
        <v>317</v>
      </c>
      <c r="N74" s="100"/>
      <c r="O74" s="107"/>
    </row>
    <row r="75" spans="1:15" ht="14.25" customHeight="1">
      <c r="A75" s="100">
        <v>71</v>
      </c>
      <c r="B75" s="101" t="s">
        <v>248</v>
      </c>
      <c r="C75" s="102" t="s">
        <v>249</v>
      </c>
      <c r="D75" s="101"/>
      <c r="E75" s="101">
        <v>3</v>
      </c>
      <c r="F75" s="103" t="s">
        <v>421</v>
      </c>
      <c r="G75" s="100" t="s">
        <v>326</v>
      </c>
      <c r="H75" s="101" t="s">
        <v>214</v>
      </c>
      <c r="I75" s="101" t="s">
        <v>315</v>
      </c>
      <c r="J75" s="104">
        <v>1</v>
      </c>
      <c r="K75" s="102" t="s">
        <v>422</v>
      </c>
      <c r="L75" s="105">
        <v>0.75</v>
      </c>
      <c r="M75" s="106" t="s">
        <v>328</v>
      </c>
      <c r="N75" s="100"/>
      <c r="O75" s="107"/>
    </row>
    <row r="76" spans="1:15" ht="22.5" customHeight="1">
      <c r="A76" s="100">
        <v>72</v>
      </c>
      <c r="B76" s="101" t="s">
        <v>248</v>
      </c>
      <c r="C76" s="102" t="s">
        <v>249</v>
      </c>
      <c r="D76" s="101"/>
      <c r="E76" s="101">
        <v>4</v>
      </c>
      <c r="F76" s="103" t="s">
        <v>423</v>
      </c>
      <c r="G76" s="100" t="s">
        <v>326</v>
      </c>
      <c r="H76" s="101" t="s">
        <v>214</v>
      </c>
      <c r="I76" s="101" t="s">
        <v>315</v>
      </c>
      <c r="J76" s="104">
        <v>1</v>
      </c>
      <c r="K76" s="102" t="s">
        <v>398</v>
      </c>
      <c r="L76" s="105">
        <v>0.75</v>
      </c>
      <c r="M76" s="106" t="s">
        <v>328</v>
      </c>
      <c r="N76" s="100"/>
      <c r="O76" s="107"/>
    </row>
    <row r="77" spans="1:15" ht="14.25" customHeight="1">
      <c r="A77" s="100">
        <v>73</v>
      </c>
      <c r="B77" s="101" t="s">
        <v>248</v>
      </c>
      <c r="C77" s="102" t="s">
        <v>249</v>
      </c>
      <c r="D77" s="101"/>
      <c r="E77" s="101">
        <v>5</v>
      </c>
      <c r="F77" s="103" t="s">
        <v>424</v>
      </c>
      <c r="G77" s="100" t="s">
        <v>326</v>
      </c>
      <c r="H77" s="101" t="s">
        <v>214</v>
      </c>
      <c r="I77" s="101" t="s">
        <v>315</v>
      </c>
      <c r="J77" s="104">
        <v>1</v>
      </c>
      <c r="K77" s="102" t="s">
        <v>327</v>
      </c>
      <c r="L77" s="105">
        <v>0.75</v>
      </c>
      <c r="M77" s="106" t="s">
        <v>328</v>
      </c>
      <c r="N77" s="100"/>
      <c r="O77" s="107"/>
    </row>
    <row r="78" spans="1:15" ht="14.25" customHeight="1">
      <c r="A78" s="100">
        <v>74</v>
      </c>
      <c r="B78" s="101" t="s">
        <v>250</v>
      </c>
      <c r="C78" s="102" t="s">
        <v>251</v>
      </c>
      <c r="D78" s="101"/>
      <c r="E78" s="101">
        <v>1</v>
      </c>
      <c r="F78" s="103" t="s">
        <v>425</v>
      </c>
      <c r="G78" s="100" t="s">
        <v>326</v>
      </c>
      <c r="H78" s="101" t="s">
        <v>214</v>
      </c>
      <c r="I78" s="101" t="s">
        <v>315</v>
      </c>
      <c r="J78" s="104">
        <v>1</v>
      </c>
      <c r="K78" s="102" t="s">
        <v>426</v>
      </c>
      <c r="L78" s="105">
        <v>0.75</v>
      </c>
      <c r="M78" s="106" t="s">
        <v>328</v>
      </c>
      <c r="N78" s="100"/>
      <c r="O78" s="107"/>
    </row>
    <row r="79" spans="1:15" ht="22.5" customHeight="1">
      <c r="A79" s="100">
        <v>75</v>
      </c>
      <c r="B79" s="101" t="s">
        <v>250</v>
      </c>
      <c r="C79" s="102" t="s">
        <v>251</v>
      </c>
      <c r="D79" s="101"/>
      <c r="E79" s="101">
        <v>2</v>
      </c>
      <c r="F79" s="103" t="s">
        <v>427</v>
      </c>
      <c r="G79" s="100" t="s">
        <v>326</v>
      </c>
      <c r="H79" s="101" t="s">
        <v>214</v>
      </c>
      <c r="I79" s="101" t="s">
        <v>315</v>
      </c>
      <c r="J79" s="104">
        <v>1</v>
      </c>
      <c r="K79" s="102" t="s">
        <v>428</v>
      </c>
      <c r="L79" s="105">
        <v>0.75</v>
      </c>
      <c r="M79" s="106" t="s">
        <v>328</v>
      </c>
      <c r="N79" s="100"/>
      <c r="O79" s="107"/>
    </row>
    <row r="80" spans="1:15" ht="14.25" customHeight="1">
      <c r="A80" s="100">
        <v>76</v>
      </c>
      <c r="B80" s="101" t="s">
        <v>250</v>
      </c>
      <c r="C80" s="102" t="s">
        <v>251</v>
      </c>
      <c r="D80" s="101"/>
      <c r="E80" s="101">
        <v>3</v>
      </c>
      <c r="F80" s="103" t="s">
        <v>429</v>
      </c>
      <c r="G80" s="100" t="s">
        <v>280</v>
      </c>
      <c r="H80" s="101" t="s">
        <v>214</v>
      </c>
      <c r="I80" s="101" t="s">
        <v>315</v>
      </c>
      <c r="J80" s="104">
        <v>1</v>
      </c>
      <c r="K80" s="102" t="s">
        <v>430</v>
      </c>
      <c r="L80" s="105">
        <v>0</v>
      </c>
      <c r="M80" s="106" t="s">
        <v>431</v>
      </c>
      <c r="N80" s="100"/>
      <c r="O80" s="107"/>
    </row>
    <row r="81" spans="1:15" ht="22.5" customHeight="1">
      <c r="A81" s="100">
        <v>77</v>
      </c>
      <c r="B81" s="101" t="s">
        <v>250</v>
      </c>
      <c r="C81" s="102" t="s">
        <v>251</v>
      </c>
      <c r="D81" s="101"/>
      <c r="E81" s="101">
        <v>4</v>
      </c>
      <c r="F81" s="103" t="s">
        <v>432</v>
      </c>
      <c r="G81" s="100" t="s">
        <v>280</v>
      </c>
      <c r="H81" s="101" t="s">
        <v>214</v>
      </c>
      <c r="I81" s="101" t="s">
        <v>315</v>
      </c>
      <c r="J81" s="104">
        <v>1</v>
      </c>
      <c r="K81" s="102" t="s">
        <v>433</v>
      </c>
      <c r="L81" s="105">
        <v>0</v>
      </c>
      <c r="M81" s="106" t="s">
        <v>431</v>
      </c>
      <c r="N81" s="100"/>
      <c r="O81" s="107"/>
    </row>
    <row r="82" spans="1:15" ht="14.25" customHeight="1">
      <c r="A82" s="100">
        <v>78</v>
      </c>
      <c r="B82" s="101" t="s">
        <v>250</v>
      </c>
      <c r="C82" s="102" t="s">
        <v>251</v>
      </c>
      <c r="D82" s="101"/>
      <c r="E82" s="101">
        <v>5</v>
      </c>
      <c r="F82" s="103" t="s">
        <v>434</v>
      </c>
      <c r="G82" s="100" t="s">
        <v>280</v>
      </c>
      <c r="H82" s="101" t="s">
        <v>214</v>
      </c>
      <c r="I82" s="101" t="s">
        <v>315</v>
      </c>
      <c r="J82" s="104">
        <v>1</v>
      </c>
      <c r="K82" s="102" t="s">
        <v>435</v>
      </c>
      <c r="L82" s="105">
        <v>0</v>
      </c>
      <c r="M82" s="106" t="s">
        <v>431</v>
      </c>
      <c r="N82" s="100"/>
      <c r="O82" s="107"/>
    </row>
    <row r="83" spans="1:15" ht="14.25" customHeight="1">
      <c r="A83" s="100">
        <v>79</v>
      </c>
      <c r="B83" s="101" t="s">
        <v>253</v>
      </c>
      <c r="C83" s="100" t="s">
        <v>436</v>
      </c>
      <c r="D83" s="101"/>
      <c r="E83" s="101">
        <v>1</v>
      </c>
      <c r="F83" s="103" t="s">
        <v>437</v>
      </c>
      <c r="G83" s="100" t="s">
        <v>245</v>
      </c>
      <c r="H83" s="101" t="s">
        <v>214</v>
      </c>
      <c r="I83" s="101" t="s">
        <v>348</v>
      </c>
      <c r="J83" s="104">
        <v>0.4</v>
      </c>
      <c r="K83" s="102" t="s">
        <v>316</v>
      </c>
      <c r="L83" s="105">
        <v>0.75</v>
      </c>
      <c r="M83" s="106" t="s">
        <v>328</v>
      </c>
      <c r="N83" s="100"/>
      <c r="O83" s="107"/>
    </row>
    <row r="84" spans="1:15" ht="22.5" customHeight="1">
      <c r="A84" s="100">
        <v>80</v>
      </c>
      <c r="B84" s="101" t="s">
        <v>253</v>
      </c>
      <c r="C84" s="100" t="s">
        <v>436</v>
      </c>
      <c r="D84" s="101"/>
      <c r="E84" s="101">
        <v>2</v>
      </c>
      <c r="F84" s="103" t="s">
        <v>438</v>
      </c>
      <c r="G84" s="100" t="s">
        <v>245</v>
      </c>
      <c r="H84" s="101" t="s">
        <v>214</v>
      </c>
      <c r="I84" s="101" t="s">
        <v>348</v>
      </c>
      <c r="J84" s="104">
        <v>0.4</v>
      </c>
      <c r="K84" s="102" t="s">
        <v>350</v>
      </c>
      <c r="L84" s="105">
        <v>0.75</v>
      </c>
      <c r="M84" s="106" t="s">
        <v>328</v>
      </c>
      <c r="N84" s="100"/>
      <c r="O84" s="107"/>
    </row>
    <row r="85" spans="1:15" ht="14.25" customHeight="1">
      <c r="A85" s="100">
        <v>81</v>
      </c>
      <c r="B85" s="101" t="s">
        <v>253</v>
      </c>
      <c r="C85" s="100" t="s">
        <v>436</v>
      </c>
      <c r="D85" s="101"/>
      <c r="E85" s="101">
        <v>3</v>
      </c>
      <c r="F85" s="103" t="s">
        <v>439</v>
      </c>
      <c r="G85" s="100" t="s">
        <v>245</v>
      </c>
      <c r="H85" s="101" t="s">
        <v>214</v>
      </c>
      <c r="I85" s="101" t="s">
        <v>315</v>
      </c>
      <c r="J85" s="104">
        <v>1</v>
      </c>
      <c r="K85" s="102" t="s">
        <v>352</v>
      </c>
      <c r="L85" s="105">
        <v>0.75</v>
      </c>
      <c r="M85" s="106" t="s">
        <v>328</v>
      </c>
      <c r="N85" s="100"/>
      <c r="O85" s="107"/>
    </row>
    <row r="86" spans="1:15" ht="14.25" customHeight="1">
      <c r="A86" s="100">
        <v>82</v>
      </c>
      <c r="B86" s="101" t="s">
        <v>253</v>
      </c>
      <c r="C86" s="100" t="s">
        <v>436</v>
      </c>
      <c r="D86" s="101"/>
      <c r="E86" s="101">
        <v>4</v>
      </c>
      <c r="F86" s="103" t="s">
        <v>440</v>
      </c>
      <c r="G86" s="100" t="s">
        <v>245</v>
      </c>
      <c r="H86" s="101" t="s">
        <v>214</v>
      </c>
      <c r="I86" s="101" t="s">
        <v>315</v>
      </c>
      <c r="J86" s="104">
        <v>1</v>
      </c>
      <c r="K86" s="102" t="s">
        <v>354</v>
      </c>
      <c r="L86" s="105">
        <v>0.75</v>
      </c>
      <c r="M86" s="106" t="s">
        <v>328</v>
      </c>
      <c r="N86" s="100"/>
      <c r="O86" s="107"/>
    </row>
    <row r="87" spans="1:15" ht="22.5" customHeight="1">
      <c r="A87" s="100">
        <v>83</v>
      </c>
      <c r="B87" s="101" t="s">
        <v>253</v>
      </c>
      <c r="C87" s="100" t="s">
        <v>436</v>
      </c>
      <c r="D87" s="101"/>
      <c r="E87" s="101">
        <v>5</v>
      </c>
      <c r="F87" s="103" t="s">
        <v>441</v>
      </c>
      <c r="G87" s="100" t="s">
        <v>245</v>
      </c>
      <c r="H87" s="101" t="s">
        <v>214</v>
      </c>
      <c r="I87" s="101" t="s">
        <v>315</v>
      </c>
      <c r="J87" s="104">
        <v>1</v>
      </c>
      <c r="K87" s="102" t="s">
        <v>356</v>
      </c>
      <c r="L87" s="105">
        <v>0.75</v>
      </c>
      <c r="M87" s="106" t="s">
        <v>328</v>
      </c>
      <c r="N87" s="100"/>
      <c r="O87" s="107"/>
    </row>
    <row r="88" spans="1:15" ht="22.5" customHeight="1">
      <c r="A88" s="100">
        <v>84</v>
      </c>
      <c r="B88" s="101" t="s">
        <v>253</v>
      </c>
      <c r="C88" s="100" t="s">
        <v>436</v>
      </c>
      <c r="D88" s="101"/>
      <c r="E88" s="101">
        <v>6</v>
      </c>
      <c r="F88" s="103" t="s">
        <v>442</v>
      </c>
      <c r="G88" s="100" t="s">
        <v>245</v>
      </c>
      <c r="H88" s="101" t="s">
        <v>214</v>
      </c>
      <c r="I88" s="101" t="s">
        <v>315</v>
      </c>
      <c r="J88" s="104">
        <v>1</v>
      </c>
      <c r="K88" s="102" t="s">
        <v>358</v>
      </c>
      <c r="L88" s="105">
        <v>0.75</v>
      </c>
      <c r="M88" s="106" t="s">
        <v>328</v>
      </c>
      <c r="N88" s="100"/>
      <c r="O88" s="107"/>
    </row>
    <row r="89" spans="1:15" ht="22.5" customHeight="1">
      <c r="A89" s="100">
        <v>85</v>
      </c>
      <c r="B89" s="101" t="s">
        <v>256</v>
      </c>
      <c r="C89" s="100" t="s">
        <v>443</v>
      </c>
      <c r="D89" s="101"/>
      <c r="E89" s="101">
        <v>1</v>
      </c>
      <c r="F89" s="103" t="s">
        <v>444</v>
      </c>
      <c r="G89" s="100" t="s">
        <v>245</v>
      </c>
      <c r="H89" s="101" t="s">
        <v>214</v>
      </c>
      <c r="I89" s="101" t="s">
        <v>348</v>
      </c>
      <c r="J89" s="104">
        <v>0.4</v>
      </c>
      <c r="K89" s="102" t="s">
        <v>316</v>
      </c>
      <c r="L89" s="105">
        <v>1</v>
      </c>
      <c r="M89" s="106" t="s">
        <v>317</v>
      </c>
      <c r="N89" s="100"/>
      <c r="O89" s="107"/>
    </row>
    <row r="90" spans="1:15" ht="22.5" customHeight="1">
      <c r="A90" s="100">
        <v>86</v>
      </c>
      <c r="B90" s="101" t="s">
        <v>256</v>
      </c>
      <c r="C90" s="100" t="s">
        <v>443</v>
      </c>
      <c r="D90" s="101"/>
      <c r="E90" s="101">
        <v>2</v>
      </c>
      <c r="F90" s="103" t="s">
        <v>445</v>
      </c>
      <c r="G90" s="100" t="s">
        <v>245</v>
      </c>
      <c r="H90" s="101" t="s">
        <v>214</v>
      </c>
      <c r="I90" s="101" t="s">
        <v>348</v>
      </c>
      <c r="J90" s="104">
        <v>0.4</v>
      </c>
      <c r="K90" s="102" t="s">
        <v>350</v>
      </c>
      <c r="L90" s="105">
        <v>1</v>
      </c>
      <c r="M90" s="106" t="s">
        <v>317</v>
      </c>
      <c r="N90" s="100"/>
      <c r="O90" s="107"/>
    </row>
    <row r="91" spans="1:15" ht="14.25" customHeight="1">
      <c r="A91" s="100">
        <v>87</v>
      </c>
      <c r="B91" s="101" t="s">
        <v>256</v>
      </c>
      <c r="C91" s="100" t="s">
        <v>443</v>
      </c>
      <c r="D91" s="101"/>
      <c r="E91" s="101">
        <v>3</v>
      </c>
      <c r="F91" s="103" t="s">
        <v>446</v>
      </c>
      <c r="G91" s="100" t="s">
        <v>245</v>
      </c>
      <c r="H91" s="101" t="s">
        <v>214</v>
      </c>
      <c r="I91" s="101" t="s">
        <v>315</v>
      </c>
      <c r="J91" s="104">
        <v>1</v>
      </c>
      <c r="K91" s="102" t="s">
        <v>352</v>
      </c>
      <c r="L91" s="105">
        <v>1</v>
      </c>
      <c r="M91" s="106" t="s">
        <v>317</v>
      </c>
      <c r="N91" s="100"/>
      <c r="O91" s="107"/>
    </row>
    <row r="92" spans="1:15" ht="22.5" customHeight="1">
      <c r="A92" s="100">
        <v>88</v>
      </c>
      <c r="B92" s="101" t="s">
        <v>256</v>
      </c>
      <c r="C92" s="100" t="s">
        <v>443</v>
      </c>
      <c r="D92" s="101"/>
      <c r="E92" s="101">
        <v>4</v>
      </c>
      <c r="F92" s="103" t="s">
        <v>447</v>
      </c>
      <c r="G92" s="100" t="s">
        <v>245</v>
      </c>
      <c r="H92" s="101" t="s">
        <v>214</v>
      </c>
      <c r="I92" s="101" t="s">
        <v>315</v>
      </c>
      <c r="J92" s="104">
        <v>1</v>
      </c>
      <c r="K92" s="102" t="s">
        <v>354</v>
      </c>
      <c r="L92" s="105">
        <v>1</v>
      </c>
      <c r="M92" s="106" t="s">
        <v>317</v>
      </c>
      <c r="N92" s="100"/>
      <c r="O92" s="107"/>
    </row>
    <row r="93" spans="1:15" ht="22.5" customHeight="1">
      <c r="A93" s="100">
        <v>89</v>
      </c>
      <c r="B93" s="101" t="s">
        <v>256</v>
      </c>
      <c r="C93" s="100" t="s">
        <v>443</v>
      </c>
      <c r="D93" s="101"/>
      <c r="E93" s="101">
        <v>5</v>
      </c>
      <c r="F93" s="103" t="s">
        <v>448</v>
      </c>
      <c r="G93" s="100" t="s">
        <v>245</v>
      </c>
      <c r="H93" s="101" t="s">
        <v>214</v>
      </c>
      <c r="I93" s="101" t="s">
        <v>315</v>
      </c>
      <c r="J93" s="104">
        <v>1</v>
      </c>
      <c r="K93" s="102" t="s">
        <v>356</v>
      </c>
      <c r="L93" s="105">
        <v>1</v>
      </c>
      <c r="M93" s="106" t="s">
        <v>317</v>
      </c>
      <c r="N93" s="100"/>
      <c r="O93" s="107"/>
    </row>
    <row r="94" spans="1:15" ht="14.25" customHeight="1">
      <c r="A94" s="100">
        <v>90</v>
      </c>
      <c r="B94" s="101" t="s">
        <v>258</v>
      </c>
      <c r="C94" s="100" t="s">
        <v>449</v>
      </c>
      <c r="D94" s="101" t="s">
        <v>240</v>
      </c>
      <c r="E94" s="101">
        <v>1</v>
      </c>
      <c r="F94" s="103" t="s">
        <v>450</v>
      </c>
      <c r="G94" s="100" t="s">
        <v>260</v>
      </c>
      <c r="H94" s="101" t="s">
        <v>214</v>
      </c>
      <c r="I94" s="101" t="s">
        <v>348</v>
      </c>
      <c r="J94" s="104">
        <v>0.4</v>
      </c>
      <c r="K94" s="102" t="s">
        <v>387</v>
      </c>
      <c r="L94" s="105">
        <v>0.65</v>
      </c>
      <c r="M94" s="106" t="s">
        <v>328</v>
      </c>
      <c r="N94" s="100"/>
      <c r="O94" s="107"/>
    </row>
    <row r="95" spans="1:15" ht="14.25" customHeight="1">
      <c r="A95" s="100">
        <v>91</v>
      </c>
      <c r="B95" s="101" t="s">
        <v>262</v>
      </c>
      <c r="C95" s="100" t="s">
        <v>451</v>
      </c>
      <c r="D95" s="101" t="s">
        <v>264</v>
      </c>
      <c r="E95" s="101">
        <v>1</v>
      </c>
      <c r="F95" s="103" t="s">
        <v>450</v>
      </c>
      <c r="G95" s="100" t="s">
        <v>260</v>
      </c>
      <c r="H95" s="101" t="s">
        <v>214</v>
      </c>
      <c r="I95" s="101" t="s">
        <v>348</v>
      </c>
      <c r="J95" s="104">
        <v>0.4</v>
      </c>
      <c r="K95" s="102" t="s">
        <v>387</v>
      </c>
      <c r="L95" s="105">
        <v>1</v>
      </c>
      <c r="M95" s="106" t="s">
        <v>317</v>
      </c>
      <c r="N95" s="100"/>
      <c r="O95" s="107"/>
    </row>
    <row r="96" spans="1:15" ht="14.25" customHeight="1">
      <c r="A96" s="100">
        <v>92</v>
      </c>
      <c r="B96" s="101" t="s">
        <v>258</v>
      </c>
      <c r="C96" s="100" t="s">
        <v>449</v>
      </c>
      <c r="D96" s="101" t="s">
        <v>240</v>
      </c>
      <c r="E96" s="101">
        <v>2</v>
      </c>
      <c r="F96" s="103" t="s">
        <v>452</v>
      </c>
      <c r="G96" s="100" t="s">
        <v>260</v>
      </c>
      <c r="H96" s="101" t="s">
        <v>214</v>
      </c>
      <c r="I96" s="101" t="s">
        <v>348</v>
      </c>
      <c r="J96" s="104">
        <v>0.4</v>
      </c>
      <c r="K96" s="102" t="s">
        <v>319</v>
      </c>
      <c r="L96" s="105">
        <v>0.65</v>
      </c>
      <c r="M96" s="106" t="s">
        <v>328</v>
      </c>
      <c r="N96" s="100"/>
      <c r="O96" s="107"/>
    </row>
    <row r="97" spans="1:15" ht="14.25" customHeight="1">
      <c r="A97" s="100">
        <v>93</v>
      </c>
      <c r="B97" s="101" t="s">
        <v>262</v>
      </c>
      <c r="C97" s="100" t="s">
        <v>451</v>
      </c>
      <c r="D97" s="101" t="s">
        <v>264</v>
      </c>
      <c r="E97" s="101">
        <v>2</v>
      </c>
      <c r="F97" s="103" t="s">
        <v>452</v>
      </c>
      <c r="G97" s="100" t="s">
        <v>260</v>
      </c>
      <c r="H97" s="101" t="s">
        <v>214</v>
      </c>
      <c r="I97" s="101" t="s">
        <v>348</v>
      </c>
      <c r="J97" s="104">
        <v>0.4</v>
      </c>
      <c r="K97" s="102" t="s">
        <v>319</v>
      </c>
      <c r="L97" s="105">
        <v>1</v>
      </c>
      <c r="M97" s="106" t="s">
        <v>317</v>
      </c>
      <c r="N97" s="100"/>
      <c r="O97" s="107"/>
    </row>
    <row r="98" spans="1:15" ht="14.25" customHeight="1">
      <c r="A98" s="100">
        <v>94</v>
      </c>
      <c r="B98" s="101" t="s">
        <v>258</v>
      </c>
      <c r="C98" s="100" t="s">
        <v>449</v>
      </c>
      <c r="D98" s="101" t="s">
        <v>240</v>
      </c>
      <c r="E98" s="101">
        <v>3</v>
      </c>
      <c r="F98" s="103" t="s">
        <v>453</v>
      </c>
      <c r="G98" s="100" t="s">
        <v>260</v>
      </c>
      <c r="H98" s="101" t="s">
        <v>214</v>
      </c>
      <c r="I98" s="101" t="s">
        <v>348</v>
      </c>
      <c r="J98" s="104">
        <v>0.4</v>
      </c>
      <c r="K98" s="102" t="s">
        <v>321</v>
      </c>
      <c r="L98" s="105">
        <v>0.65</v>
      </c>
      <c r="M98" s="106" t="s">
        <v>328</v>
      </c>
      <c r="N98" s="100"/>
      <c r="O98" s="107"/>
    </row>
    <row r="99" spans="1:15" ht="14.25" customHeight="1">
      <c r="A99" s="100">
        <v>95</v>
      </c>
      <c r="B99" s="101" t="s">
        <v>262</v>
      </c>
      <c r="C99" s="100" t="s">
        <v>451</v>
      </c>
      <c r="D99" s="101" t="s">
        <v>264</v>
      </c>
      <c r="E99" s="101">
        <v>3</v>
      </c>
      <c r="F99" s="103" t="s">
        <v>453</v>
      </c>
      <c r="G99" s="100" t="s">
        <v>260</v>
      </c>
      <c r="H99" s="101" t="s">
        <v>214</v>
      </c>
      <c r="I99" s="101" t="s">
        <v>348</v>
      </c>
      <c r="J99" s="104">
        <v>0.4</v>
      </c>
      <c r="K99" s="102" t="s">
        <v>321</v>
      </c>
      <c r="L99" s="105">
        <v>1</v>
      </c>
      <c r="M99" s="106" t="s">
        <v>317</v>
      </c>
      <c r="N99" s="100"/>
      <c r="O99" s="107"/>
    </row>
    <row r="100" spans="1:15" ht="22.5" customHeight="1">
      <c r="A100" s="100">
        <v>96</v>
      </c>
      <c r="B100" s="101" t="s">
        <v>258</v>
      </c>
      <c r="C100" s="100" t="s">
        <v>449</v>
      </c>
      <c r="D100" s="101" t="s">
        <v>240</v>
      </c>
      <c r="E100" s="101">
        <v>4</v>
      </c>
      <c r="F100" s="103" t="s">
        <v>454</v>
      </c>
      <c r="G100" s="100" t="s">
        <v>260</v>
      </c>
      <c r="H100" s="101" t="s">
        <v>214</v>
      </c>
      <c r="I100" s="101" t="s">
        <v>315</v>
      </c>
      <c r="J100" s="104">
        <v>1</v>
      </c>
      <c r="K100" s="102" t="s">
        <v>324</v>
      </c>
      <c r="L100" s="105">
        <v>0.65</v>
      </c>
      <c r="M100" s="106" t="s">
        <v>328</v>
      </c>
      <c r="N100" s="100"/>
      <c r="O100" s="107"/>
    </row>
    <row r="101" spans="1:15" ht="22.5" customHeight="1">
      <c r="A101" s="100">
        <v>97</v>
      </c>
      <c r="B101" s="101" t="s">
        <v>262</v>
      </c>
      <c r="C101" s="100" t="s">
        <v>451</v>
      </c>
      <c r="D101" s="101" t="s">
        <v>264</v>
      </c>
      <c r="E101" s="101">
        <v>4</v>
      </c>
      <c r="F101" s="103" t="s">
        <v>454</v>
      </c>
      <c r="G101" s="100" t="s">
        <v>260</v>
      </c>
      <c r="H101" s="101" t="s">
        <v>214</v>
      </c>
      <c r="I101" s="101" t="s">
        <v>315</v>
      </c>
      <c r="J101" s="104">
        <v>1</v>
      </c>
      <c r="K101" s="102" t="s">
        <v>324</v>
      </c>
      <c r="L101" s="105">
        <v>1</v>
      </c>
      <c r="M101" s="106" t="s">
        <v>317</v>
      </c>
      <c r="N101" s="100"/>
      <c r="O101" s="107"/>
    </row>
    <row r="102" spans="1:15" ht="22.5" customHeight="1">
      <c r="A102" s="100">
        <v>98</v>
      </c>
      <c r="B102" s="101" t="s">
        <v>258</v>
      </c>
      <c r="C102" s="100" t="s">
        <v>449</v>
      </c>
      <c r="D102" s="101" t="s">
        <v>240</v>
      </c>
      <c r="E102" s="101">
        <v>5</v>
      </c>
      <c r="F102" s="103" t="s">
        <v>455</v>
      </c>
      <c r="G102" s="100" t="s">
        <v>260</v>
      </c>
      <c r="H102" s="101" t="s">
        <v>214</v>
      </c>
      <c r="I102" s="101" t="s">
        <v>315</v>
      </c>
      <c r="J102" s="104">
        <v>1</v>
      </c>
      <c r="K102" s="102" t="s">
        <v>381</v>
      </c>
      <c r="L102" s="105">
        <v>0.65</v>
      </c>
      <c r="M102" s="106" t="s">
        <v>328</v>
      </c>
      <c r="N102" s="100"/>
      <c r="O102" s="107"/>
    </row>
    <row r="103" spans="1:15" ht="22.5" customHeight="1">
      <c r="A103" s="100">
        <v>99</v>
      </c>
      <c r="B103" s="101" t="s">
        <v>262</v>
      </c>
      <c r="C103" s="100" t="s">
        <v>451</v>
      </c>
      <c r="D103" s="101" t="s">
        <v>264</v>
      </c>
      <c r="E103" s="101">
        <v>5</v>
      </c>
      <c r="F103" s="103" t="s">
        <v>455</v>
      </c>
      <c r="G103" s="100" t="s">
        <v>260</v>
      </c>
      <c r="H103" s="101" t="s">
        <v>214</v>
      </c>
      <c r="I103" s="101" t="s">
        <v>315</v>
      </c>
      <c r="J103" s="104">
        <v>1</v>
      </c>
      <c r="K103" s="102" t="s">
        <v>381</v>
      </c>
      <c r="L103" s="105">
        <v>1</v>
      </c>
      <c r="M103" s="106" t="s">
        <v>317</v>
      </c>
      <c r="N103" s="100"/>
      <c r="O103" s="107"/>
    </row>
    <row r="104" spans="1:15" ht="14.25" customHeight="1">
      <c r="A104" s="100">
        <v>100</v>
      </c>
      <c r="B104" s="101" t="s">
        <v>266</v>
      </c>
      <c r="C104" s="100" t="s">
        <v>456</v>
      </c>
      <c r="D104" s="101" t="s">
        <v>240</v>
      </c>
      <c r="E104" s="101">
        <v>1</v>
      </c>
      <c r="F104" s="103" t="s">
        <v>457</v>
      </c>
      <c r="G104" s="100" t="s">
        <v>260</v>
      </c>
      <c r="H104" s="101" t="s">
        <v>214</v>
      </c>
      <c r="I104" s="101" t="s">
        <v>315</v>
      </c>
      <c r="J104" s="104">
        <v>1</v>
      </c>
      <c r="K104" s="102" t="s">
        <v>387</v>
      </c>
      <c r="L104" s="105">
        <v>0.65</v>
      </c>
      <c r="M104" s="106" t="s">
        <v>328</v>
      </c>
      <c r="N104" s="100"/>
      <c r="O104" s="107"/>
    </row>
    <row r="105" spans="1:15" ht="14.25" customHeight="1">
      <c r="A105" s="100">
        <v>101</v>
      </c>
      <c r="B105" s="101" t="s">
        <v>269</v>
      </c>
      <c r="C105" s="100" t="s">
        <v>458</v>
      </c>
      <c r="D105" s="101" t="s">
        <v>264</v>
      </c>
      <c r="E105" s="101">
        <v>1</v>
      </c>
      <c r="F105" s="103" t="s">
        <v>457</v>
      </c>
      <c r="G105" s="100" t="s">
        <v>260</v>
      </c>
      <c r="H105" s="101" t="s">
        <v>214</v>
      </c>
      <c r="I105" s="101" t="s">
        <v>315</v>
      </c>
      <c r="J105" s="104">
        <v>1</v>
      </c>
      <c r="K105" s="102" t="s">
        <v>387</v>
      </c>
      <c r="L105" s="105">
        <v>1</v>
      </c>
      <c r="M105" s="106" t="s">
        <v>317</v>
      </c>
      <c r="N105" s="100"/>
      <c r="O105" s="107"/>
    </row>
    <row r="106" spans="1:15" ht="14.25" customHeight="1">
      <c r="A106" s="100">
        <v>102</v>
      </c>
      <c r="B106" s="101" t="s">
        <v>266</v>
      </c>
      <c r="C106" s="100" t="s">
        <v>456</v>
      </c>
      <c r="D106" s="101" t="s">
        <v>240</v>
      </c>
      <c r="E106" s="101">
        <v>2</v>
      </c>
      <c r="F106" s="103" t="s">
        <v>459</v>
      </c>
      <c r="G106" s="100" t="s">
        <v>260</v>
      </c>
      <c r="H106" s="101" t="s">
        <v>214</v>
      </c>
      <c r="I106" s="101" t="s">
        <v>315</v>
      </c>
      <c r="J106" s="104">
        <v>1</v>
      </c>
      <c r="K106" s="102" t="s">
        <v>319</v>
      </c>
      <c r="L106" s="105">
        <v>0.65</v>
      </c>
      <c r="M106" s="106" t="s">
        <v>328</v>
      </c>
      <c r="N106" s="100"/>
      <c r="O106" s="107"/>
    </row>
    <row r="107" spans="1:15" ht="14.25" customHeight="1">
      <c r="A107" s="100">
        <v>103</v>
      </c>
      <c r="B107" s="101" t="s">
        <v>269</v>
      </c>
      <c r="C107" s="100" t="s">
        <v>458</v>
      </c>
      <c r="D107" s="101" t="s">
        <v>264</v>
      </c>
      <c r="E107" s="101">
        <v>2</v>
      </c>
      <c r="F107" s="103" t="s">
        <v>459</v>
      </c>
      <c r="G107" s="100" t="s">
        <v>260</v>
      </c>
      <c r="H107" s="101" t="s">
        <v>214</v>
      </c>
      <c r="I107" s="101" t="s">
        <v>315</v>
      </c>
      <c r="J107" s="104">
        <v>1</v>
      </c>
      <c r="K107" s="102" t="s">
        <v>319</v>
      </c>
      <c r="L107" s="105">
        <v>1</v>
      </c>
      <c r="M107" s="106" t="s">
        <v>317</v>
      </c>
      <c r="N107" s="100"/>
      <c r="O107" s="107"/>
    </row>
    <row r="108" spans="1:15" ht="14.25" customHeight="1">
      <c r="A108" s="100">
        <v>104</v>
      </c>
      <c r="B108" s="101" t="s">
        <v>266</v>
      </c>
      <c r="C108" s="100" t="s">
        <v>456</v>
      </c>
      <c r="D108" s="101" t="s">
        <v>240</v>
      </c>
      <c r="E108" s="101">
        <v>3</v>
      </c>
      <c r="F108" s="103" t="s">
        <v>460</v>
      </c>
      <c r="G108" s="100" t="s">
        <v>260</v>
      </c>
      <c r="H108" s="101" t="s">
        <v>214</v>
      </c>
      <c r="I108" s="101" t="s">
        <v>315</v>
      </c>
      <c r="J108" s="104">
        <v>1</v>
      </c>
      <c r="K108" s="102" t="s">
        <v>321</v>
      </c>
      <c r="L108" s="105">
        <v>0.65</v>
      </c>
      <c r="M108" s="106" t="s">
        <v>328</v>
      </c>
      <c r="N108" s="100"/>
      <c r="O108" s="107"/>
    </row>
    <row r="109" spans="1:15" ht="14.25" customHeight="1">
      <c r="A109" s="100">
        <v>105</v>
      </c>
      <c r="B109" s="101" t="s">
        <v>269</v>
      </c>
      <c r="C109" s="100" t="s">
        <v>458</v>
      </c>
      <c r="D109" s="101" t="s">
        <v>264</v>
      </c>
      <c r="E109" s="101">
        <v>3</v>
      </c>
      <c r="F109" s="103" t="s">
        <v>460</v>
      </c>
      <c r="G109" s="100" t="s">
        <v>260</v>
      </c>
      <c r="H109" s="101" t="s">
        <v>214</v>
      </c>
      <c r="I109" s="101" t="s">
        <v>315</v>
      </c>
      <c r="J109" s="104">
        <v>1</v>
      </c>
      <c r="K109" s="102" t="s">
        <v>321</v>
      </c>
      <c r="L109" s="105">
        <v>1</v>
      </c>
      <c r="M109" s="106" t="s">
        <v>317</v>
      </c>
      <c r="N109" s="100"/>
      <c r="O109" s="107"/>
    </row>
    <row r="110" spans="1:15" ht="22.5" customHeight="1">
      <c r="A110" s="100">
        <v>106</v>
      </c>
      <c r="B110" s="101" t="s">
        <v>266</v>
      </c>
      <c r="C110" s="100" t="s">
        <v>456</v>
      </c>
      <c r="D110" s="101" t="s">
        <v>240</v>
      </c>
      <c r="E110" s="101">
        <v>4</v>
      </c>
      <c r="F110" s="103" t="s">
        <v>461</v>
      </c>
      <c r="G110" s="100" t="s">
        <v>260</v>
      </c>
      <c r="H110" s="101" t="s">
        <v>214</v>
      </c>
      <c r="I110" s="101" t="s">
        <v>315</v>
      </c>
      <c r="J110" s="104">
        <v>1</v>
      </c>
      <c r="K110" s="102" t="s">
        <v>324</v>
      </c>
      <c r="L110" s="105">
        <v>0.65</v>
      </c>
      <c r="M110" s="106" t="s">
        <v>328</v>
      </c>
      <c r="N110" s="100"/>
      <c r="O110" s="107"/>
    </row>
    <row r="111" spans="1:15" ht="22.5" customHeight="1">
      <c r="A111" s="100">
        <v>107</v>
      </c>
      <c r="B111" s="101" t="s">
        <v>269</v>
      </c>
      <c r="C111" s="100" t="s">
        <v>458</v>
      </c>
      <c r="D111" s="101" t="s">
        <v>264</v>
      </c>
      <c r="E111" s="101">
        <v>4</v>
      </c>
      <c r="F111" s="103" t="s">
        <v>461</v>
      </c>
      <c r="G111" s="100" t="s">
        <v>260</v>
      </c>
      <c r="H111" s="101" t="s">
        <v>214</v>
      </c>
      <c r="I111" s="101" t="s">
        <v>315</v>
      </c>
      <c r="J111" s="104">
        <v>1</v>
      </c>
      <c r="K111" s="102" t="s">
        <v>324</v>
      </c>
      <c r="L111" s="105">
        <v>1</v>
      </c>
      <c r="M111" s="106" t="s">
        <v>317</v>
      </c>
      <c r="N111" s="100"/>
      <c r="O111" s="107"/>
    </row>
    <row r="112" spans="1:15" ht="14.25" customHeight="1">
      <c r="A112" s="100">
        <v>108</v>
      </c>
      <c r="B112" s="101" t="s">
        <v>266</v>
      </c>
      <c r="C112" s="100" t="s">
        <v>456</v>
      </c>
      <c r="D112" s="101" t="s">
        <v>240</v>
      </c>
      <c r="E112" s="101">
        <v>5</v>
      </c>
      <c r="F112" s="103" t="s">
        <v>462</v>
      </c>
      <c r="G112" s="100" t="s">
        <v>260</v>
      </c>
      <c r="H112" s="101" t="s">
        <v>214</v>
      </c>
      <c r="I112" s="101" t="s">
        <v>315</v>
      </c>
      <c r="J112" s="104">
        <v>1</v>
      </c>
      <c r="K112" s="102" t="s">
        <v>381</v>
      </c>
      <c r="L112" s="105">
        <v>0.65</v>
      </c>
      <c r="M112" s="106" t="s">
        <v>328</v>
      </c>
      <c r="N112" s="100"/>
      <c r="O112" s="107"/>
    </row>
    <row r="113" spans="1:15" ht="14.25" customHeight="1">
      <c r="A113" s="100">
        <v>109</v>
      </c>
      <c r="B113" s="101" t="s">
        <v>269</v>
      </c>
      <c r="C113" s="100" t="s">
        <v>458</v>
      </c>
      <c r="D113" s="101" t="s">
        <v>264</v>
      </c>
      <c r="E113" s="101">
        <v>5</v>
      </c>
      <c r="F113" s="103" t="s">
        <v>462</v>
      </c>
      <c r="G113" s="100" t="s">
        <v>260</v>
      </c>
      <c r="H113" s="101" t="s">
        <v>214</v>
      </c>
      <c r="I113" s="101" t="s">
        <v>315</v>
      </c>
      <c r="J113" s="104">
        <v>1</v>
      </c>
      <c r="K113" s="102" t="s">
        <v>381</v>
      </c>
      <c r="L113" s="105">
        <v>1</v>
      </c>
      <c r="M113" s="106" t="s">
        <v>317</v>
      </c>
      <c r="N113" s="100"/>
      <c r="O113" s="107"/>
    </row>
    <row r="114" spans="1:15" ht="14.25" customHeight="1">
      <c r="A114" s="100">
        <v>110</v>
      </c>
      <c r="B114" s="101" t="s">
        <v>272</v>
      </c>
      <c r="C114" s="100" t="s">
        <v>463</v>
      </c>
      <c r="D114" s="101"/>
      <c r="E114" s="101">
        <v>1</v>
      </c>
      <c r="F114" s="103" t="s">
        <v>464</v>
      </c>
      <c r="G114" s="100" t="s">
        <v>260</v>
      </c>
      <c r="H114" s="101" t="s">
        <v>214</v>
      </c>
      <c r="I114" s="101" t="s">
        <v>315</v>
      </c>
      <c r="J114" s="104">
        <v>1</v>
      </c>
      <c r="K114" s="102" t="s">
        <v>387</v>
      </c>
      <c r="L114" s="105">
        <v>1</v>
      </c>
      <c r="M114" s="106" t="s">
        <v>317</v>
      </c>
      <c r="N114" s="100"/>
      <c r="O114" s="107"/>
    </row>
    <row r="115" spans="1:15" ht="14.25" customHeight="1">
      <c r="A115" s="100">
        <v>111</v>
      </c>
      <c r="B115" s="101" t="s">
        <v>272</v>
      </c>
      <c r="C115" s="100" t="s">
        <v>463</v>
      </c>
      <c r="D115" s="101"/>
      <c r="E115" s="101">
        <v>2</v>
      </c>
      <c r="F115" s="103" t="s">
        <v>465</v>
      </c>
      <c r="G115" s="100" t="s">
        <v>260</v>
      </c>
      <c r="H115" s="101" t="s">
        <v>214</v>
      </c>
      <c r="I115" s="101" t="s">
        <v>315</v>
      </c>
      <c r="J115" s="104">
        <v>1</v>
      </c>
      <c r="K115" s="102" t="s">
        <v>319</v>
      </c>
      <c r="L115" s="105">
        <v>1</v>
      </c>
      <c r="M115" s="106" t="s">
        <v>317</v>
      </c>
      <c r="N115" s="100"/>
      <c r="O115" s="107"/>
    </row>
    <row r="116" spans="1:15" ht="14.25" customHeight="1">
      <c r="A116" s="100">
        <v>112</v>
      </c>
      <c r="B116" s="101" t="s">
        <v>272</v>
      </c>
      <c r="C116" s="100" t="s">
        <v>463</v>
      </c>
      <c r="D116" s="101"/>
      <c r="E116" s="101">
        <v>3</v>
      </c>
      <c r="F116" s="103" t="s">
        <v>466</v>
      </c>
      <c r="G116" s="100" t="s">
        <v>260</v>
      </c>
      <c r="H116" s="101" t="s">
        <v>214</v>
      </c>
      <c r="I116" s="101" t="s">
        <v>315</v>
      </c>
      <c r="J116" s="104">
        <v>1</v>
      </c>
      <c r="K116" s="102" t="s">
        <v>321</v>
      </c>
      <c r="L116" s="105">
        <v>1</v>
      </c>
      <c r="M116" s="106" t="s">
        <v>317</v>
      </c>
      <c r="N116" s="100"/>
      <c r="O116" s="107"/>
    </row>
    <row r="117" spans="1:15" ht="14.25" customHeight="1">
      <c r="A117" s="100">
        <v>113</v>
      </c>
      <c r="B117" s="101" t="s">
        <v>272</v>
      </c>
      <c r="C117" s="100" t="s">
        <v>463</v>
      </c>
      <c r="D117" s="101"/>
      <c r="E117" s="101">
        <v>4</v>
      </c>
      <c r="F117" s="103" t="s">
        <v>467</v>
      </c>
      <c r="G117" s="100" t="s">
        <v>326</v>
      </c>
      <c r="H117" s="101" t="s">
        <v>214</v>
      </c>
      <c r="I117" s="101" t="s">
        <v>315</v>
      </c>
      <c r="J117" s="104">
        <v>1</v>
      </c>
      <c r="K117" s="102" t="s">
        <v>398</v>
      </c>
      <c r="L117" s="105">
        <v>0.75</v>
      </c>
      <c r="M117" s="106" t="s">
        <v>328</v>
      </c>
      <c r="N117" s="100"/>
      <c r="O117" s="107"/>
    </row>
    <row r="118" spans="1:15" ht="14.25" customHeight="1">
      <c r="A118" s="100">
        <v>114</v>
      </c>
      <c r="B118" s="101" t="s">
        <v>272</v>
      </c>
      <c r="C118" s="100" t="s">
        <v>463</v>
      </c>
      <c r="D118" s="101"/>
      <c r="E118" s="101">
        <v>5</v>
      </c>
      <c r="F118" s="103" t="s">
        <v>468</v>
      </c>
      <c r="G118" s="100" t="s">
        <v>326</v>
      </c>
      <c r="H118" s="101" t="s">
        <v>214</v>
      </c>
      <c r="I118" s="101" t="s">
        <v>315</v>
      </c>
      <c r="J118" s="104">
        <v>1</v>
      </c>
      <c r="K118" s="102" t="s">
        <v>327</v>
      </c>
      <c r="L118" s="105">
        <v>0.75</v>
      </c>
      <c r="M118" s="106" t="s">
        <v>328</v>
      </c>
      <c r="N118" s="100"/>
      <c r="O118" s="107"/>
    </row>
    <row r="119" spans="1:15" ht="22.5" customHeight="1">
      <c r="A119" s="100">
        <v>115</v>
      </c>
      <c r="B119" s="101" t="s">
        <v>272</v>
      </c>
      <c r="C119" s="100" t="s">
        <v>463</v>
      </c>
      <c r="D119" s="101"/>
      <c r="E119" s="101">
        <v>6</v>
      </c>
      <c r="F119" s="103" t="s">
        <v>469</v>
      </c>
      <c r="G119" s="100" t="s">
        <v>326</v>
      </c>
      <c r="H119" s="101" t="s">
        <v>214</v>
      </c>
      <c r="I119" s="101" t="s">
        <v>315</v>
      </c>
      <c r="J119" s="104">
        <v>1</v>
      </c>
      <c r="K119" s="102" t="s">
        <v>373</v>
      </c>
      <c r="L119" s="105">
        <v>0.75</v>
      </c>
      <c r="M119" s="106" t="s">
        <v>328</v>
      </c>
      <c r="N119" s="100"/>
      <c r="O119" s="107"/>
    </row>
    <row r="120" spans="1:15" ht="22.5" customHeight="1">
      <c r="A120" s="100">
        <v>116</v>
      </c>
      <c r="B120" s="101" t="s">
        <v>272</v>
      </c>
      <c r="C120" s="100" t="s">
        <v>463</v>
      </c>
      <c r="D120" s="101"/>
      <c r="E120" s="101">
        <v>7</v>
      </c>
      <c r="F120" s="103" t="s">
        <v>470</v>
      </c>
      <c r="G120" s="100" t="s">
        <v>326</v>
      </c>
      <c r="H120" s="101" t="s">
        <v>214</v>
      </c>
      <c r="I120" s="101" t="s">
        <v>315</v>
      </c>
      <c r="J120" s="104">
        <v>1</v>
      </c>
      <c r="K120" s="102" t="s">
        <v>375</v>
      </c>
      <c r="L120" s="105">
        <v>0.75</v>
      </c>
      <c r="M120" s="106" t="s">
        <v>328</v>
      </c>
      <c r="N120" s="100"/>
      <c r="O120" s="107"/>
    </row>
    <row r="121" spans="1:15" ht="14.25" customHeight="1">
      <c r="A121" s="100">
        <v>117</v>
      </c>
      <c r="B121" s="101" t="s">
        <v>275</v>
      </c>
      <c r="C121" s="100" t="s">
        <v>471</v>
      </c>
      <c r="D121" s="101"/>
      <c r="E121" s="101">
        <v>1</v>
      </c>
      <c r="F121" s="103" t="s">
        <v>472</v>
      </c>
      <c r="G121" s="100" t="s">
        <v>326</v>
      </c>
      <c r="H121" s="101" t="s">
        <v>214</v>
      </c>
      <c r="I121" s="101" t="s">
        <v>315</v>
      </c>
      <c r="J121" s="104">
        <v>1</v>
      </c>
      <c r="K121" s="102" t="s">
        <v>426</v>
      </c>
      <c r="L121" s="105">
        <v>0.75</v>
      </c>
      <c r="M121" s="106" t="s">
        <v>328</v>
      </c>
      <c r="N121" s="100"/>
      <c r="O121" s="107"/>
    </row>
    <row r="122" spans="1:15" ht="14.25" customHeight="1">
      <c r="A122" s="100">
        <v>118</v>
      </c>
      <c r="B122" s="101" t="s">
        <v>275</v>
      </c>
      <c r="C122" s="100" t="s">
        <v>471</v>
      </c>
      <c r="D122" s="101"/>
      <c r="E122" s="101">
        <v>2</v>
      </c>
      <c r="F122" s="103" t="s">
        <v>473</v>
      </c>
      <c r="G122" s="100" t="s">
        <v>326</v>
      </c>
      <c r="H122" s="101" t="s">
        <v>214</v>
      </c>
      <c r="I122" s="101" t="s">
        <v>315</v>
      </c>
      <c r="J122" s="104">
        <v>1</v>
      </c>
      <c r="K122" s="102" t="s">
        <v>428</v>
      </c>
      <c r="L122" s="105">
        <v>0.75</v>
      </c>
      <c r="M122" s="106" t="s">
        <v>328</v>
      </c>
      <c r="N122" s="100"/>
      <c r="O122" s="107"/>
    </row>
    <row r="123" spans="1:15" ht="14.25" customHeight="1">
      <c r="A123" s="100">
        <v>119</v>
      </c>
      <c r="B123" s="101" t="s">
        <v>275</v>
      </c>
      <c r="C123" s="100" t="s">
        <v>471</v>
      </c>
      <c r="D123" s="101"/>
      <c r="E123" s="101">
        <v>3</v>
      </c>
      <c r="F123" s="103" t="s">
        <v>474</v>
      </c>
      <c r="G123" s="100" t="s">
        <v>280</v>
      </c>
      <c r="H123" s="101" t="s">
        <v>214</v>
      </c>
      <c r="I123" s="101" t="s">
        <v>315</v>
      </c>
      <c r="J123" s="104">
        <v>1</v>
      </c>
      <c r="K123" s="102" t="s">
        <v>430</v>
      </c>
      <c r="L123" s="105">
        <v>0</v>
      </c>
      <c r="M123" s="106" t="s">
        <v>431</v>
      </c>
      <c r="N123" s="100"/>
      <c r="O123" s="107"/>
    </row>
    <row r="124" spans="1:15" ht="22.5" customHeight="1">
      <c r="A124" s="100">
        <v>120</v>
      </c>
      <c r="B124" s="101" t="s">
        <v>275</v>
      </c>
      <c r="C124" s="100" t="s">
        <v>471</v>
      </c>
      <c r="D124" s="101"/>
      <c r="E124" s="101">
        <v>4</v>
      </c>
      <c r="F124" s="103" t="s">
        <v>475</v>
      </c>
      <c r="G124" s="100" t="s">
        <v>280</v>
      </c>
      <c r="H124" s="101" t="s">
        <v>214</v>
      </c>
      <c r="I124" s="101" t="s">
        <v>315</v>
      </c>
      <c r="J124" s="104">
        <v>1</v>
      </c>
      <c r="K124" s="102" t="s">
        <v>433</v>
      </c>
      <c r="L124" s="105">
        <v>0</v>
      </c>
      <c r="M124" s="106" t="s">
        <v>431</v>
      </c>
      <c r="N124" s="100"/>
      <c r="O124" s="107"/>
    </row>
    <row r="125" spans="1:15" ht="14.25" customHeight="1">
      <c r="A125" s="100">
        <v>121</v>
      </c>
      <c r="B125" s="101" t="s">
        <v>275</v>
      </c>
      <c r="C125" s="100" t="s">
        <v>471</v>
      </c>
      <c r="D125" s="101"/>
      <c r="E125" s="101">
        <v>5</v>
      </c>
      <c r="F125" s="103" t="s">
        <v>476</v>
      </c>
      <c r="G125" s="100" t="s">
        <v>280</v>
      </c>
      <c r="H125" s="101" t="s">
        <v>214</v>
      </c>
      <c r="I125" s="101" t="s">
        <v>315</v>
      </c>
      <c r="J125" s="104">
        <v>1</v>
      </c>
      <c r="K125" s="102" t="s">
        <v>435</v>
      </c>
      <c r="L125" s="105">
        <v>0</v>
      </c>
      <c r="M125" s="106" t="s">
        <v>431</v>
      </c>
      <c r="N125" s="100"/>
      <c r="O125" s="107"/>
    </row>
    <row r="126" spans="1:15" ht="14.25" customHeight="1">
      <c r="A126" s="100">
        <v>122</v>
      </c>
      <c r="B126" s="101" t="s">
        <v>278</v>
      </c>
      <c r="C126" s="102" t="s">
        <v>279</v>
      </c>
      <c r="D126" s="101"/>
      <c r="E126" s="101">
        <v>1</v>
      </c>
      <c r="F126" s="103" t="s">
        <v>477</v>
      </c>
      <c r="G126" s="100" t="s">
        <v>280</v>
      </c>
      <c r="H126" s="101" t="s">
        <v>214</v>
      </c>
      <c r="I126" s="101" t="s">
        <v>315</v>
      </c>
      <c r="J126" s="104">
        <v>1</v>
      </c>
      <c r="K126" s="102" t="s">
        <v>478</v>
      </c>
      <c r="L126" s="105">
        <v>0</v>
      </c>
      <c r="M126" s="106" t="s">
        <v>431</v>
      </c>
      <c r="N126" s="100"/>
      <c r="O126" s="107"/>
    </row>
    <row r="127" spans="1:15" ht="14.25" customHeight="1">
      <c r="A127" s="100">
        <v>123</v>
      </c>
      <c r="B127" s="101" t="s">
        <v>278</v>
      </c>
      <c r="C127" s="102" t="s">
        <v>279</v>
      </c>
      <c r="D127" s="101"/>
      <c r="E127" s="101">
        <v>2</v>
      </c>
      <c r="F127" s="103" t="s">
        <v>479</v>
      </c>
      <c r="G127" s="100" t="s">
        <v>280</v>
      </c>
      <c r="H127" s="101" t="s">
        <v>214</v>
      </c>
      <c r="I127" s="101" t="s">
        <v>315</v>
      </c>
      <c r="J127" s="104">
        <v>1</v>
      </c>
      <c r="K127" s="102" t="s">
        <v>480</v>
      </c>
      <c r="L127" s="105">
        <v>0</v>
      </c>
      <c r="M127" s="106" t="s">
        <v>431</v>
      </c>
      <c r="N127" s="100"/>
      <c r="O127" s="107"/>
    </row>
    <row r="128" spans="1:15" ht="14.25" customHeight="1">
      <c r="A128" s="100">
        <v>124</v>
      </c>
      <c r="B128" s="101" t="s">
        <v>278</v>
      </c>
      <c r="C128" s="102" t="s">
        <v>279</v>
      </c>
      <c r="D128" s="101"/>
      <c r="E128" s="101">
        <v>3</v>
      </c>
      <c r="F128" s="103" t="s">
        <v>481</v>
      </c>
      <c r="G128" s="100" t="s">
        <v>280</v>
      </c>
      <c r="H128" s="101" t="s">
        <v>214</v>
      </c>
      <c r="I128" s="101" t="s">
        <v>315</v>
      </c>
      <c r="J128" s="104">
        <v>1</v>
      </c>
      <c r="K128" s="102" t="s">
        <v>430</v>
      </c>
      <c r="L128" s="105">
        <v>0</v>
      </c>
      <c r="M128" s="106" t="s">
        <v>431</v>
      </c>
      <c r="N128" s="100"/>
      <c r="O128" s="107"/>
    </row>
    <row r="129" spans="1:15" ht="22.5" customHeight="1">
      <c r="A129" s="100">
        <v>125</v>
      </c>
      <c r="B129" s="101" t="s">
        <v>278</v>
      </c>
      <c r="C129" s="102" t="s">
        <v>279</v>
      </c>
      <c r="D129" s="101"/>
      <c r="E129" s="101">
        <v>4</v>
      </c>
      <c r="F129" s="103" t="s">
        <v>482</v>
      </c>
      <c r="G129" s="100" t="s">
        <v>280</v>
      </c>
      <c r="H129" s="101" t="s">
        <v>214</v>
      </c>
      <c r="I129" s="101" t="s">
        <v>315</v>
      </c>
      <c r="J129" s="104">
        <v>1</v>
      </c>
      <c r="K129" s="102" t="s">
        <v>433</v>
      </c>
      <c r="L129" s="105">
        <v>0</v>
      </c>
      <c r="M129" s="106" t="s">
        <v>431</v>
      </c>
      <c r="N129" s="100"/>
      <c r="O129" s="107"/>
    </row>
    <row r="130" spans="1:15" ht="14.25" customHeight="1">
      <c r="A130" s="100">
        <v>126</v>
      </c>
      <c r="B130" s="101" t="s">
        <v>278</v>
      </c>
      <c r="C130" s="102" t="s">
        <v>279</v>
      </c>
      <c r="D130" s="101"/>
      <c r="E130" s="101">
        <v>5</v>
      </c>
      <c r="F130" s="103" t="s">
        <v>483</v>
      </c>
      <c r="G130" s="100" t="s">
        <v>280</v>
      </c>
      <c r="H130" s="101" t="s">
        <v>214</v>
      </c>
      <c r="I130" s="101" t="s">
        <v>315</v>
      </c>
      <c r="J130" s="104">
        <v>1</v>
      </c>
      <c r="K130" s="102" t="s">
        <v>435</v>
      </c>
      <c r="L130" s="105">
        <v>0</v>
      </c>
      <c r="M130" s="106" t="s">
        <v>431</v>
      </c>
      <c r="N130" s="100"/>
      <c r="O130" s="107"/>
    </row>
    <row r="131" spans="1:15" ht="14.25" customHeight="1">
      <c r="A131" s="100">
        <v>127</v>
      </c>
      <c r="B131" s="101" t="s">
        <v>281</v>
      </c>
      <c r="C131" s="100" t="s">
        <v>484</v>
      </c>
      <c r="D131" s="101"/>
      <c r="E131" s="101">
        <v>1</v>
      </c>
      <c r="F131" s="103" t="s">
        <v>485</v>
      </c>
      <c r="G131" s="100" t="s">
        <v>245</v>
      </c>
      <c r="H131" s="101" t="s">
        <v>214</v>
      </c>
      <c r="I131" s="101" t="s">
        <v>348</v>
      </c>
      <c r="J131" s="104">
        <v>0.4</v>
      </c>
      <c r="K131" s="102" t="s">
        <v>316</v>
      </c>
      <c r="L131" s="105">
        <v>1</v>
      </c>
      <c r="M131" s="106" t="s">
        <v>317</v>
      </c>
      <c r="N131" s="100"/>
      <c r="O131" s="107"/>
    </row>
    <row r="132" spans="1:15" ht="14.25" customHeight="1">
      <c r="A132" s="100">
        <v>128</v>
      </c>
      <c r="B132" s="101" t="s">
        <v>281</v>
      </c>
      <c r="C132" s="100" t="s">
        <v>484</v>
      </c>
      <c r="D132" s="101"/>
      <c r="E132" s="101">
        <v>2</v>
      </c>
      <c r="F132" s="103" t="s">
        <v>486</v>
      </c>
      <c r="G132" s="100" t="s">
        <v>245</v>
      </c>
      <c r="H132" s="101" t="s">
        <v>214</v>
      </c>
      <c r="I132" s="101" t="s">
        <v>348</v>
      </c>
      <c r="J132" s="104">
        <v>0.4</v>
      </c>
      <c r="K132" s="102" t="s">
        <v>350</v>
      </c>
      <c r="L132" s="105">
        <v>1</v>
      </c>
      <c r="M132" s="106" t="s">
        <v>317</v>
      </c>
      <c r="N132" s="100"/>
      <c r="O132" s="107"/>
    </row>
    <row r="133" spans="1:15" ht="14.25" customHeight="1">
      <c r="A133" s="100">
        <v>129</v>
      </c>
      <c r="B133" s="101" t="s">
        <v>281</v>
      </c>
      <c r="C133" s="100" t="s">
        <v>484</v>
      </c>
      <c r="D133" s="101"/>
      <c r="E133" s="101">
        <v>3</v>
      </c>
      <c r="F133" s="103" t="s">
        <v>487</v>
      </c>
      <c r="G133" s="100" t="s">
        <v>245</v>
      </c>
      <c r="H133" s="101" t="s">
        <v>214</v>
      </c>
      <c r="I133" s="101" t="s">
        <v>315</v>
      </c>
      <c r="J133" s="104">
        <v>1</v>
      </c>
      <c r="K133" s="102" t="s">
        <v>352</v>
      </c>
      <c r="L133" s="105">
        <v>1</v>
      </c>
      <c r="M133" s="106" t="s">
        <v>317</v>
      </c>
      <c r="N133" s="100"/>
      <c r="O133" s="107"/>
    </row>
    <row r="134" spans="1:15" ht="14.25" customHeight="1">
      <c r="A134" s="100">
        <v>130</v>
      </c>
      <c r="B134" s="101" t="s">
        <v>281</v>
      </c>
      <c r="C134" s="100" t="s">
        <v>484</v>
      </c>
      <c r="D134" s="101"/>
      <c r="E134" s="101">
        <v>4</v>
      </c>
      <c r="F134" s="103" t="s">
        <v>488</v>
      </c>
      <c r="G134" s="100" t="s">
        <v>245</v>
      </c>
      <c r="H134" s="101" t="s">
        <v>214</v>
      </c>
      <c r="I134" s="101" t="s">
        <v>315</v>
      </c>
      <c r="J134" s="104">
        <v>1</v>
      </c>
      <c r="K134" s="102" t="s">
        <v>354</v>
      </c>
      <c r="L134" s="105">
        <v>1</v>
      </c>
      <c r="M134" s="106" t="s">
        <v>317</v>
      </c>
      <c r="N134" s="100"/>
      <c r="O134" s="107"/>
    </row>
    <row r="135" spans="1:15" ht="22.5" customHeight="1">
      <c r="A135" s="100">
        <v>131</v>
      </c>
      <c r="B135" s="101" t="s">
        <v>281</v>
      </c>
      <c r="C135" s="100" t="s">
        <v>484</v>
      </c>
      <c r="D135" s="101"/>
      <c r="E135" s="101">
        <v>5</v>
      </c>
      <c r="F135" s="103" t="s">
        <v>489</v>
      </c>
      <c r="G135" s="100" t="s">
        <v>245</v>
      </c>
      <c r="H135" s="101" t="s">
        <v>214</v>
      </c>
      <c r="I135" s="101" t="s">
        <v>315</v>
      </c>
      <c r="J135" s="104">
        <v>1</v>
      </c>
      <c r="K135" s="102" t="s">
        <v>356</v>
      </c>
      <c r="L135" s="105">
        <v>1</v>
      </c>
      <c r="M135" s="106" t="s">
        <v>317</v>
      </c>
      <c r="N135" s="100"/>
      <c r="O135" s="107"/>
    </row>
    <row r="136" spans="1:15" ht="14.25" customHeight="1">
      <c r="A136" s="100">
        <v>132</v>
      </c>
      <c r="B136" s="101" t="s">
        <v>281</v>
      </c>
      <c r="C136" s="100" t="s">
        <v>484</v>
      </c>
      <c r="D136" s="101"/>
      <c r="E136" s="101">
        <v>6</v>
      </c>
      <c r="F136" s="103" t="s">
        <v>490</v>
      </c>
      <c r="G136" s="100" t="s">
        <v>245</v>
      </c>
      <c r="H136" s="101" t="s">
        <v>214</v>
      </c>
      <c r="I136" s="101" t="s">
        <v>315</v>
      </c>
      <c r="J136" s="104">
        <v>1</v>
      </c>
      <c r="K136" s="102" t="s">
        <v>358</v>
      </c>
      <c r="L136" s="105">
        <v>1</v>
      </c>
      <c r="M136" s="106" t="s">
        <v>317</v>
      </c>
      <c r="N136" s="100"/>
      <c r="O136" s="107"/>
    </row>
    <row r="137" spans="1:15" ht="14.25" customHeight="1">
      <c r="A137" s="100">
        <v>133</v>
      </c>
      <c r="B137" s="101" t="s">
        <v>284</v>
      </c>
      <c r="C137" s="100" t="s">
        <v>491</v>
      </c>
      <c r="D137" s="101"/>
      <c r="E137" s="101">
        <v>1</v>
      </c>
      <c r="F137" s="103" t="s">
        <v>492</v>
      </c>
      <c r="G137" s="100" t="s">
        <v>245</v>
      </c>
      <c r="H137" s="101" t="s">
        <v>214</v>
      </c>
      <c r="I137" s="101" t="s">
        <v>348</v>
      </c>
      <c r="J137" s="104">
        <v>0.4</v>
      </c>
      <c r="K137" s="102" t="s">
        <v>316</v>
      </c>
      <c r="L137" s="105">
        <v>1</v>
      </c>
      <c r="M137" s="106" t="s">
        <v>317</v>
      </c>
      <c r="N137" s="100"/>
      <c r="O137" s="107"/>
    </row>
    <row r="138" spans="1:15" ht="14.25" customHeight="1">
      <c r="A138" s="100">
        <v>134</v>
      </c>
      <c r="B138" s="101" t="s">
        <v>284</v>
      </c>
      <c r="C138" s="100" t="s">
        <v>491</v>
      </c>
      <c r="D138" s="101"/>
      <c r="E138" s="101">
        <v>2</v>
      </c>
      <c r="F138" s="103" t="s">
        <v>493</v>
      </c>
      <c r="G138" s="100" t="s">
        <v>245</v>
      </c>
      <c r="H138" s="101" t="s">
        <v>214</v>
      </c>
      <c r="I138" s="101" t="s">
        <v>348</v>
      </c>
      <c r="J138" s="104">
        <v>0.4</v>
      </c>
      <c r="K138" s="102" t="s">
        <v>350</v>
      </c>
      <c r="L138" s="105">
        <v>1</v>
      </c>
      <c r="M138" s="106" t="s">
        <v>317</v>
      </c>
      <c r="N138" s="100"/>
      <c r="O138" s="107"/>
    </row>
    <row r="139" spans="1:15" ht="14.25" customHeight="1">
      <c r="A139" s="100">
        <v>135</v>
      </c>
      <c r="B139" s="101" t="s">
        <v>284</v>
      </c>
      <c r="C139" s="100" t="s">
        <v>491</v>
      </c>
      <c r="D139" s="101"/>
      <c r="E139" s="101">
        <v>3</v>
      </c>
      <c r="F139" s="103" t="s">
        <v>494</v>
      </c>
      <c r="G139" s="100" t="s">
        <v>245</v>
      </c>
      <c r="H139" s="101" t="s">
        <v>214</v>
      </c>
      <c r="I139" s="101" t="s">
        <v>315</v>
      </c>
      <c r="J139" s="104">
        <v>1</v>
      </c>
      <c r="K139" s="102" t="s">
        <v>352</v>
      </c>
      <c r="L139" s="105">
        <v>1</v>
      </c>
      <c r="M139" s="106" t="s">
        <v>317</v>
      </c>
      <c r="N139" s="100"/>
      <c r="O139" s="107"/>
    </row>
    <row r="140" spans="1:15" ht="14.25" customHeight="1">
      <c r="A140" s="100">
        <v>136</v>
      </c>
      <c r="B140" s="101" t="s">
        <v>284</v>
      </c>
      <c r="C140" s="100" t="s">
        <v>491</v>
      </c>
      <c r="D140" s="101"/>
      <c r="E140" s="101">
        <v>4</v>
      </c>
      <c r="F140" s="103" t="s">
        <v>495</v>
      </c>
      <c r="G140" s="100" t="s">
        <v>245</v>
      </c>
      <c r="H140" s="101" t="s">
        <v>214</v>
      </c>
      <c r="I140" s="101" t="s">
        <v>348</v>
      </c>
      <c r="J140" s="104">
        <v>0.4</v>
      </c>
      <c r="K140" s="102" t="s">
        <v>354</v>
      </c>
      <c r="L140" s="105">
        <v>1</v>
      </c>
      <c r="M140" s="106" t="s">
        <v>317</v>
      </c>
      <c r="N140" s="100"/>
      <c r="O140" s="107"/>
    </row>
    <row r="141" spans="1:15" ht="14.25" customHeight="1">
      <c r="A141" s="100">
        <v>137</v>
      </c>
      <c r="B141" s="101" t="s">
        <v>284</v>
      </c>
      <c r="C141" s="100" t="s">
        <v>491</v>
      </c>
      <c r="D141" s="101"/>
      <c r="E141" s="101">
        <v>5</v>
      </c>
      <c r="F141" s="103" t="s">
        <v>496</v>
      </c>
      <c r="G141" s="100" t="s">
        <v>245</v>
      </c>
      <c r="H141" s="101" t="s">
        <v>214</v>
      </c>
      <c r="I141" s="101" t="s">
        <v>348</v>
      </c>
      <c r="J141" s="104">
        <v>0.4</v>
      </c>
      <c r="K141" s="102" t="s">
        <v>356</v>
      </c>
      <c r="L141" s="105">
        <v>1</v>
      </c>
      <c r="M141" s="106" t="s">
        <v>317</v>
      </c>
      <c r="N141" s="100"/>
      <c r="O141" s="107"/>
    </row>
    <row r="142" spans="1:15" ht="22.5" customHeight="1">
      <c r="A142" s="100">
        <v>138</v>
      </c>
      <c r="B142" s="101" t="s">
        <v>284</v>
      </c>
      <c r="C142" s="100" t="s">
        <v>491</v>
      </c>
      <c r="D142" s="101"/>
      <c r="E142" s="101">
        <v>6</v>
      </c>
      <c r="F142" s="103" t="s">
        <v>497</v>
      </c>
      <c r="G142" s="100" t="s">
        <v>245</v>
      </c>
      <c r="H142" s="101" t="s">
        <v>214</v>
      </c>
      <c r="I142" s="101" t="s">
        <v>315</v>
      </c>
      <c r="J142" s="104">
        <v>1</v>
      </c>
      <c r="K142" s="102" t="s">
        <v>358</v>
      </c>
      <c r="L142" s="105">
        <v>1</v>
      </c>
      <c r="M142" s="106" t="s">
        <v>317</v>
      </c>
      <c r="N142" s="100"/>
      <c r="O142" s="107"/>
    </row>
    <row r="143" spans="1:15" ht="14.25" customHeight="1">
      <c r="A143" s="100">
        <v>139</v>
      </c>
      <c r="B143" s="101" t="s">
        <v>284</v>
      </c>
      <c r="C143" s="100" t="s">
        <v>491</v>
      </c>
      <c r="D143" s="101"/>
      <c r="E143" s="101">
        <v>7</v>
      </c>
      <c r="F143" s="103" t="s">
        <v>498</v>
      </c>
      <c r="G143" s="100" t="s">
        <v>245</v>
      </c>
      <c r="H143" s="101" t="s">
        <v>214</v>
      </c>
      <c r="I143" s="101" t="s">
        <v>315</v>
      </c>
      <c r="J143" s="104">
        <v>1</v>
      </c>
      <c r="K143" s="102" t="s">
        <v>360</v>
      </c>
      <c r="L143" s="105">
        <v>1</v>
      </c>
      <c r="M143" s="106" t="s">
        <v>317</v>
      </c>
      <c r="N143" s="100"/>
      <c r="O143" s="107"/>
    </row>
    <row r="144" spans="1:15" ht="14.25" customHeight="1">
      <c r="A144" s="100">
        <v>140</v>
      </c>
      <c r="B144" s="101" t="s">
        <v>286</v>
      </c>
      <c r="C144" s="100" t="s">
        <v>499</v>
      </c>
      <c r="D144" s="101"/>
      <c r="E144" s="101">
        <v>1</v>
      </c>
      <c r="F144" s="103" t="s">
        <v>500</v>
      </c>
      <c r="G144" s="100" t="s">
        <v>260</v>
      </c>
      <c r="H144" s="101" t="s">
        <v>214</v>
      </c>
      <c r="I144" s="101" t="s">
        <v>315</v>
      </c>
      <c r="J144" s="104">
        <v>1</v>
      </c>
      <c r="K144" s="102" t="s">
        <v>387</v>
      </c>
      <c r="L144" s="105">
        <v>1</v>
      </c>
      <c r="M144" s="106" t="s">
        <v>317</v>
      </c>
      <c r="N144" s="100"/>
      <c r="O144" s="107"/>
    </row>
    <row r="145" spans="1:15" ht="14.25" customHeight="1">
      <c r="A145" s="100">
        <v>141</v>
      </c>
      <c r="B145" s="101" t="s">
        <v>286</v>
      </c>
      <c r="C145" s="100" t="s">
        <v>499</v>
      </c>
      <c r="D145" s="101"/>
      <c r="E145" s="101">
        <v>2</v>
      </c>
      <c r="F145" s="103" t="s">
        <v>501</v>
      </c>
      <c r="G145" s="100" t="s">
        <v>260</v>
      </c>
      <c r="H145" s="101" t="s">
        <v>214</v>
      </c>
      <c r="I145" s="101" t="s">
        <v>315</v>
      </c>
      <c r="J145" s="104">
        <v>1</v>
      </c>
      <c r="K145" s="102" t="s">
        <v>319</v>
      </c>
      <c r="L145" s="105">
        <v>1</v>
      </c>
      <c r="M145" s="106" t="s">
        <v>317</v>
      </c>
      <c r="N145" s="100"/>
      <c r="O145" s="107"/>
    </row>
    <row r="146" spans="1:15" ht="14.25" customHeight="1">
      <c r="A146" s="100">
        <v>142</v>
      </c>
      <c r="B146" s="101" t="s">
        <v>286</v>
      </c>
      <c r="C146" s="100" t="s">
        <v>499</v>
      </c>
      <c r="D146" s="101"/>
      <c r="E146" s="101">
        <v>3</v>
      </c>
      <c r="F146" s="103" t="s">
        <v>502</v>
      </c>
      <c r="G146" s="100" t="s">
        <v>326</v>
      </c>
      <c r="H146" s="101" t="s">
        <v>214</v>
      </c>
      <c r="I146" s="101" t="s">
        <v>315</v>
      </c>
      <c r="J146" s="104">
        <v>1</v>
      </c>
      <c r="K146" s="102" t="s">
        <v>422</v>
      </c>
      <c r="L146" s="105">
        <v>0.75</v>
      </c>
      <c r="M146" s="106" t="s">
        <v>328</v>
      </c>
      <c r="N146" s="100"/>
      <c r="O146" s="107"/>
    </row>
    <row r="147" spans="1:15" ht="22.5" customHeight="1">
      <c r="A147" s="100">
        <v>143</v>
      </c>
      <c r="B147" s="101" t="s">
        <v>286</v>
      </c>
      <c r="C147" s="100" t="s">
        <v>499</v>
      </c>
      <c r="D147" s="101"/>
      <c r="E147" s="101">
        <v>4</v>
      </c>
      <c r="F147" s="103" t="s">
        <v>503</v>
      </c>
      <c r="G147" s="100" t="s">
        <v>326</v>
      </c>
      <c r="H147" s="101" t="s">
        <v>214</v>
      </c>
      <c r="I147" s="101" t="s">
        <v>315</v>
      </c>
      <c r="J147" s="104">
        <v>1</v>
      </c>
      <c r="K147" s="102" t="s">
        <v>398</v>
      </c>
      <c r="L147" s="105">
        <v>0.75</v>
      </c>
      <c r="M147" s="106" t="s">
        <v>328</v>
      </c>
      <c r="N147" s="100"/>
      <c r="O147" s="107"/>
    </row>
    <row r="148" spans="1:15" ht="22.5" customHeight="1">
      <c r="A148" s="100">
        <v>144</v>
      </c>
      <c r="B148" s="101" t="s">
        <v>286</v>
      </c>
      <c r="C148" s="100" t="s">
        <v>499</v>
      </c>
      <c r="D148" s="101"/>
      <c r="E148" s="101">
        <v>5</v>
      </c>
      <c r="F148" s="103" t="s">
        <v>504</v>
      </c>
      <c r="G148" s="100" t="s">
        <v>326</v>
      </c>
      <c r="H148" s="101" t="s">
        <v>214</v>
      </c>
      <c r="I148" s="101" t="s">
        <v>315</v>
      </c>
      <c r="J148" s="104">
        <v>1</v>
      </c>
      <c r="K148" s="102" t="s">
        <v>327</v>
      </c>
      <c r="L148" s="105">
        <v>0.75</v>
      </c>
      <c r="M148" s="106" t="s">
        <v>328</v>
      </c>
      <c r="N148" s="100"/>
      <c r="O148" s="107"/>
    </row>
    <row r="149" spans="1:15" ht="14.25" customHeight="1">
      <c r="A149" s="100">
        <v>145</v>
      </c>
      <c r="B149" s="101" t="s">
        <v>288</v>
      </c>
      <c r="C149" s="100" t="s">
        <v>505</v>
      </c>
      <c r="D149" s="101"/>
      <c r="E149" s="101">
        <v>1</v>
      </c>
      <c r="F149" s="103" t="s">
        <v>506</v>
      </c>
      <c r="G149" s="100" t="s">
        <v>326</v>
      </c>
      <c r="H149" s="101" t="s">
        <v>214</v>
      </c>
      <c r="I149" s="101" t="s">
        <v>315</v>
      </c>
      <c r="J149" s="104">
        <v>1</v>
      </c>
      <c r="K149" s="102" t="s">
        <v>426</v>
      </c>
      <c r="L149" s="105">
        <v>0.75</v>
      </c>
      <c r="M149" s="106" t="s">
        <v>328</v>
      </c>
      <c r="N149" s="100"/>
      <c r="O149" s="107"/>
    </row>
    <row r="150" spans="1:15" ht="14.25" customHeight="1">
      <c r="A150" s="100">
        <v>146</v>
      </c>
      <c r="B150" s="101" t="s">
        <v>288</v>
      </c>
      <c r="C150" s="100" t="s">
        <v>505</v>
      </c>
      <c r="D150" s="101"/>
      <c r="E150" s="101">
        <v>2</v>
      </c>
      <c r="F150" s="103" t="s">
        <v>507</v>
      </c>
      <c r="G150" s="100" t="s">
        <v>326</v>
      </c>
      <c r="H150" s="101" t="s">
        <v>214</v>
      </c>
      <c r="I150" s="101" t="s">
        <v>315</v>
      </c>
      <c r="J150" s="104">
        <v>1</v>
      </c>
      <c r="K150" s="102" t="s">
        <v>428</v>
      </c>
      <c r="L150" s="105">
        <v>0.75</v>
      </c>
      <c r="M150" s="106" t="s">
        <v>328</v>
      </c>
      <c r="N150" s="100"/>
      <c r="O150" s="107"/>
    </row>
    <row r="151" spans="1:15" ht="14.25" customHeight="1">
      <c r="A151" s="100">
        <v>147</v>
      </c>
      <c r="B151" s="101" t="s">
        <v>288</v>
      </c>
      <c r="C151" s="100" t="s">
        <v>505</v>
      </c>
      <c r="D151" s="101"/>
      <c r="E151" s="101">
        <v>3</v>
      </c>
      <c r="F151" s="103" t="s">
        <v>508</v>
      </c>
      <c r="G151" s="100" t="s">
        <v>326</v>
      </c>
      <c r="H151" s="101" t="s">
        <v>214</v>
      </c>
      <c r="I151" s="101" t="s">
        <v>315</v>
      </c>
      <c r="J151" s="104">
        <v>1</v>
      </c>
      <c r="K151" s="102" t="s">
        <v>422</v>
      </c>
      <c r="L151" s="105">
        <v>0.75</v>
      </c>
      <c r="M151" s="106" t="s">
        <v>328</v>
      </c>
      <c r="N151" s="100"/>
      <c r="O151" s="107"/>
    </row>
    <row r="152" spans="1:15" ht="14.25" customHeight="1">
      <c r="A152" s="100">
        <v>148</v>
      </c>
      <c r="B152" s="101" t="s">
        <v>288</v>
      </c>
      <c r="C152" s="100" t="s">
        <v>505</v>
      </c>
      <c r="D152" s="101"/>
      <c r="E152" s="101">
        <v>4</v>
      </c>
      <c r="F152" s="103" t="s">
        <v>509</v>
      </c>
      <c r="G152" s="100" t="s">
        <v>280</v>
      </c>
      <c r="H152" s="101" t="s">
        <v>214</v>
      </c>
      <c r="I152" s="101" t="s">
        <v>315</v>
      </c>
      <c r="J152" s="104">
        <v>1</v>
      </c>
      <c r="K152" s="102" t="s">
        <v>433</v>
      </c>
      <c r="L152" s="105">
        <v>0</v>
      </c>
      <c r="M152" s="106" t="s">
        <v>431</v>
      </c>
      <c r="N152" s="100"/>
      <c r="O152" s="107"/>
    </row>
    <row r="153" spans="1:15" ht="14.25" customHeight="1">
      <c r="A153" s="100">
        <v>149</v>
      </c>
      <c r="B153" s="101" t="s">
        <v>288</v>
      </c>
      <c r="C153" s="100" t="s">
        <v>505</v>
      </c>
      <c r="D153" s="101"/>
      <c r="E153" s="101">
        <v>5</v>
      </c>
      <c r="F153" s="103" t="s">
        <v>510</v>
      </c>
      <c r="G153" s="100" t="s">
        <v>280</v>
      </c>
      <c r="H153" s="101" t="s">
        <v>214</v>
      </c>
      <c r="I153" s="101" t="s">
        <v>315</v>
      </c>
      <c r="J153" s="104">
        <v>1</v>
      </c>
      <c r="K153" s="102" t="s">
        <v>435</v>
      </c>
      <c r="L153" s="105">
        <v>0</v>
      </c>
      <c r="M153" s="106" t="s">
        <v>431</v>
      </c>
      <c r="N153" s="100"/>
      <c r="O153" s="107"/>
    </row>
    <row r="154" spans="1:15" ht="22.5" customHeight="1">
      <c r="A154" s="100">
        <v>150</v>
      </c>
      <c r="B154" s="101" t="s">
        <v>288</v>
      </c>
      <c r="C154" s="100" t="s">
        <v>505</v>
      </c>
      <c r="D154" s="101"/>
      <c r="E154" s="101">
        <v>6</v>
      </c>
      <c r="F154" s="103" t="s">
        <v>511</v>
      </c>
      <c r="G154" s="100" t="s">
        <v>280</v>
      </c>
      <c r="H154" s="101" t="s">
        <v>214</v>
      </c>
      <c r="I154" s="101" t="s">
        <v>315</v>
      </c>
      <c r="J154" s="104">
        <v>1</v>
      </c>
      <c r="K154" s="102" t="s">
        <v>512</v>
      </c>
      <c r="L154" s="105">
        <v>0</v>
      </c>
      <c r="M154" s="106" t="s">
        <v>431</v>
      </c>
      <c r="N154" s="100"/>
      <c r="O154" s="107"/>
    </row>
    <row r="155" spans="1:15" ht="14.25" customHeight="1">
      <c r="A155" s="100">
        <v>151</v>
      </c>
      <c r="B155" s="101" t="s">
        <v>288</v>
      </c>
      <c r="C155" s="100" t="s">
        <v>505</v>
      </c>
      <c r="D155" s="101"/>
      <c r="E155" s="101">
        <v>7</v>
      </c>
      <c r="F155" s="103" t="s">
        <v>513</v>
      </c>
      <c r="G155" s="100" t="s">
        <v>280</v>
      </c>
      <c r="H155" s="101" t="s">
        <v>214</v>
      </c>
      <c r="I155" s="101" t="s">
        <v>315</v>
      </c>
      <c r="J155" s="104">
        <v>1</v>
      </c>
      <c r="K155" s="102" t="s">
        <v>514</v>
      </c>
      <c r="L155" s="105">
        <v>0</v>
      </c>
      <c r="M155" s="106" t="s">
        <v>431</v>
      </c>
      <c r="N155" s="100"/>
      <c r="O155" s="107"/>
    </row>
    <row r="156" spans="1:15" ht="14.25" customHeight="1">
      <c r="A156" s="100">
        <v>152</v>
      </c>
      <c r="B156" s="101" t="s">
        <v>290</v>
      </c>
      <c r="C156" s="100" t="s">
        <v>515</v>
      </c>
      <c r="D156" s="101"/>
      <c r="E156" s="101">
        <v>1</v>
      </c>
      <c r="F156" s="103" t="s">
        <v>516</v>
      </c>
      <c r="G156" s="100" t="s">
        <v>245</v>
      </c>
      <c r="H156" s="101" t="s">
        <v>214</v>
      </c>
      <c r="I156" s="101" t="s">
        <v>348</v>
      </c>
      <c r="J156" s="104">
        <v>0.4</v>
      </c>
      <c r="K156" s="102" t="s">
        <v>316</v>
      </c>
      <c r="L156" s="105">
        <v>1</v>
      </c>
      <c r="M156" s="106" t="s">
        <v>317</v>
      </c>
      <c r="N156" s="100"/>
      <c r="O156" s="107"/>
    </row>
    <row r="157" spans="1:15" ht="14.25" customHeight="1">
      <c r="A157" s="100">
        <v>153</v>
      </c>
      <c r="B157" s="101" t="s">
        <v>290</v>
      </c>
      <c r="C157" s="100" t="s">
        <v>515</v>
      </c>
      <c r="D157" s="101"/>
      <c r="E157" s="101">
        <v>2</v>
      </c>
      <c r="F157" s="103" t="s">
        <v>517</v>
      </c>
      <c r="G157" s="100" t="s">
        <v>245</v>
      </c>
      <c r="H157" s="101" t="s">
        <v>214</v>
      </c>
      <c r="I157" s="101" t="s">
        <v>348</v>
      </c>
      <c r="J157" s="104">
        <v>0.4</v>
      </c>
      <c r="K157" s="102" t="s">
        <v>350</v>
      </c>
      <c r="L157" s="105">
        <v>1</v>
      </c>
      <c r="M157" s="106" t="s">
        <v>317</v>
      </c>
      <c r="N157" s="100"/>
      <c r="O157" s="107"/>
    </row>
    <row r="158" spans="1:15" ht="14.25" customHeight="1">
      <c r="A158" s="100">
        <v>154</v>
      </c>
      <c r="B158" s="101" t="s">
        <v>290</v>
      </c>
      <c r="C158" s="100" t="s">
        <v>515</v>
      </c>
      <c r="D158" s="101"/>
      <c r="E158" s="101">
        <v>3</v>
      </c>
      <c r="F158" s="103" t="s">
        <v>518</v>
      </c>
      <c r="G158" s="100" t="s">
        <v>245</v>
      </c>
      <c r="H158" s="101" t="s">
        <v>214</v>
      </c>
      <c r="I158" s="101" t="s">
        <v>315</v>
      </c>
      <c r="J158" s="104">
        <v>1</v>
      </c>
      <c r="K158" s="102" t="s">
        <v>352</v>
      </c>
      <c r="L158" s="105">
        <v>1</v>
      </c>
      <c r="M158" s="106" t="s">
        <v>317</v>
      </c>
      <c r="N158" s="100"/>
      <c r="O158" s="107"/>
    </row>
    <row r="159" spans="1:15" ht="14.25" customHeight="1">
      <c r="A159" s="100">
        <v>155</v>
      </c>
      <c r="B159" s="101" t="s">
        <v>290</v>
      </c>
      <c r="C159" s="100" t="s">
        <v>515</v>
      </c>
      <c r="D159" s="101"/>
      <c r="E159" s="101">
        <v>4</v>
      </c>
      <c r="F159" s="103" t="s">
        <v>440</v>
      </c>
      <c r="G159" s="100" t="s">
        <v>245</v>
      </c>
      <c r="H159" s="101" t="s">
        <v>214</v>
      </c>
      <c r="I159" s="101" t="s">
        <v>315</v>
      </c>
      <c r="J159" s="104">
        <v>1</v>
      </c>
      <c r="K159" s="102" t="s">
        <v>354</v>
      </c>
      <c r="L159" s="105">
        <v>1</v>
      </c>
      <c r="M159" s="106" t="s">
        <v>317</v>
      </c>
      <c r="N159" s="100"/>
      <c r="O159" s="107"/>
    </row>
    <row r="160" spans="1:15" ht="22.5" customHeight="1">
      <c r="A160" s="100">
        <v>156</v>
      </c>
      <c r="B160" s="101" t="s">
        <v>290</v>
      </c>
      <c r="C160" s="100" t="s">
        <v>515</v>
      </c>
      <c r="D160" s="101"/>
      <c r="E160" s="101">
        <v>5</v>
      </c>
      <c r="F160" s="103" t="s">
        <v>519</v>
      </c>
      <c r="G160" s="100" t="s">
        <v>245</v>
      </c>
      <c r="H160" s="101" t="s">
        <v>214</v>
      </c>
      <c r="I160" s="101" t="s">
        <v>315</v>
      </c>
      <c r="J160" s="104">
        <v>1</v>
      </c>
      <c r="K160" s="102" t="s">
        <v>356</v>
      </c>
      <c r="L160" s="105">
        <v>1</v>
      </c>
      <c r="M160" s="106" t="s">
        <v>317</v>
      </c>
      <c r="N160" s="100"/>
      <c r="O160" s="107"/>
    </row>
    <row r="161" spans="1:15" ht="22.5" customHeight="1">
      <c r="A161" s="100">
        <v>157</v>
      </c>
      <c r="B161" s="101" t="s">
        <v>290</v>
      </c>
      <c r="C161" s="100" t="s">
        <v>515</v>
      </c>
      <c r="D161" s="101"/>
      <c r="E161" s="101">
        <v>6</v>
      </c>
      <c r="F161" s="103" t="s">
        <v>520</v>
      </c>
      <c r="G161" s="100" t="s">
        <v>245</v>
      </c>
      <c r="H161" s="101" t="s">
        <v>214</v>
      </c>
      <c r="I161" s="101" t="s">
        <v>315</v>
      </c>
      <c r="J161" s="104">
        <v>1</v>
      </c>
      <c r="K161" s="102" t="s">
        <v>358</v>
      </c>
      <c r="L161" s="105">
        <v>1</v>
      </c>
      <c r="M161" s="106" t="s">
        <v>317</v>
      </c>
      <c r="N161" s="100"/>
      <c r="O161" s="107"/>
    </row>
    <row r="162" spans="1:15" ht="14.25" customHeight="1">
      <c r="A162" s="100">
        <v>158</v>
      </c>
      <c r="B162" s="101" t="s">
        <v>294</v>
      </c>
      <c r="C162" s="100" t="s">
        <v>521</v>
      </c>
      <c r="D162" s="101"/>
      <c r="E162" s="101">
        <v>1</v>
      </c>
      <c r="F162" s="103" t="s">
        <v>522</v>
      </c>
      <c r="G162" s="100" t="s">
        <v>245</v>
      </c>
      <c r="H162" s="101" t="s">
        <v>214</v>
      </c>
      <c r="I162" s="101" t="s">
        <v>348</v>
      </c>
      <c r="J162" s="104">
        <v>0.4</v>
      </c>
      <c r="K162" s="102" t="s">
        <v>316</v>
      </c>
      <c r="L162" s="105">
        <v>1</v>
      </c>
      <c r="M162" s="106" t="s">
        <v>317</v>
      </c>
      <c r="N162" s="100"/>
      <c r="O162" s="107"/>
    </row>
    <row r="163" spans="1:15" ht="14.25" customHeight="1">
      <c r="A163" s="100">
        <v>159</v>
      </c>
      <c r="B163" s="101" t="s">
        <v>294</v>
      </c>
      <c r="C163" s="100" t="s">
        <v>521</v>
      </c>
      <c r="D163" s="101"/>
      <c r="E163" s="101">
        <v>2</v>
      </c>
      <c r="F163" s="103" t="s">
        <v>523</v>
      </c>
      <c r="G163" s="100" t="s">
        <v>245</v>
      </c>
      <c r="H163" s="101" t="s">
        <v>214</v>
      </c>
      <c r="I163" s="101" t="s">
        <v>348</v>
      </c>
      <c r="J163" s="104">
        <v>0.4</v>
      </c>
      <c r="K163" s="102" t="s">
        <v>350</v>
      </c>
      <c r="L163" s="105">
        <v>1</v>
      </c>
      <c r="M163" s="106" t="s">
        <v>317</v>
      </c>
      <c r="N163" s="100"/>
      <c r="O163" s="107"/>
    </row>
    <row r="164" spans="1:15" ht="14.25" customHeight="1">
      <c r="A164" s="100">
        <v>160</v>
      </c>
      <c r="B164" s="101" t="s">
        <v>294</v>
      </c>
      <c r="C164" s="100" t="s">
        <v>521</v>
      </c>
      <c r="D164" s="101"/>
      <c r="E164" s="101">
        <v>3</v>
      </c>
      <c r="F164" s="103" t="s">
        <v>524</v>
      </c>
      <c r="G164" s="100" t="s">
        <v>245</v>
      </c>
      <c r="H164" s="101" t="s">
        <v>214</v>
      </c>
      <c r="I164" s="101" t="s">
        <v>348</v>
      </c>
      <c r="J164" s="104">
        <v>0.4</v>
      </c>
      <c r="K164" s="102" t="s">
        <v>352</v>
      </c>
      <c r="L164" s="105">
        <v>1</v>
      </c>
      <c r="M164" s="106" t="s">
        <v>317</v>
      </c>
      <c r="N164" s="100"/>
      <c r="O164" s="107"/>
    </row>
    <row r="165" spans="1:15" ht="14.25" customHeight="1">
      <c r="A165" s="100">
        <v>161</v>
      </c>
      <c r="B165" s="101" t="s">
        <v>294</v>
      </c>
      <c r="C165" s="100" t="s">
        <v>521</v>
      </c>
      <c r="D165" s="101"/>
      <c r="E165" s="101">
        <v>4</v>
      </c>
      <c r="F165" s="103" t="s">
        <v>525</v>
      </c>
      <c r="G165" s="100" t="s">
        <v>245</v>
      </c>
      <c r="H165" s="101" t="s">
        <v>214</v>
      </c>
      <c r="I165" s="101" t="s">
        <v>315</v>
      </c>
      <c r="J165" s="104">
        <v>1</v>
      </c>
      <c r="K165" s="102" t="s">
        <v>354</v>
      </c>
      <c r="L165" s="105">
        <v>1</v>
      </c>
      <c r="M165" s="106" t="s">
        <v>317</v>
      </c>
      <c r="N165" s="100"/>
      <c r="O165" s="107"/>
    </row>
    <row r="166" spans="1:15" ht="22.5" customHeight="1">
      <c r="A166" s="100">
        <v>162</v>
      </c>
      <c r="B166" s="101" t="s">
        <v>294</v>
      </c>
      <c r="C166" s="100" t="s">
        <v>521</v>
      </c>
      <c r="D166" s="101"/>
      <c r="E166" s="101">
        <v>5</v>
      </c>
      <c r="F166" s="103" t="s">
        <v>526</v>
      </c>
      <c r="G166" s="100" t="s">
        <v>245</v>
      </c>
      <c r="H166" s="101" t="s">
        <v>214</v>
      </c>
      <c r="I166" s="101" t="s">
        <v>315</v>
      </c>
      <c r="J166" s="104">
        <v>1</v>
      </c>
      <c r="K166" s="102" t="s">
        <v>356</v>
      </c>
      <c r="L166" s="105">
        <v>1</v>
      </c>
      <c r="M166" s="106" t="s">
        <v>317</v>
      </c>
      <c r="N166" s="100"/>
      <c r="O166" s="107"/>
    </row>
    <row r="167" spans="1:15" ht="22.5" customHeight="1">
      <c r="A167" s="100">
        <v>163</v>
      </c>
      <c r="B167" s="101" t="s">
        <v>294</v>
      </c>
      <c r="C167" s="100" t="s">
        <v>521</v>
      </c>
      <c r="D167" s="101"/>
      <c r="E167" s="101">
        <v>6</v>
      </c>
      <c r="F167" s="103" t="s">
        <v>527</v>
      </c>
      <c r="G167" s="100" t="s">
        <v>245</v>
      </c>
      <c r="H167" s="101" t="s">
        <v>214</v>
      </c>
      <c r="I167" s="101" t="s">
        <v>315</v>
      </c>
      <c r="J167" s="104">
        <v>1</v>
      </c>
      <c r="K167" s="102" t="s">
        <v>358</v>
      </c>
      <c r="L167" s="105">
        <v>1</v>
      </c>
      <c r="M167" s="106" t="s">
        <v>317</v>
      </c>
      <c r="N167" s="100"/>
      <c r="O167" s="107"/>
    </row>
    <row r="168" spans="1:15" ht="14.25" customHeight="1">
      <c r="A168" s="100">
        <v>164</v>
      </c>
      <c r="B168" s="101" t="s">
        <v>296</v>
      </c>
      <c r="C168" s="100" t="s">
        <v>528</v>
      </c>
      <c r="D168" s="101"/>
      <c r="E168" s="101">
        <v>1</v>
      </c>
      <c r="F168" s="103" t="s">
        <v>529</v>
      </c>
      <c r="G168" s="100" t="s">
        <v>260</v>
      </c>
      <c r="H168" s="101" t="s">
        <v>214</v>
      </c>
      <c r="I168" s="101" t="s">
        <v>315</v>
      </c>
      <c r="J168" s="104">
        <v>1</v>
      </c>
      <c r="K168" s="102" t="s">
        <v>387</v>
      </c>
      <c r="L168" s="105">
        <v>1</v>
      </c>
      <c r="M168" s="106" t="s">
        <v>317</v>
      </c>
      <c r="N168" s="100"/>
      <c r="O168" s="107"/>
    </row>
    <row r="169" spans="1:15" ht="14.25" customHeight="1">
      <c r="A169" s="100">
        <v>165</v>
      </c>
      <c r="B169" s="101" t="s">
        <v>296</v>
      </c>
      <c r="C169" s="100" t="s">
        <v>528</v>
      </c>
      <c r="D169" s="101"/>
      <c r="E169" s="101">
        <v>2</v>
      </c>
      <c r="F169" s="103" t="s">
        <v>530</v>
      </c>
      <c r="G169" s="100" t="s">
        <v>260</v>
      </c>
      <c r="H169" s="101" t="s">
        <v>214</v>
      </c>
      <c r="I169" s="101" t="s">
        <v>315</v>
      </c>
      <c r="J169" s="104">
        <v>1</v>
      </c>
      <c r="K169" s="102" t="s">
        <v>319</v>
      </c>
      <c r="L169" s="105">
        <v>1</v>
      </c>
      <c r="M169" s="106" t="s">
        <v>317</v>
      </c>
      <c r="N169" s="100"/>
      <c r="O169" s="107"/>
    </row>
    <row r="170" spans="1:15" ht="22.5" customHeight="1">
      <c r="A170" s="100">
        <v>166</v>
      </c>
      <c r="B170" s="101" t="s">
        <v>296</v>
      </c>
      <c r="C170" s="100" t="s">
        <v>528</v>
      </c>
      <c r="D170" s="101"/>
      <c r="E170" s="101">
        <v>3</v>
      </c>
      <c r="F170" s="103" t="s">
        <v>531</v>
      </c>
      <c r="G170" s="100" t="s">
        <v>260</v>
      </c>
      <c r="H170" s="101" t="s">
        <v>214</v>
      </c>
      <c r="I170" s="101" t="s">
        <v>315</v>
      </c>
      <c r="J170" s="104">
        <v>1</v>
      </c>
      <c r="K170" s="102" t="s">
        <v>321</v>
      </c>
      <c r="L170" s="105">
        <v>1</v>
      </c>
      <c r="M170" s="106" t="s">
        <v>317</v>
      </c>
      <c r="N170" s="100"/>
      <c r="O170" s="107"/>
    </row>
    <row r="171" spans="1:15" ht="14.25" customHeight="1">
      <c r="A171" s="100">
        <v>167</v>
      </c>
      <c r="B171" s="101" t="s">
        <v>296</v>
      </c>
      <c r="C171" s="100" t="s">
        <v>528</v>
      </c>
      <c r="D171" s="101"/>
      <c r="E171" s="101">
        <v>4</v>
      </c>
      <c r="F171" s="103" t="s">
        <v>532</v>
      </c>
      <c r="G171" s="100" t="s">
        <v>326</v>
      </c>
      <c r="H171" s="101" t="s">
        <v>214</v>
      </c>
      <c r="I171" s="101" t="s">
        <v>315</v>
      </c>
      <c r="J171" s="104">
        <v>1</v>
      </c>
      <c r="K171" s="102" t="s">
        <v>398</v>
      </c>
      <c r="L171" s="105">
        <v>0.8</v>
      </c>
      <c r="M171" s="106" t="s">
        <v>328</v>
      </c>
      <c r="N171" s="100"/>
      <c r="O171" s="107"/>
    </row>
    <row r="172" spans="1:15" ht="22.5" customHeight="1">
      <c r="A172" s="100">
        <v>168</v>
      </c>
      <c r="B172" s="101" t="s">
        <v>296</v>
      </c>
      <c r="C172" s="100" t="s">
        <v>528</v>
      </c>
      <c r="D172" s="101"/>
      <c r="E172" s="101">
        <v>5</v>
      </c>
      <c r="F172" s="103" t="s">
        <v>533</v>
      </c>
      <c r="G172" s="100" t="s">
        <v>326</v>
      </c>
      <c r="H172" s="101" t="s">
        <v>214</v>
      </c>
      <c r="I172" s="101" t="s">
        <v>315</v>
      </c>
      <c r="J172" s="104">
        <v>1</v>
      </c>
      <c r="K172" s="102" t="s">
        <v>327</v>
      </c>
      <c r="L172" s="105">
        <v>0.8</v>
      </c>
      <c r="M172" s="106" t="s">
        <v>328</v>
      </c>
      <c r="N172" s="100"/>
      <c r="O172" s="107"/>
    </row>
    <row r="173" spans="1:15" ht="14.25" customHeight="1">
      <c r="A173" s="100">
        <v>169</v>
      </c>
      <c r="B173" s="101" t="s">
        <v>296</v>
      </c>
      <c r="C173" s="100" t="s">
        <v>528</v>
      </c>
      <c r="D173" s="101"/>
      <c r="E173" s="101">
        <v>6</v>
      </c>
      <c r="F173" s="103" t="s">
        <v>534</v>
      </c>
      <c r="G173" s="100" t="s">
        <v>326</v>
      </c>
      <c r="H173" s="101" t="s">
        <v>214</v>
      </c>
      <c r="I173" s="101" t="s">
        <v>315</v>
      </c>
      <c r="J173" s="104">
        <v>1</v>
      </c>
      <c r="K173" s="102" t="s">
        <v>373</v>
      </c>
      <c r="L173" s="105">
        <v>0.8</v>
      </c>
      <c r="M173" s="106" t="s">
        <v>328</v>
      </c>
      <c r="N173" s="100"/>
      <c r="O173" s="107"/>
    </row>
    <row r="174" spans="1:15" ht="14.25" customHeight="1">
      <c r="A174" s="100">
        <v>170</v>
      </c>
      <c r="B174" s="101" t="s">
        <v>298</v>
      </c>
      <c r="C174" s="100" t="s">
        <v>535</v>
      </c>
      <c r="D174" s="101"/>
      <c r="E174" s="101">
        <v>1</v>
      </c>
      <c r="F174" s="103" t="s">
        <v>536</v>
      </c>
      <c r="G174" s="100" t="s">
        <v>326</v>
      </c>
      <c r="H174" s="101" t="s">
        <v>214</v>
      </c>
      <c r="I174" s="101" t="s">
        <v>315</v>
      </c>
      <c r="J174" s="104">
        <v>1</v>
      </c>
      <c r="K174" s="102" t="s">
        <v>426</v>
      </c>
      <c r="L174" s="105">
        <v>0.8</v>
      </c>
      <c r="M174" s="106" t="s">
        <v>328</v>
      </c>
      <c r="N174" s="100"/>
      <c r="O174" s="107"/>
    </row>
    <row r="175" spans="1:15" ht="14.25" customHeight="1">
      <c r="A175" s="100">
        <v>171</v>
      </c>
      <c r="B175" s="101" t="s">
        <v>298</v>
      </c>
      <c r="C175" s="100" t="s">
        <v>535</v>
      </c>
      <c r="D175" s="101"/>
      <c r="E175" s="101">
        <v>2</v>
      </c>
      <c r="F175" s="103" t="s">
        <v>530</v>
      </c>
      <c r="G175" s="100" t="s">
        <v>326</v>
      </c>
      <c r="H175" s="101" t="s">
        <v>214</v>
      </c>
      <c r="I175" s="101" t="s">
        <v>315</v>
      </c>
      <c r="J175" s="104">
        <v>1</v>
      </c>
      <c r="K175" s="102" t="s">
        <v>428</v>
      </c>
      <c r="L175" s="105">
        <v>0.8</v>
      </c>
      <c r="M175" s="106" t="s">
        <v>328</v>
      </c>
      <c r="N175" s="100"/>
      <c r="O175" s="107"/>
    </row>
    <row r="176" spans="1:15" ht="22.5" customHeight="1">
      <c r="A176" s="100">
        <v>172</v>
      </c>
      <c r="B176" s="101" t="s">
        <v>298</v>
      </c>
      <c r="C176" s="100" t="s">
        <v>535</v>
      </c>
      <c r="D176" s="101"/>
      <c r="E176" s="101">
        <v>3</v>
      </c>
      <c r="F176" s="103" t="s">
        <v>537</v>
      </c>
      <c r="G176" s="100" t="s">
        <v>326</v>
      </c>
      <c r="H176" s="101" t="s">
        <v>214</v>
      </c>
      <c r="I176" s="101" t="s">
        <v>315</v>
      </c>
      <c r="J176" s="104">
        <v>1</v>
      </c>
      <c r="K176" s="102" t="s">
        <v>422</v>
      </c>
      <c r="L176" s="105">
        <v>0.8</v>
      </c>
      <c r="M176" s="106" t="s">
        <v>328</v>
      </c>
      <c r="N176" s="100"/>
      <c r="O176" s="107"/>
    </row>
    <row r="177" spans="1:15" ht="14.25" customHeight="1">
      <c r="A177" s="100">
        <v>173</v>
      </c>
      <c r="B177" s="101" t="s">
        <v>298</v>
      </c>
      <c r="C177" s="100" t="s">
        <v>535</v>
      </c>
      <c r="D177" s="101"/>
      <c r="E177" s="101">
        <v>4</v>
      </c>
      <c r="F177" s="103" t="s">
        <v>538</v>
      </c>
      <c r="G177" s="100" t="s">
        <v>280</v>
      </c>
      <c r="H177" s="101" t="s">
        <v>214</v>
      </c>
      <c r="I177" s="101" t="s">
        <v>315</v>
      </c>
      <c r="J177" s="104">
        <v>1</v>
      </c>
      <c r="K177" s="102" t="s">
        <v>433</v>
      </c>
      <c r="L177" s="105">
        <v>0.05</v>
      </c>
      <c r="M177" s="106" t="s">
        <v>340</v>
      </c>
      <c r="N177" s="100"/>
      <c r="O177" s="107"/>
    </row>
    <row r="178" spans="1:15" ht="22.5" customHeight="1">
      <c r="A178" s="100">
        <v>174</v>
      </c>
      <c r="B178" s="101" t="s">
        <v>298</v>
      </c>
      <c r="C178" s="100" t="s">
        <v>535</v>
      </c>
      <c r="D178" s="101"/>
      <c r="E178" s="101">
        <v>5</v>
      </c>
      <c r="F178" s="103" t="s">
        <v>539</v>
      </c>
      <c r="G178" s="100" t="s">
        <v>280</v>
      </c>
      <c r="H178" s="101" t="s">
        <v>214</v>
      </c>
      <c r="I178" s="101" t="s">
        <v>315</v>
      </c>
      <c r="J178" s="104">
        <v>1</v>
      </c>
      <c r="K178" s="102" t="s">
        <v>435</v>
      </c>
      <c r="L178" s="105">
        <v>0.05</v>
      </c>
      <c r="M178" s="106" t="s">
        <v>340</v>
      </c>
      <c r="N178" s="100"/>
      <c r="O178" s="107"/>
    </row>
    <row r="179" spans="1:15" ht="22.5" customHeight="1">
      <c r="A179" s="100">
        <v>175</v>
      </c>
      <c r="B179" s="101" t="s">
        <v>298</v>
      </c>
      <c r="C179" s="100" t="s">
        <v>535</v>
      </c>
      <c r="D179" s="101"/>
      <c r="E179" s="101">
        <v>6</v>
      </c>
      <c r="F179" s="103" t="s">
        <v>540</v>
      </c>
      <c r="G179" s="100" t="s">
        <v>280</v>
      </c>
      <c r="H179" s="101" t="s">
        <v>214</v>
      </c>
      <c r="I179" s="101" t="s">
        <v>315</v>
      </c>
      <c r="J179" s="104">
        <v>1</v>
      </c>
      <c r="K179" s="102" t="s">
        <v>512</v>
      </c>
      <c r="L179" s="105">
        <v>0.05</v>
      </c>
      <c r="M179" s="106" t="s">
        <v>340</v>
      </c>
      <c r="N179" s="100"/>
      <c r="O179" s="107"/>
    </row>
  </sheetData>
  <phoneticPr fontId="50" type="noConversion"/>
  <dataValidations count="3">
    <dataValidation type="list" allowBlank="1" sqref="H5:H179">
      <formula1>"Discrete,LOE"</formula1>
      <formula2>0</formula2>
    </dataValidation>
    <dataValidation type="list" allowBlank="1" sqref="I5:I179">
      <formula1>"Y,N"</formula1>
      <formula2>0</formula2>
    </dataValidation>
    <dataValidation type="list" allowBlank="1" sqref="M5:M179">
      <formula1>"미착수,진행중,검토중,완료"</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4:J15"/>
  <sheetViews>
    <sheetView zoomScaleNormal="100" workbookViewId="0"/>
  </sheetViews>
  <sheetFormatPr defaultColWidth="8.6328125" defaultRowHeight="14.5"/>
  <cols>
    <col min="1" max="1" width="22" style="42" customWidth="1"/>
    <col min="2" max="2" width="16" style="42" customWidth="1"/>
    <col min="3" max="3" width="14" style="42" customWidth="1"/>
    <col min="4" max="4" width="10" style="42" customWidth="1"/>
    <col min="5" max="5" width="12" style="42" customWidth="1"/>
    <col min="6" max="8" width="18" style="42" customWidth="1"/>
    <col min="9" max="9" width="45" style="42" customWidth="1"/>
  </cols>
  <sheetData>
    <row r="4" spans="1:10" ht="15" customHeight="1">
      <c r="A4" s="64" t="s">
        <v>541</v>
      </c>
      <c r="B4" s="71" t="s">
        <v>542</v>
      </c>
      <c r="C4" s="71" t="s">
        <v>543</v>
      </c>
      <c r="D4" s="64" t="s">
        <v>544</v>
      </c>
      <c r="E4" s="64" t="s">
        <v>545</v>
      </c>
      <c r="F4" s="64" t="s">
        <v>546</v>
      </c>
      <c r="G4" s="64" t="s">
        <v>547</v>
      </c>
      <c r="H4" s="64" t="s">
        <v>548</v>
      </c>
      <c r="I4" s="64" t="s">
        <v>549</v>
      </c>
      <c r="J4" s="64" t="s">
        <v>550</v>
      </c>
    </row>
    <row r="5" spans="1:10" ht="45" customHeight="1">
      <c r="A5" s="112" t="s">
        <v>245</v>
      </c>
      <c r="B5" s="112">
        <f>COUNTIFS(WP_상세!$G$5:$G$500,A5,WP_상세!$H$5:$H$500,"Discrete")</f>
        <v>63</v>
      </c>
      <c r="C5" s="112">
        <f>COUNTIFS(WP_상세!$G$5:$G$500,A5,WP_상세!$H$5:$H$500,"LOE")</f>
        <v>0</v>
      </c>
      <c r="D5" s="112">
        <f t="shared" ref="D5:D10" si="0">B5+C5</f>
        <v>63</v>
      </c>
      <c r="E5" s="113">
        <f t="shared" ref="E5:E10" si="1">IF($D$11=0,0,D5/$D$11)</f>
        <v>0.36</v>
      </c>
      <c r="F5" s="114">
        <f>IFERROR(B5/SUM($B$5:$B$9),0)</f>
        <v>0.43448275862068964</v>
      </c>
      <c r="G5" s="115">
        <f>계획곡선_보정!H184</f>
        <v>48.120000000000026</v>
      </c>
      <c r="H5" s="114">
        <f>IFERROR(G5/$G$13,0)</f>
        <v>0.33186206896551734</v>
      </c>
      <c r="I5" s="116">
        <f>H5-F5</f>
        <v>-0.10262068965517229</v>
      </c>
      <c r="J5" s="117" t="s">
        <v>551</v>
      </c>
    </row>
    <row r="6" spans="1:10" ht="45" customHeight="1">
      <c r="A6" s="112" t="s">
        <v>260</v>
      </c>
      <c r="B6" s="112">
        <f>COUNTIFS(WP_상세!$G$5:$G$500,A6,WP_상세!$H$5:$H$500,"Discrete")</f>
        <v>35</v>
      </c>
      <c r="C6" s="112">
        <f>COUNTIFS(WP_상세!$G$5:$G$500,A6,WP_상세!$H$5:$H$500,"LOE")</f>
        <v>11</v>
      </c>
      <c r="D6" s="112">
        <f t="shared" si="0"/>
        <v>46</v>
      </c>
      <c r="E6" s="113">
        <f t="shared" si="1"/>
        <v>0.26285714285714284</v>
      </c>
      <c r="F6" s="114">
        <f>IFERROR(B6/SUM($B$5:$B$9),0)</f>
        <v>0.2413793103448276</v>
      </c>
      <c r="G6" s="115">
        <f>계획곡선_보정!I184</f>
        <v>36.019999999999996</v>
      </c>
      <c r="H6" s="114">
        <f>IFERROR(G6/$G$13,0)</f>
        <v>0.24841379310344819</v>
      </c>
      <c r="I6" s="116">
        <f>H6-F6</f>
        <v>7.0344827586205916E-3</v>
      </c>
      <c r="J6" s="51" t="s">
        <v>552</v>
      </c>
    </row>
    <row r="7" spans="1:10" ht="45" customHeight="1">
      <c r="A7" s="112" t="s">
        <v>326</v>
      </c>
      <c r="B7" s="112">
        <f>COUNTIFS(WP_상세!$G$5:$G$500,A7,WP_상세!$H$5:$H$500,"Discrete")</f>
        <v>29</v>
      </c>
      <c r="C7" s="112">
        <f>COUNTIFS(WP_상세!$G$5:$G$500,A7,WP_상세!$H$5:$H$500,"LOE")</f>
        <v>11</v>
      </c>
      <c r="D7" s="112">
        <f t="shared" si="0"/>
        <v>40</v>
      </c>
      <c r="E7" s="113">
        <f t="shared" si="1"/>
        <v>0.22857142857142856</v>
      </c>
      <c r="F7" s="114">
        <f>IFERROR(B7/SUM($B$5:$B$9),0)</f>
        <v>0.2</v>
      </c>
      <c r="G7" s="115">
        <f>계획곡선_보정!J184</f>
        <v>33.620000000000012</v>
      </c>
      <c r="H7" s="114">
        <f>IFERROR(G7/$G$13,0)</f>
        <v>0.23186206896551728</v>
      </c>
      <c r="I7" s="116">
        <f>H7-F7</f>
        <v>3.1862068965517271E-2</v>
      </c>
      <c r="J7" s="117" t="s">
        <v>553</v>
      </c>
    </row>
    <row r="8" spans="1:10" ht="45" customHeight="1">
      <c r="A8" s="112" t="s">
        <v>280</v>
      </c>
      <c r="B8" s="112">
        <f>COUNTIFS(WP_상세!$G$5:$G$500,A8,WP_상세!$H$5:$H$500,"Discrete")</f>
        <v>18</v>
      </c>
      <c r="C8" s="112">
        <f>COUNTIFS(WP_상세!$G$5:$G$500,A8,WP_상세!$H$5:$H$500,"LOE")</f>
        <v>0</v>
      </c>
      <c r="D8" s="112">
        <f t="shared" si="0"/>
        <v>18</v>
      </c>
      <c r="E8" s="113">
        <f t="shared" si="1"/>
        <v>0.10285714285714286</v>
      </c>
      <c r="F8" s="114">
        <f>IFERROR(B8/SUM($B$5:$B$9),0)</f>
        <v>0.12413793103448276</v>
      </c>
      <c r="G8" s="115">
        <f>계획곡선_보정!K184</f>
        <v>22.620000000000005</v>
      </c>
      <c r="H8" s="114">
        <f>IFERROR(G8/$G$13,0)</f>
        <v>0.156</v>
      </c>
      <c r="I8" s="116">
        <f>H8-F8</f>
        <v>3.1862068965517243E-2</v>
      </c>
      <c r="J8" s="117" t="s">
        <v>553</v>
      </c>
    </row>
    <row r="9" spans="1:10" ht="45" customHeight="1">
      <c r="A9" s="112" t="s">
        <v>554</v>
      </c>
      <c r="B9" s="112">
        <f>COUNTIFS(WP_상세!$G$5:$G$500,A9,WP_상세!$H$5:$H$500,"Discrete")</f>
        <v>0</v>
      </c>
      <c r="C9" s="112">
        <f>COUNTIFS(WP_상세!$G$5:$G$500,A9,WP_상세!$H$5:$H$500,"LOE")</f>
        <v>0</v>
      </c>
      <c r="D9" s="112">
        <f t="shared" si="0"/>
        <v>0</v>
      </c>
      <c r="E9" s="113">
        <f t="shared" si="1"/>
        <v>0</v>
      </c>
      <c r="F9" s="114">
        <f>IFERROR(B9/SUM($B$5:$B$9),0)</f>
        <v>0</v>
      </c>
      <c r="G9" s="115">
        <f>계획곡선_보정!L184</f>
        <v>4.6200000000000019</v>
      </c>
      <c r="H9" s="114">
        <f>IFERROR(G9/$G$13,0)</f>
        <v>3.186206896551725E-2</v>
      </c>
      <c r="I9" s="116">
        <f>H9-F9</f>
        <v>3.186206896551725E-2</v>
      </c>
      <c r="J9" s="117" t="s">
        <v>555</v>
      </c>
    </row>
    <row r="10" spans="1:10" ht="45" customHeight="1">
      <c r="A10" s="79" t="s">
        <v>330</v>
      </c>
      <c r="B10" s="112">
        <f>COUNTIFS(WP_상세!$G$5:$G$500,A10,WP_상세!$H$5:$H$500,"Discrete")</f>
        <v>8</v>
      </c>
      <c r="C10" s="112">
        <f>COUNTIFS(WP_상세!$G$5:$G$500,A10,WP_상세!$H$5:$H$500,"LOE")</f>
        <v>0</v>
      </c>
      <c r="D10" s="112">
        <f t="shared" si="0"/>
        <v>8</v>
      </c>
      <c r="E10" s="113">
        <f t="shared" si="1"/>
        <v>4.5714285714285714E-2</v>
      </c>
      <c r="F10" s="118" t="s">
        <v>556</v>
      </c>
      <c r="G10" s="79" t="s">
        <v>556</v>
      </c>
      <c r="H10" s="79" t="s">
        <v>556</v>
      </c>
      <c r="I10" s="79" t="s">
        <v>556</v>
      </c>
      <c r="J10" s="117" t="s">
        <v>557</v>
      </c>
    </row>
    <row r="11" spans="1:10" ht="14.25" customHeight="1">
      <c r="A11" s="68" t="s">
        <v>544</v>
      </c>
      <c r="B11" s="68">
        <f>SUM(B5:B10)</f>
        <v>153</v>
      </c>
      <c r="C11" s="68">
        <f>SUM(C5:C10)</f>
        <v>22</v>
      </c>
      <c r="D11" s="68">
        <f>SUM(D5:D10)</f>
        <v>175</v>
      </c>
      <c r="E11" s="23"/>
    </row>
    <row r="13" spans="1:10" ht="16.5" customHeight="1">
      <c r="A13" s="119" t="s">
        <v>558</v>
      </c>
      <c r="G13" s="120">
        <f>계획곡선_보정!H184+계획곡선_보정!I184+계획곡선_보정!J184+계획곡선_보정!K184+계획곡선_보정!L184</f>
        <v>145.00000000000003</v>
      </c>
    </row>
    <row r="15" spans="1:10" ht="30" customHeight="1">
      <c r="A15" s="3" t="s">
        <v>559</v>
      </c>
      <c r="B15" s="3"/>
      <c r="C15" s="3"/>
      <c r="D15" s="3"/>
      <c r="E15" s="3"/>
      <c r="F15" s="3"/>
      <c r="G15" s="3"/>
      <c r="H15" s="3"/>
      <c r="I15" s="3"/>
    </row>
  </sheetData>
  <mergeCells count="1">
    <mergeCell ref="A15:I15"/>
  </mergeCells>
  <phoneticPr fontId="50" type="noConversion"/>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4:F7"/>
  <sheetViews>
    <sheetView zoomScaleNormal="100" workbookViewId="0"/>
  </sheetViews>
  <sheetFormatPr defaultColWidth="8.6328125" defaultRowHeight="14.5"/>
  <cols>
    <col min="1" max="1" width="26" style="42" customWidth="1"/>
    <col min="2" max="2" width="14" style="42" customWidth="1"/>
    <col min="3" max="3" width="34" style="42" customWidth="1"/>
    <col min="4" max="4" width="20" style="42" customWidth="1"/>
    <col min="5" max="5" width="14" style="42" customWidth="1"/>
    <col min="6" max="6" width="34" style="42" customWidth="1"/>
  </cols>
  <sheetData>
    <row r="4" spans="1:6" ht="15" customHeight="1">
      <c r="A4" s="71" t="s">
        <v>560</v>
      </c>
      <c r="B4" s="64" t="s">
        <v>561</v>
      </c>
      <c r="C4" s="64" t="s">
        <v>562</v>
      </c>
      <c r="D4" s="64" t="s">
        <v>563</v>
      </c>
      <c r="E4" s="64" t="s">
        <v>564</v>
      </c>
      <c r="F4" s="64" t="s">
        <v>10</v>
      </c>
    </row>
    <row r="5" spans="1:6" ht="25.5" customHeight="1">
      <c r="A5" s="121" t="s">
        <v>565</v>
      </c>
      <c r="B5" s="122" t="s">
        <v>125</v>
      </c>
      <c r="C5" s="121" t="s">
        <v>566</v>
      </c>
      <c r="D5" s="121" t="s">
        <v>567</v>
      </c>
      <c r="E5" s="123"/>
      <c r="F5" s="122" t="s">
        <v>568</v>
      </c>
    </row>
    <row r="6" spans="1:6" ht="15" customHeight="1">
      <c r="A6" s="121" t="s">
        <v>569</v>
      </c>
      <c r="B6" s="122" t="s">
        <v>570</v>
      </c>
      <c r="C6" s="121" t="s">
        <v>571</v>
      </c>
      <c r="D6" s="121" t="s">
        <v>572</v>
      </c>
      <c r="E6" s="123"/>
      <c r="F6" s="122" t="s">
        <v>573</v>
      </c>
    </row>
    <row r="7" spans="1:6" ht="25.5" customHeight="1">
      <c r="A7" s="122" t="s">
        <v>574</v>
      </c>
      <c r="B7" s="122" t="s">
        <v>125</v>
      </c>
      <c r="C7" s="122" t="s">
        <v>575</v>
      </c>
      <c r="D7" s="121" t="s">
        <v>576</v>
      </c>
      <c r="E7" s="123"/>
      <c r="F7" s="121" t="s">
        <v>577</v>
      </c>
    </row>
  </sheetData>
  <phoneticPr fontId="50" type="noConversion"/>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4:M51"/>
  <sheetViews>
    <sheetView zoomScaleNormal="100" workbookViewId="0"/>
  </sheetViews>
  <sheetFormatPr defaultColWidth="8.6328125" defaultRowHeight="14.5"/>
  <cols>
    <col min="1" max="1" width="3" style="42" customWidth="1"/>
    <col min="2" max="2" width="22" style="42" customWidth="1"/>
    <col min="3" max="13" width="14" style="42" customWidth="1"/>
  </cols>
  <sheetData>
    <row r="4" spans="2:13" ht="16.5" customHeight="1">
      <c r="B4" s="124" t="s">
        <v>578</v>
      </c>
      <c r="C4" s="125" t="s">
        <v>579</v>
      </c>
      <c r="D4" s="2" t="s">
        <v>580</v>
      </c>
      <c r="E4" s="2"/>
      <c r="F4" s="2"/>
      <c r="G4" s="2"/>
      <c r="H4" s="2"/>
      <c r="I4" s="2"/>
      <c r="J4" s="2"/>
      <c r="K4" s="2"/>
      <c r="L4" s="2"/>
      <c r="M4" s="23"/>
    </row>
    <row r="5" spans="2:13" ht="14.25" customHeight="1">
      <c r="B5" s="23"/>
      <c r="C5" s="23"/>
      <c r="D5" s="23"/>
      <c r="E5" s="23"/>
      <c r="F5" s="23"/>
      <c r="G5" s="23"/>
      <c r="H5" s="23"/>
      <c r="I5" s="23"/>
      <c r="J5" s="23"/>
      <c r="K5" s="23"/>
      <c r="L5" s="23"/>
      <c r="M5" s="23"/>
    </row>
    <row r="6" spans="2:13" ht="25.5" customHeight="1">
      <c r="B6" s="64" t="s">
        <v>581</v>
      </c>
      <c r="C6" s="64" t="s">
        <v>221</v>
      </c>
      <c r="D6" s="64" t="s">
        <v>215</v>
      </c>
      <c r="E6" s="64" t="s">
        <v>209</v>
      </c>
      <c r="F6" s="64" t="s">
        <v>244</v>
      </c>
      <c r="G6" s="64" t="s">
        <v>255</v>
      </c>
      <c r="H6" s="71" t="s">
        <v>240</v>
      </c>
      <c r="I6" s="71" t="s">
        <v>264</v>
      </c>
      <c r="J6" s="64" t="s">
        <v>274</v>
      </c>
      <c r="K6" s="71" t="s">
        <v>292</v>
      </c>
      <c r="L6" s="64" t="s">
        <v>277</v>
      </c>
      <c r="M6" s="64" t="s">
        <v>582</v>
      </c>
    </row>
    <row r="7" spans="2:13" ht="25.5" customHeight="1">
      <c r="B7" s="121" t="s">
        <v>579</v>
      </c>
      <c r="C7" s="126">
        <v>0.18</v>
      </c>
      <c r="D7" s="126">
        <v>0.04</v>
      </c>
      <c r="E7" s="126">
        <v>0.08</v>
      </c>
      <c r="F7" s="126">
        <v>0.08</v>
      </c>
      <c r="G7" s="126">
        <v>0.06</v>
      </c>
      <c r="H7" s="126">
        <v>0.22</v>
      </c>
      <c r="I7" s="126">
        <v>0.2</v>
      </c>
      <c r="J7" s="126">
        <v>0.06</v>
      </c>
      <c r="K7" s="126">
        <v>0.06</v>
      </c>
      <c r="L7" s="126">
        <v>0.02</v>
      </c>
      <c r="M7" s="127">
        <f>SUM(C7:L7)</f>
        <v>1.0000000000000002</v>
      </c>
    </row>
    <row r="8" spans="2:13" ht="25.5" customHeight="1">
      <c r="B8" s="121" t="s">
        <v>583</v>
      </c>
      <c r="C8" s="126">
        <v>0.14000000000000001</v>
      </c>
      <c r="D8" s="126">
        <v>0.03</v>
      </c>
      <c r="E8" s="126">
        <v>0.18</v>
      </c>
      <c r="F8" s="126">
        <v>0.05</v>
      </c>
      <c r="G8" s="126">
        <v>0.03</v>
      </c>
      <c r="H8" s="126">
        <v>0.03</v>
      </c>
      <c r="I8" s="126">
        <v>0.45</v>
      </c>
      <c r="J8" s="126">
        <v>7.0000000000000007E-2</v>
      </c>
      <c r="K8" s="126">
        <v>0.02</v>
      </c>
      <c r="L8" s="126">
        <v>0</v>
      </c>
      <c r="M8" s="127">
        <f>SUM(C8:L8)</f>
        <v>1</v>
      </c>
    </row>
    <row r="9" spans="2:13" ht="39" customHeight="1">
      <c r="B9" s="122" t="s">
        <v>584</v>
      </c>
      <c r="C9" s="126">
        <v>0.18</v>
      </c>
      <c r="D9" s="126">
        <v>0.04</v>
      </c>
      <c r="E9" s="126">
        <v>0.1</v>
      </c>
      <c r="F9" s="126">
        <v>7.0000000000000007E-2</v>
      </c>
      <c r="G9" s="126">
        <v>0.05</v>
      </c>
      <c r="H9" s="126">
        <v>0.32</v>
      </c>
      <c r="I9" s="126">
        <v>0.08</v>
      </c>
      <c r="J9" s="126">
        <v>0.08</v>
      </c>
      <c r="K9" s="126">
        <v>0.06</v>
      </c>
      <c r="L9" s="126">
        <v>0.02</v>
      </c>
      <c r="M9" s="127">
        <f>SUM(C9:L9)</f>
        <v>1</v>
      </c>
    </row>
    <row r="10" spans="2:13" ht="14.25" customHeight="1">
      <c r="B10" s="23"/>
      <c r="C10" s="23"/>
      <c r="D10" s="23"/>
      <c r="E10" s="23"/>
      <c r="F10" s="23"/>
      <c r="G10" s="23"/>
      <c r="H10" s="23"/>
      <c r="I10" s="23"/>
      <c r="J10" s="23"/>
      <c r="K10" s="23"/>
      <c r="L10" s="23"/>
      <c r="M10" s="23"/>
    </row>
    <row r="11" spans="2:13" ht="14.25" customHeight="1">
      <c r="B11" s="98" t="s">
        <v>585</v>
      </c>
      <c r="C11" s="23"/>
      <c r="D11" s="23"/>
      <c r="E11" s="23"/>
      <c r="F11" s="23"/>
      <c r="G11" s="23"/>
      <c r="H11" s="23"/>
      <c r="I11" s="23"/>
      <c r="J11" s="23"/>
      <c r="K11" s="23"/>
      <c r="L11" s="23"/>
      <c r="M11" s="23"/>
    </row>
    <row r="12" spans="2:13" ht="30" customHeight="1">
      <c r="B12" s="128" t="s">
        <v>579</v>
      </c>
      <c r="C12" s="1" t="s">
        <v>586</v>
      </c>
      <c r="D12" s="1"/>
      <c r="E12" s="1"/>
      <c r="F12" s="1"/>
      <c r="G12" s="1"/>
      <c r="H12" s="1"/>
      <c r="I12" s="23"/>
      <c r="J12" s="23"/>
      <c r="K12" s="23"/>
      <c r="L12" s="23"/>
      <c r="M12" s="23"/>
    </row>
    <row r="13" spans="2:13" ht="30" customHeight="1">
      <c r="B13" s="128" t="s">
        <v>583</v>
      </c>
      <c r="C13" s="170" t="s">
        <v>587</v>
      </c>
      <c r="D13" s="170"/>
      <c r="E13" s="170"/>
      <c r="F13" s="170"/>
      <c r="G13" s="170"/>
      <c r="H13" s="170"/>
      <c r="I13" s="23"/>
      <c r="J13" s="23"/>
      <c r="K13" s="23"/>
      <c r="L13" s="23"/>
      <c r="M13" s="23"/>
    </row>
    <row r="14" spans="2:13" ht="30" customHeight="1">
      <c r="B14" s="129" t="s">
        <v>588</v>
      </c>
      <c r="C14" s="1" t="s">
        <v>589</v>
      </c>
      <c r="D14" s="1"/>
      <c r="E14" s="1"/>
      <c r="F14" s="1"/>
      <c r="G14" s="1"/>
      <c r="H14" s="1"/>
      <c r="I14" s="23"/>
      <c r="J14" s="23"/>
      <c r="K14" s="23"/>
      <c r="L14" s="23"/>
      <c r="M14" s="23"/>
    </row>
    <row r="15" spans="2:13" ht="14.25" customHeight="1">
      <c r="B15" s="23"/>
      <c r="C15" s="23"/>
      <c r="D15" s="23"/>
      <c r="E15" s="23"/>
      <c r="F15" s="23"/>
      <c r="G15" s="23"/>
      <c r="H15" s="23"/>
      <c r="I15" s="23"/>
      <c r="J15" s="23"/>
      <c r="K15" s="23"/>
      <c r="L15" s="23"/>
      <c r="M15" s="23"/>
    </row>
    <row r="16" spans="2:13" ht="14.25" customHeight="1">
      <c r="B16" s="23"/>
      <c r="C16" s="23"/>
      <c r="D16" s="23"/>
      <c r="E16" s="23"/>
      <c r="F16" s="23"/>
      <c r="G16" s="23"/>
      <c r="H16" s="23"/>
      <c r="I16" s="23"/>
      <c r="J16" s="23"/>
      <c r="K16" s="23"/>
      <c r="L16" s="23"/>
      <c r="M16" s="23"/>
    </row>
    <row r="17" spans="2:13" ht="14.25" customHeight="1">
      <c r="B17" s="23"/>
      <c r="C17" s="23"/>
      <c r="D17" s="23"/>
      <c r="E17" s="23"/>
      <c r="F17" s="23"/>
      <c r="G17" s="23"/>
      <c r="H17" s="23"/>
      <c r="I17" s="23"/>
      <c r="J17" s="23"/>
      <c r="K17" s="23"/>
      <c r="L17" s="23"/>
      <c r="M17" s="23"/>
    </row>
    <row r="18" spans="2:13" ht="14.25" customHeight="1">
      <c r="B18" s="98" t="s">
        <v>590</v>
      </c>
      <c r="C18" s="23"/>
      <c r="D18" s="23"/>
      <c r="E18" s="23"/>
      <c r="F18" s="23"/>
      <c r="G18" s="23"/>
      <c r="H18" s="23"/>
      <c r="I18" s="23"/>
      <c r="J18" s="23"/>
      <c r="K18" s="23"/>
      <c r="L18" s="23"/>
      <c r="M18" s="23"/>
    </row>
    <row r="19" spans="2:13" ht="60" customHeight="1">
      <c r="B19" s="130" t="s">
        <v>591</v>
      </c>
      <c r="C19" s="1" t="s">
        <v>592</v>
      </c>
      <c r="D19" s="1"/>
      <c r="E19" s="1"/>
      <c r="F19" s="1"/>
      <c r="G19" s="23"/>
      <c r="H19" s="23"/>
      <c r="I19" s="23"/>
      <c r="J19" s="23"/>
      <c r="K19" s="23"/>
      <c r="L19" s="23"/>
      <c r="M19" s="23"/>
    </row>
    <row r="20" spans="2:13" ht="60" customHeight="1">
      <c r="B20" s="130" t="s">
        <v>593</v>
      </c>
      <c r="C20" s="1" t="s">
        <v>594</v>
      </c>
      <c r="D20" s="1"/>
      <c r="E20" s="1"/>
      <c r="F20" s="1"/>
      <c r="G20" s="23"/>
      <c r="H20" s="23"/>
      <c r="I20" s="23"/>
      <c r="J20" s="23"/>
      <c r="K20" s="23"/>
      <c r="L20" s="23"/>
      <c r="M20" s="23"/>
    </row>
    <row r="21" spans="2:13" ht="60" customHeight="1">
      <c r="B21" s="130" t="s">
        <v>595</v>
      </c>
      <c r="C21" s="1" t="s">
        <v>596</v>
      </c>
      <c r="D21" s="1"/>
      <c r="E21" s="1"/>
      <c r="F21" s="1"/>
      <c r="G21" s="23"/>
      <c r="H21" s="23"/>
      <c r="I21" s="23"/>
      <c r="J21" s="23"/>
      <c r="K21" s="23"/>
      <c r="L21" s="23"/>
      <c r="M21" s="23"/>
    </row>
    <row r="22" spans="2:13" ht="60" customHeight="1">
      <c r="B22" s="50" t="s">
        <v>597</v>
      </c>
      <c r="C22" s="170" t="s">
        <v>598</v>
      </c>
      <c r="D22" s="170"/>
      <c r="E22" s="170"/>
      <c r="F22" s="170"/>
      <c r="G22" s="23"/>
      <c r="H22" s="23"/>
      <c r="I22" s="23"/>
      <c r="J22" s="23"/>
      <c r="K22" s="23"/>
      <c r="L22" s="23"/>
      <c r="M22" s="23"/>
    </row>
    <row r="23" spans="2:13" ht="60" customHeight="1">
      <c r="B23" s="130" t="s">
        <v>599</v>
      </c>
      <c r="C23" s="170" t="s">
        <v>600</v>
      </c>
      <c r="D23" s="170"/>
      <c r="E23" s="170"/>
      <c r="F23" s="170"/>
      <c r="G23" s="23"/>
      <c r="H23" s="23"/>
      <c r="I23" s="23"/>
      <c r="J23" s="23"/>
      <c r="K23" s="23"/>
      <c r="L23" s="23"/>
      <c r="M23" s="23"/>
    </row>
    <row r="24" spans="2:13" ht="60" customHeight="1">
      <c r="B24" s="50" t="s">
        <v>601</v>
      </c>
      <c r="C24" s="1" t="s">
        <v>602</v>
      </c>
      <c r="D24" s="1"/>
      <c r="E24" s="1"/>
      <c r="F24" s="1"/>
      <c r="G24" s="23"/>
      <c r="H24" s="23"/>
      <c r="I24" s="23"/>
      <c r="J24" s="23"/>
      <c r="K24" s="23"/>
      <c r="L24" s="23"/>
      <c r="M24" s="23"/>
    </row>
    <row r="25" spans="2:13" ht="60" customHeight="1">
      <c r="B25" s="50" t="s">
        <v>603</v>
      </c>
      <c r="C25" s="170" t="s">
        <v>604</v>
      </c>
      <c r="D25" s="170"/>
      <c r="E25" s="170"/>
      <c r="F25" s="170"/>
      <c r="G25" s="23"/>
      <c r="H25" s="23"/>
      <c r="I25" s="23"/>
      <c r="J25" s="23"/>
      <c r="K25" s="23"/>
      <c r="L25" s="23"/>
      <c r="M25" s="23"/>
    </row>
    <row r="26" spans="2:13" ht="60" customHeight="1">
      <c r="B26" s="50" t="s">
        <v>605</v>
      </c>
      <c r="C26" s="170" t="s">
        <v>606</v>
      </c>
      <c r="D26" s="170"/>
      <c r="E26" s="170"/>
      <c r="F26" s="170"/>
      <c r="G26" s="23"/>
      <c r="H26" s="23"/>
      <c r="I26" s="23"/>
      <c r="J26" s="23"/>
      <c r="K26" s="23"/>
      <c r="L26" s="23"/>
      <c r="M26" s="23"/>
    </row>
    <row r="27" spans="2:13" ht="60" customHeight="1">
      <c r="B27" s="50" t="s">
        <v>607</v>
      </c>
      <c r="C27" s="1" t="s">
        <v>608</v>
      </c>
      <c r="D27" s="1"/>
      <c r="E27" s="1"/>
      <c r="F27" s="1"/>
      <c r="G27" s="23"/>
      <c r="H27" s="23"/>
      <c r="I27" s="23"/>
      <c r="J27" s="23"/>
      <c r="K27" s="23"/>
      <c r="L27" s="23"/>
      <c r="M27" s="23"/>
    </row>
    <row r="28" spans="2:13" ht="14.25" customHeight="1">
      <c r="B28" s="23"/>
      <c r="C28" s="23"/>
      <c r="D28" s="23"/>
      <c r="E28" s="23"/>
      <c r="F28" s="23"/>
      <c r="G28" s="23"/>
      <c r="H28" s="23"/>
      <c r="I28" s="23"/>
      <c r="J28" s="23"/>
      <c r="K28" s="23"/>
      <c r="L28" s="23"/>
      <c r="M28" s="23"/>
    </row>
    <row r="29" spans="2:13" ht="14.25" customHeight="1">
      <c r="B29" s="23"/>
      <c r="C29" s="23"/>
      <c r="D29" s="23"/>
      <c r="E29" s="23"/>
      <c r="F29" s="23"/>
      <c r="G29" s="23"/>
      <c r="H29" s="23"/>
      <c r="I29" s="23"/>
      <c r="J29" s="23"/>
      <c r="K29" s="23"/>
      <c r="L29" s="23"/>
      <c r="M29" s="23"/>
    </row>
    <row r="30" spans="2:13" ht="16.5" customHeight="1">
      <c r="B30" s="98" t="s">
        <v>609</v>
      </c>
      <c r="C30" s="23"/>
      <c r="D30" s="23"/>
      <c r="E30" s="23"/>
      <c r="F30" s="23"/>
      <c r="G30" s="23"/>
      <c r="H30" s="23"/>
      <c r="I30" s="23"/>
      <c r="J30" s="23"/>
      <c r="K30" s="23"/>
      <c r="L30" s="23"/>
      <c r="M30" s="23"/>
    </row>
    <row r="31" spans="2:13" ht="15" customHeight="1">
      <c r="B31" s="79" t="s">
        <v>610</v>
      </c>
      <c r="C31" s="83">
        <v>12</v>
      </c>
      <c r="D31" s="171" t="s">
        <v>611</v>
      </c>
      <c r="E31" s="171"/>
      <c r="F31" s="171"/>
      <c r="G31" s="171"/>
      <c r="H31" s="171"/>
      <c r="I31" s="23"/>
      <c r="J31" s="23"/>
      <c r="K31" s="23"/>
      <c r="L31" s="23"/>
      <c r="M31" s="23"/>
    </row>
    <row r="32" spans="2:13" ht="15" customHeight="1">
      <c r="B32" s="79" t="s">
        <v>612</v>
      </c>
      <c r="C32" s="83">
        <v>100</v>
      </c>
      <c r="D32" s="171" t="s">
        <v>613</v>
      </c>
      <c r="E32" s="171"/>
      <c r="F32" s="171"/>
      <c r="G32" s="171"/>
      <c r="H32" s="171"/>
      <c r="I32" s="23"/>
      <c r="J32" s="23"/>
      <c r="K32" s="23"/>
      <c r="L32" s="23"/>
      <c r="M32" s="23"/>
    </row>
    <row r="33" spans="2:13" ht="45" customHeight="1">
      <c r="B33" s="121" t="s">
        <v>614</v>
      </c>
      <c r="C33" s="121" t="s">
        <v>615</v>
      </c>
      <c r="D33" s="172" t="s">
        <v>616</v>
      </c>
      <c r="E33" s="172"/>
      <c r="F33" s="172"/>
      <c r="G33" s="172"/>
      <c r="H33" s="172"/>
      <c r="I33" s="23"/>
      <c r="J33" s="23"/>
      <c r="K33" s="23"/>
      <c r="L33" s="23"/>
      <c r="M33" s="23"/>
    </row>
    <row r="34" spans="2:13" ht="30" customHeight="1">
      <c r="B34" s="122" t="s">
        <v>617</v>
      </c>
      <c r="C34" s="122"/>
      <c r="D34" s="172" t="s">
        <v>618</v>
      </c>
      <c r="E34" s="172"/>
      <c r="F34" s="172"/>
      <c r="G34" s="172"/>
      <c r="H34" s="172"/>
      <c r="I34" s="23"/>
      <c r="J34" s="23"/>
      <c r="K34" s="23"/>
      <c r="L34" s="23"/>
      <c r="M34" s="23"/>
    </row>
    <row r="35" spans="2:13" ht="14.25" customHeight="1">
      <c r="B35" s="98" t="s">
        <v>619</v>
      </c>
      <c r="C35" s="23"/>
      <c r="D35" s="23"/>
      <c r="E35" s="23"/>
      <c r="F35" s="23"/>
      <c r="G35" s="23"/>
      <c r="H35" s="23"/>
      <c r="I35" s="23"/>
      <c r="J35" s="23"/>
      <c r="K35" s="23"/>
      <c r="L35" s="23"/>
      <c r="M35" s="23"/>
    </row>
    <row r="36" spans="2:13" ht="60" customHeight="1">
      <c r="B36" s="121" t="s">
        <v>620</v>
      </c>
      <c r="C36" s="122"/>
      <c r="D36" s="172" t="s">
        <v>621</v>
      </c>
      <c r="E36" s="172"/>
      <c r="F36" s="172"/>
      <c r="G36" s="172"/>
      <c r="H36" s="172"/>
      <c r="I36" s="23"/>
      <c r="J36" s="23"/>
      <c r="K36" s="23"/>
      <c r="L36" s="23"/>
      <c r="M36" s="23"/>
    </row>
    <row r="37" spans="2:13" ht="30" customHeight="1">
      <c r="B37" s="121" t="s">
        <v>622</v>
      </c>
      <c r="C37" s="122"/>
      <c r="D37" s="172" t="s">
        <v>623</v>
      </c>
      <c r="E37" s="172"/>
      <c r="F37" s="172"/>
      <c r="G37" s="172"/>
      <c r="H37" s="172"/>
      <c r="I37" s="23"/>
      <c r="J37" s="23"/>
      <c r="K37" s="23"/>
      <c r="L37" s="23"/>
      <c r="M37" s="23"/>
    </row>
    <row r="39" spans="2:13" ht="16.5" customHeight="1">
      <c r="B39" s="68" t="s">
        <v>624</v>
      </c>
      <c r="C39" s="131"/>
      <c r="D39" s="132"/>
      <c r="E39" s="131"/>
      <c r="F39" s="131"/>
      <c r="G39" s="131"/>
      <c r="H39" s="131"/>
    </row>
    <row r="40" spans="2:13" ht="15" customHeight="1">
      <c r="B40" s="79" t="s">
        <v>625</v>
      </c>
      <c r="C40" s="133">
        <v>50000</v>
      </c>
      <c r="D40" s="172" t="s">
        <v>626</v>
      </c>
      <c r="E40" s="172"/>
      <c r="F40" s="172"/>
      <c r="G40" s="172"/>
      <c r="H40" s="172"/>
    </row>
    <row r="41" spans="2:13" ht="15" customHeight="1">
      <c r="B41" s="131" t="s">
        <v>627</v>
      </c>
      <c r="C41" s="134">
        <v>160</v>
      </c>
      <c r="D41" s="172" t="s">
        <v>628</v>
      </c>
      <c r="E41" s="172"/>
      <c r="F41" s="172"/>
      <c r="G41" s="172"/>
      <c r="H41" s="172"/>
    </row>
    <row r="42" spans="2:13" ht="15" customHeight="1">
      <c r="B42" s="79" t="s">
        <v>629</v>
      </c>
      <c r="C42" s="135">
        <f>C40*C41</f>
        <v>8000000</v>
      </c>
      <c r="D42" s="172" t="s">
        <v>630</v>
      </c>
      <c r="E42" s="172"/>
      <c r="F42" s="172"/>
      <c r="G42" s="172"/>
      <c r="H42" s="172"/>
    </row>
    <row r="43" spans="2:13" ht="45" customHeight="1">
      <c r="B43" s="79" t="s">
        <v>631</v>
      </c>
      <c r="C43" s="79"/>
      <c r="D43" s="173" t="s">
        <v>632</v>
      </c>
      <c r="E43" s="173"/>
      <c r="F43" s="173"/>
      <c r="G43" s="173"/>
      <c r="H43" s="173"/>
    </row>
    <row r="44" spans="2:13" ht="16.5" customHeight="1">
      <c r="B44" s="98" t="s">
        <v>633</v>
      </c>
    </row>
    <row r="45" spans="2:13" ht="15" customHeight="1">
      <c r="B45" s="136" t="s">
        <v>541</v>
      </c>
      <c r="C45" s="136" t="s">
        <v>634</v>
      </c>
    </row>
    <row r="46" spans="2:13" ht="14.25" customHeight="1">
      <c r="B46" s="131" t="s">
        <v>245</v>
      </c>
      <c r="C46" s="137">
        <v>0.15</v>
      </c>
    </row>
    <row r="47" spans="2:13" ht="14.25" customHeight="1">
      <c r="B47" s="131" t="s">
        <v>260</v>
      </c>
      <c r="C47" s="137">
        <v>0.4</v>
      </c>
    </row>
    <row r="48" spans="2:13" ht="14.25" customHeight="1">
      <c r="B48" s="131" t="s">
        <v>326</v>
      </c>
      <c r="C48" s="137">
        <v>0.6</v>
      </c>
    </row>
    <row r="49" spans="2:8" ht="14.25" customHeight="1">
      <c r="B49" s="131" t="s">
        <v>280</v>
      </c>
      <c r="C49" s="137">
        <v>0.85</v>
      </c>
    </row>
    <row r="50" spans="2:8" ht="14.25" customHeight="1">
      <c r="B50" s="131" t="s">
        <v>554</v>
      </c>
      <c r="C50" s="137">
        <v>1</v>
      </c>
    </row>
    <row r="51" spans="2:8" ht="45" customHeight="1">
      <c r="D51" s="11" t="s">
        <v>635</v>
      </c>
      <c r="E51" s="11"/>
      <c r="F51" s="11"/>
      <c r="G51" s="11"/>
      <c r="H51" s="11"/>
    </row>
  </sheetData>
  <mergeCells count="24">
    <mergeCell ref="D41:H41"/>
    <mergeCell ref="D42:H42"/>
    <mergeCell ref="D43:H43"/>
    <mergeCell ref="D51:H51"/>
    <mergeCell ref="D33:H33"/>
    <mergeCell ref="D34:H34"/>
    <mergeCell ref="D36:H36"/>
    <mergeCell ref="D37:H37"/>
    <mergeCell ref="D40:H40"/>
    <mergeCell ref="C25:F25"/>
    <mergeCell ref="C26:F26"/>
    <mergeCell ref="C27:F27"/>
    <mergeCell ref="D31:H31"/>
    <mergeCell ref="D32:H32"/>
    <mergeCell ref="C20:F20"/>
    <mergeCell ref="C21:F21"/>
    <mergeCell ref="C22:F22"/>
    <mergeCell ref="C23:F23"/>
    <mergeCell ref="C24:F24"/>
    <mergeCell ref="D4:L4"/>
    <mergeCell ref="C12:H12"/>
    <mergeCell ref="C13:H13"/>
    <mergeCell ref="C14:H14"/>
    <mergeCell ref="C19:F19"/>
  </mergeCells>
  <phoneticPr fontId="50" type="noConversion"/>
  <dataValidations count="1">
    <dataValidation type="list" sqref="C4">
      <formula1>"균형자체개발형(ASW-BSW 유사비중),완성차 ASW사급+BSW전량외주(당사 통합중심),Tier-1 표준형(ASW자체개발,BSW외주/AUTOSAR구매)"</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4:H38"/>
  <sheetViews>
    <sheetView zoomScaleNormal="100" workbookViewId="0">
      <pane ySplit="5" topLeftCell="A18" activePane="bottomLeft" state="frozen"/>
      <selection pane="bottomLeft"/>
    </sheetView>
  </sheetViews>
  <sheetFormatPr defaultColWidth="8.6328125" defaultRowHeight="14.5"/>
  <cols>
    <col min="1" max="1" width="3" style="42" customWidth="1"/>
    <col min="2" max="2" width="35.1796875" style="42" customWidth="1"/>
    <col min="3" max="3" width="16" style="42" customWidth="1"/>
    <col min="4" max="4" width="14" style="42" customWidth="1"/>
    <col min="5" max="8" width="10" style="42" customWidth="1"/>
  </cols>
  <sheetData>
    <row r="4" spans="2:6" ht="16.5" customHeight="1">
      <c r="B4" s="98" t="s">
        <v>636</v>
      </c>
      <c r="C4" s="23"/>
      <c r="D4" s="23"/>
      <c r="E4" s="23"/>
      <c r="F4" s="23"/>
    </row>
    <row r="5" spans="2:6" ht="25.5" customHeight="1">
      <c r="B5" s="64" t="s">
        <v>541</v>
      </c>
      <c r="C5" s="64" t="s">
        <v>637</v>
      </c>
      <c r="D5" s="64" t="s">
        <v>638</v>
      </c>
      <c r="E5" s="64" t="s">
        <v>639</v>
      </c>
      <c r="F5" s="23"/>
    </row>
    <row r="6" spans="2:6" ht="14.25" customHeight="1">
      <c r="B6" s="112" t="s">
        <v>245</v>
      </c>
      <c r="C6" s="112">
        <v>0.15</v>
      </c>
      <c r="D6" s="112">
        <v>63</v>
      </c>
      <c r="E6" s="127">
        <f>D6/$D$10</f>
        <v>0.45985401459854014</v>
      </c>
      <c r="F6" s="23"/>
    </row>
    <row r="7" spans="2:6" ht="14.25" customHeight="1">
      <c r="B7" s="112" t="s">
        <v>260</v>
      </c>
      <c r="C7" s="112">
        <v>0.4</v>
      </c>
      <c r="D7" s="112">
        <v>89</v>
      </c>
      <c r="E7" s="127">
        <f>D7/$D$10</f>
        <v>0.64963503649635035</v>
      </c>
      <c r="F7" s="23"/>
    </row>
    <row r="8" spans="2:6" ht="14.25" customHeight="1">
      <c r="B8" s="112" t="s">
        <v>326</v>
      </c>
      <c r="C8" s="112">
        <v>0.6</v>
      </c>
      <c r="D8" s="112">
        <v>119</v>
      </c>
      <c r="E8" s="127">
        <f>D8/$D$10</f>
        <v>0.86861313868613144</v>
      </c>
      <c r="F8" s="23"/>
    </row>
    <row r="9" spans="2:6" ht="14.25" customHeight="1">
      <c r="B9" s="112" t="s">
        <v>280</v>
      </c>
      <c r="C9" s="112">
        <v>0.85</v>
      </c>
      <c r="D9" s="112">
        <v>137</v>
      </c>
      <c r="E9" s="127">
        <f>D9/$D$10</f>
        <v>1</v>
      </c>
      <c r="F9" s="23"/>
    </row>
    <row r="10" spans="2:6" ht="14.25" customHeight="1">
      <c r="B10" s="112" t="s">
        <v>554</v>
      </c>
      <c r="C10" s="112">
        <v>1</v>
      </c>
      <c r="D10" s="112">
        <v>137</v>
      </c>
      <c r="E10" s="127">
        <f>D10/$D$10</f>
        <v>1</v>
      </c>
      <c r="F10" s="23"/>
    </row>
    <row r="11" spans="2:6" ht="14.25" customHeight="1">
      <c r="B11" s="23"/>
      <c r="C11" s="23"/>
      <c r="D11" s="23"/>
      <c r="E11" s="23"/>
      <c r="F11" s="23"/>
    </row>
    <row r="12" spans="2:6" ht="16.5" customHeight="1">
      <c r="B12" s="98" t="s">
        <v>640</v>
      </c>
      <c r="C12" s="23"/>
      <c r="D12" s="23"/>
      <c r="E12" s="23"/>
      <c r="F12" s="23"/>
    </row>
    <row r="13" spans="2:6" ht="15" customHeight="1">
      <c r="B13" s="79" t="s">
        <v>641</v>
      </c>
      <c r="C13" s="112" t="s">
        <v>642</v>
      </c>
      <c r="D13" s="83">
        <v>0.52700000000000002</v>
      </c>
      <c r="E13" s="112" t="s">
        <v>643</v>
      </c>
      <c r="F13" s="83">
        <v>1.349</v>
      </c>
    </row>
    <row r="14" spans="2:6" ht="15" customHeight="1">
      <c r="B14" s="79" t="s">
        <v>644</v>
      </c>
      <c r="C14" s="112" t="s">
        <v>642</v>
      </c>
      <c r="D14" s="83">
        <v>2</v>
      </c>
      <c r="E14" s="112" t="s">
        <v>643</v>
      </c>
      <c r="F14" s="83">
        <v>2</v>
      </c>
    </row>
    <row r="15" spans="2:6" ht="16.5" customHeight="1">
      <c r="B15" s="68" t="s">
        <v>645</v>
      </c>
      <c r="C15" s="112" t="s">
        <v>642</v>
      </c>
      <c r="D15" s="83">
        <v>0.74399999999999999</v>
      </c>
      <c r="E15" s="112" t="s">
        <v>643</v>
      </c>
      <c r="F15" s="83">
        <v>1.4079999999999999</v>
      </c>
    </row>
    <row r="16" spans="2:6" ht="14.25" customHeight="1">
      <c r="B16" s="23"/>
      <c r="C16" s="23"/>
      <c r="D16" s="23"/>
      <c r="E16" s="23"/>
      <c r="F16" s="23"/>
    </row>
    <row r="17" spans="2:6" ht="15" customHeight="1">
      <c r="B17" s="138" t="s">
        <v>646</v>
      </c>
      <c r="C17" s="136" t="s">
        <v>647</v>
      </c>
      <c r="D17" s="136" t="s">
        <v>648</v>
      </c>
      <c r="E17" s="136" t="s">
        <v>649</v>
      </c>
      <c r="F17" s="23"/>
    </row>
    <row r="18" spans="2:6" ht="14.25" customHeight="1">
      <c r="B18" s="139">
        <v>0</v>
      </c>
      <c r="C18" s="140">
        <f>BETADIST(0,$D$13,$F$13)</f>
        <v>0</v>
      </c>
      <c r="D18" s="140">
        <f>BETADIST(0,$D$14,$F$14)</f>
        <v>0</v>
      </c>
      <c r="E18" s="140">
        <f>BETADIST(0,$D$15,$F$15)</f>
        <v>0</v>
      </c>
      <c r="F18" s="23"/>
    </row>
    <row r="19" spans="2:6" ht="14.25" customHeight="1">
      <c r="B19" s="139">
        <v>0.05</v>
      </c>
      <c r="C19" s="140">
        <f>BETADIST(0.05,$D$13,$F$13)</f>
        <v>0.24718941402048997</v>
      </c>
      <c r="D19" s="140">
        <f>BETADIST(0.05,$D$14,$F$14)</f>
        <v>7.2500000000000012E-3</v>
      </c>
      <c r="E19" s="140">
        <f>BETADIST(0.05,$D$15,$F$15)</f>
        <v>0.14082756897612533</v>
      </c>
      <c r="F19" s="23"/>
    </row>
    <row r="20" spans="2:6" ht="14.25" customHeight="1">
      <c r="B20" s="139">
        <v>0.1</v>
      </c>
      <c r="C20" s="140">
        <f>BETADIST(0.1,$D$13,$F$13)</f>
        <v>0.35395761485576449</v>
      </c>
      <c r="D20" s="140">
        <f>BETADIST(0.1,$D$14,$F$14)</f>
        <v>2.8000000000000011E-2</v>
      </c>
      <c r="E20" s="140">
        <f>BETADIST(0.1,$D$15,$F$15)</f>
        <v>0.23372777170643189</v>
      </c>
      <c r="F20" s="23"/>
    </row>
    <row r="21" spans="2:6" ht="14.25" customHeight="1">
      <c r="B21" s="139">
        <v>0.15</v>
      </c>
      <c r="C21" s="140">
        <f>BETADIST(0.15,$D$13,$F$13)</f>
        <v>0.43546515699053967</v>
      </c>
      <c r="D21" s="140">
        <f>BETADIST(0.15,$D$14,$F$14)</f>
        <v>6.0750000000000005E-2</v>
      </c>
      <c r="E21" s="140">
        <f>BETADIST(0.15,$D$15,$F$15)</f>
        <v>0.31308321950816542</v>
      </c>
      <c r="F21" s="23"/>
    </row>
    <row r="22" spans="2:6" ht="14.25" customHeight="1">
      <c r="B22" s="139">
        <v>0.2</v>
      </c>
      <c r="C22" s="140">
        <f>BETADIST(0.2,$D$13,$F$13)</f>
        <v>0.50340342278300376</v>
      </c>
      <c r="D22" s="140">
        <f>BETADIST(0.2,$D$14,$F$14)</f>
        <v>0.10400000000000002</v>
      </c>
      <c r="E22" s="140">
        <f>BETADIST(0.2,$D$15,$F$15)</f>
        <v>0.38408236056584855</v>
      </c>
      <c r="F22" s="23"/>
    </row>
    <row r="23" spans="2:6" ht="14.25" customHeight="1">
      <c r="B23" s="139">
        <v>0.25</v>
      </c>
      <c r="C23" s="140">
        <f>BETADIST(0.25,$D$13,$F$13)</f>
        <v>0.56236665894801663</v>
      </c>
      <c r="D23" s="140">
        <f>BETADIST(0.25,$D$14,$F$14)</f>
        <v>0.15625</v>
      </c>
      <c r="E23" s="140">
        <f>BETADIST(0.25,$D$15,$F$15)</f>
        <v>0.44895038639198004</v>
      </c>
      <c r="F23" s="23"/>
    </row>
    <row r="24" spans="2:6" ht="14.25" customHeight="1">
      <c r="B24" s="139">
        <v>0.3</v>
      </c>
      <c r="C24" s="140">
        <f>BETADIST(0.3,$D$13,$F$13)</f>
        <v>0.61473035019996858</v>
      </c>
      <c r="D24" s="140">
        <f>BETADIST(0.3,$D$14,$F$14)</f>
        <v>0.21599999999999994</v>
      </c>
      <c r="E24" s="140">
        <f>BETADIST(0.3,$D$15,$F$15)</f>
        <v>0.50890159428608572</v>
      </c>
      <c r="F24" s="23"/>
    </row>
    <row r="25" spans="2:6" ht="14.25" customHeight="1">
      <c r="B25" s="139">
        <v>0.35</v>
      </c>
      <c r="C25" s="140">
        <f>BETADIST(0.35,$D$13,$F$13)</f>
        <v>0.66190991724346104</v>
      </c>
      <c r="D25" s="140">
        <f>BETADIST(0.35,$D$14,$F$14)</f>
        <v>0.28174999999999994</v>
      </c>
      <c r="E25" s="140">
        <f>BETADIST(0.35,$D$15,$F$15)</f>
        <v>0.56468442613065362</v>
      </c>
      <c r="F25" s="23"/>
    </row>
    <row r="26" spans="2:6" ht="14.25" customHeight="1">
      <c r="B26" s="139">
        <v>0.4</v>
      </c>
      <c r="C26" s="140">
        <f>BETADIST(0.4,$D$13,$F$13)</f>
        <v>0.70482504433685955</v>
      </c>
      <c r="D26" s="140">
        <f>BETADIST(0.4,$D$14,$F$14)</f>
        <v>0.35199999999999998</v>
      </c>
      <c r="E26" s="140">
        <f>BETADIST(0.4,$D$15,$F$15)</f>
        <v>0.61679341409089705</v>
      </c>
      <c r="F26" s="23"/>
    </row>
    <row r="27" spans="2:6" ht="14.25" customHeight="1">
      <c r="B27" s="139">
        <v>0.45</v>
      </c>
      <c r="C27" s="140">
        <f>BETADIST(0.45,$D$13,$F$13)</f>
        <v>0.74410798554256696</v>
      </c>
      <c r="D27" s="140">
        <f>BETADIST(0.45,$D$14,$F$14)</f>
        <v>0.42525000000000002</v>
      </c>
      <c r="E27" s="140">
        <f>BETADIST(0.45,$D$15,$F$15)</f>
        <v>0.66556791150278327</v>
      </c>
      <c r="F27" s="23"/>
    </row>
    <row r="28" spans="2:6" ht="14.25" customHeight="1">
      <c r="B28" s="139">
        <v>0.5</v>
      </c>
      <c r="C28" s="140">
        <f>BETADIST(0.5,$D$13,$F$13)</f>
        <v>0.78020947128612561</v>
      </c>
      <c r="D28" s="140">
        <f>BETADIST(0.5,$D$14,$F$14)</f>
        <v>0.5</v>
      </c>
      <c r="E28" s="140">
        <f>BETADIST(0.5,$D$15,$F$15)</f>
        <v>0.71124346757261203</v>
      </c>
      <c r="F28" s="23"/>
    </row>
    <row r="29" spans="2:6" ht="14.25" customHeight="1">
      <c r="B29" s="139">
        <v>0.55000000000000004</v>
      </c>
      <c r="C29" s="140">
        <f>BETADIST(0.55,$D$13,$F$13)</f>
        <v>0.81345724796608754</v>
      </c>
      <c r="D29" s="140">
        <f>BETADIST(0.55,$D$14,$F$14)</f>
        <v>0.57475000000000009</v>
      </c>
      <c r="E29" s="140">
        <f>BETADIST(0.55,$D$15,$F$15)</f>
        <v>0.75398027837133641</v>
      </c>
      <c r="F29" s="23"/>
    </row>
    <row r="30" spans="2:6" ht="14.25" customHeight="1">
      <c r="B30" s="139">
        <v>0.6</v>
      </c>
      <c r="C30" s="140">
        <f>BETADIST(0.6,$D$13,$F$13)</f>
        <v>0.8440901077678844</v>
      </c>
      <c r="D30" s="140">
        <f>BETADIST(0.6,$D$14,$F$14)</f>
        <v>0.64800000000000002</v>
      </c>
      <c r="E30" s="140">
        <f>BETADIST(0.6,$D$15,$F$15)</f>
        <v>0.79387904918395802</v>
      </c>
      <c r="F30" s="23"/>
    </row>
    <row r="31" spans="2:6" ht="14.25" customHeight="1">
      <c r="B31" s="139">
        <v>0.65</v>
      </c>
      <c r="C31" s="140">
        <f>BETADIST(0.65,$D$13,$F$13)</f>
        <v>0.87227783734872344</v>
      </c>
      <c r="D31" s="140">
        <f>BETADIST(0.65,$D$14,$F$14)</f>
        <v>0.71825000000000006</v>
      </c>
      <c r="E31" s="140">
        <f>BETADIST(0.65,$D$15,$F$15)</f>
        <v>0.83098887564430868</v>
      </c>
      <c r="F31" s="23"/>
    </row>
    <row r="32" spans="2:6" ht="14.25" customHeight="1">
      <c r="B32" s="139">
        <v>0.7</v>
      </c>
      <c r="C32" s="140">
        <f>BETADIST(0.7,$D$13,$F$13)</f>
        <v>0.89813194829539034</v>
      </c>
      <c r="D32" s="140">
        <f>BETADIST(0.7,$D$14,$F$14)</f>
        <v>0.78400000000000003</v>
      </c>
      <c r="E32" s="140">
        <f>BETADIST(0.7,$D$15,$F$15)</f>
        <v>0.86530891168401047</v>
      </c>
      <c r="F32" s="23"/>
    </row>
    <row r="33" spans="2:6" ht="14.25" customHeight="1">
      <c r="B33" s="139">
        <v>0.75</v>
      </c>
      <c r="C33" s="140">
        <f>BETADIST(0.75,$D$13,$F$13)</f>
        <v>0.92170898040699045</v>
      </c>
      <c r="D33" s="140">
        <f>BETADIST(0.75,$D$14,$F$14)</f>
        <v>0.84375</v>
      </c>
      <c r="E33" s="140">
        <f>BETADIST(0.75,$D$15,$F$15)</f>
        <v>0.89678358354785215</v>
      </c>
      <c r="F33" s="23"/>
    </row>
    <row r="34" spans="2:6" ht="14.25" customHeight="1">
      <c r="B34" s="139">
        <v>0.8</v>
      </c>
      <c r="C34" s="140">
        <f>BETADIST(0.8,$D$13,$F$13)</f>
        <v>0.94300555479771342</v>
      </c>
      <c r="D34" s="140">
        <f>BETADIST(0.8,$D$14,$F$14)</f>
        <v>0.89600000000000002</v>
      </c>
      <c r="E34" s="140">
        <f>BETADIST(0.8,$D$15,$F$15)</f>
        <v>0.92528857520697028</v>
      </c>
      <c r="F34" s="23"/>
    </row>
    <row r="35" spans="2:6" ht="14.25" customHeight="1">
      <c r="B35" s="139">
        <v>0.85</v>
      </c>
      <c r="C35" s="140">
        <f>BETADIST(0.85,$D$13,$F$13)</f>
        <v>0.96194003798015792</v>
      </c>
      <c r="D35" s="140">
        <f>BETADIST(0.85,$D$14,$F$14)</f>
        <v>0.93924999999999992</v>
      </c>
      <c r="E35" s="140">
        <f>BETADIST(0.85,$D$15,$F$15)</f>
        <v>0.9505993526940093</v>
      </c>
      <c r="F35" s="23"/>
    </row>
    <row r="36" spans="2:6" ht="14.25" customHeight="1">
      <c r="B36" s="139">
        <v>0.9</v>
      </c>
      <c r="C36" s="140">
        <f>BETADIST(0.9,$D$13,$F$13)</f>
        <v>0.9783032741436728</v>
      </c>
      <c r="D36" s="140">
        <f>BETADIST(0.9,$D$14,$F$14)</f>
        <v>0.97199999999999998</v>
      </c>
      <c r="E36" s="140">
        <f>BETADIST(0.9,$D$15,$F$15)</f>
        <v>0.97231710866116061</v>
      </c>
      <c r="F36" s="23"/>
    </row>
    <row r="37" spans="2:6" ht="14.25" customHeight="1">
      <c r="B37" s="139">
        <v>0.95</v>
      </c>
      <c r="C37" s="140">
        <f>BETADIST(0.95,$D$13,$F$13)</f>
        <v>0.9916045160053506</v>
      </c>
      <c r="D37" s="140">
        <f>BETADIST(0.95,$D$14,$F$14)</f>
        <v>0.99275000000000002</v>
      </c>
      <c r="E37" s="140">
        <f>BETADIST(0.95,$D$15,$F$15)</f>
        <v>0.98965051411101668</v>
      </c>
      <c r="F37" s="23"/>
    </row>
    <row r="38" spans="2:6" ht="14.25" customHeight="1">
      <c r="B38" s="139">
        <v>1</v>
      </c>
      <c r="C38" s="140">
        <f>BETADIST(1,$D$13,$F$13)</f>
        <v>1</v>
      </c>
      <c r="D38" s="140">
        <f>BETADIST(1,$D$14,$F$14)</f>
        <v>1</v>
      </c>
      <c r="E38" s="140">
        <f>BETADIST(1,$D$15,$F$15)</f>
        <v>1</v>
      </c>
      <c r="F38" s="23"/>
    </row>
  </sheetData>
  <phoneticPr fontId="50" type="noConversion"/>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4:L186"/>
  <sheetViews>
    <sheetView zoomScaleNormal="100" workbookViewId="0">
      <pane ySplit="7" topLeftCell="A8" activePane="bottomLeft" state="frozen"/>
      <selection pane="bottomLeft"/>
    </sheetView>
  </sheetViews>
  <sheetFormatPr defaultColWidth="8.6328125" defaultRowHeight="14.5"/>
  <cols>
    <col min="1" max="1" width="5" style="42" customWidth="1"/>
    <col min="2" max="2" width="10" style="42" customWidth="1"/>
    <col min="3" max="3" width="32" style="42" customWidth="1"/>
    <col min="4" max="5" width="10" style="42" customWidth="1"/>
    <col min="6" max="6" width="9" style="42" customWidth="1"/>
    <col min="7" max="12" width="10" style="42" customWidth="1"/>
  </cols>
  <sheetData>
    <row r="4" spans="1:12" ht="16.5" customHeight="1">
      <c r="A4" s="98" t="s">
        <v>650</v>
      </c>
      <c r="B4" s="141" t="s">
        <v>245</v>
      </c>
      <c r="C4" s="141" t="s">
        <v>260</v>
      </c>
      <c r="D4" s="141" t="s">
        <v>326</v>
      </c>
      <c r="E4" s="141" t="s">
        <v>280</v>
      </c>
      <c r="F4" s="141" t="s">
        <v>554</v>
      </c>
      <c r="G4" s="23"/>
      <c r="H4" s="23"/>
      <c r="I4" s="23"/>
      <c r="J4" s="23"/>
      <c r="K4" s="23"/>
      <c r="L4" s="23"/>
    </row>
    <row r="5" spans="1:12" ht="14.25" customHeight="1">
      <c r="A5" s="23"/>
      <c r="B5" s="139">
        <v>1</v>
      </c>
      <c r="C5" s="139">
        <v>2</v>
      </c>
      <c r="D5" s="139">
        <v>3</v>
      </c>
      <c r="E5" s="139">
        <v>4</v>
      </c>
      <c r="F5" s="139">
        <v>5</v>
      </c>
      <c r="G5" s="23"/>
      <c r="H5" s="23"/>
      <c r="I5" s="23"/>
      <c r="J5" s="23"/>
      <c r="K5" s="23"/>
      <c r="L5" s="23"/>
    </row>
    <row r="6" spans="1:12" ht="14.25" customHeight="1">
      <c r="A6" s="23"/>
      <c r="B6" s="23"/>
      <c r="C6" s="23"/>
      <c r="D6" s="23"/>
      <c r="E6" s="23"/>
      <c r="F6" s="23"/>
      <c r="G6" s="23"/>
      <c r="H6" s="23"/>
      <c r="I6" s="23"/>
      <c r="J6" s="23"/>
      <c r="K6" s="23"/>
      <c r="L6" s="23"/>
    </row>
    <row r="7" spans="1:12" ht="25.5" customHeight="1">
      <c r="A7" s="71" t="s">
        <v>34</v>
      </c>
      <c r="B7" s="71" t="s">
        <v>116</v>
      </c>
      <c r="C7" s="71" t="s">
        <v>651</v>
      </c>
      <c r="D7" s="64" t="s">
        <v>652</v>
      </c>
      <c r="E7" s="64" t="s">
        <v>653</v>
      </c>
      <c r="F7" s="64" t="s">
        <v>654</v>
      </c>
      <c r="G7" s="64" t="s">
        <v>655</v>
      </c>
      <c r="H7" s="71" t="s">
        <v>656</v>
      </c>
      <c r="I7" s="71" t="s">
        <v>657</v>
      </c>
      <c r="J7" s="71" t="s">
        <v>658</v>
      </c>
      <c r="K7" s="71" t="s">
        <v>659</v>
      </c>
      <c r="L7" s="71" t="s">
        <v>660</v>
      </c>
    </row>
    <row r="8" spans="1:12" ht="14.25" customHeight="1">
      <c r="A8" s="142">
        <f>WP_상세!A5</f>
        <v>1</v>
      </c>
      <c r="B8" s="142" t="str">
        <f>WP_상세!B5</f>
        <v>ACQ.4</v>
      </c>
      <c r="C8" s="142" t="str">
        <f>WP_상세!F5</f>
        <v>Commitment/Agreement / 공급자 관리 합의서/협약서</v>
      </c>
      <c r="D8" s="142" t="str">
        <f>WP_상세!G5</f>
        <v>M-Car</v>
      </c>
      <c r="E8" s="142" t="str">
        <f>WP_상세!H5</f>
        <v>Discrete</v>
      </c>
      <c r="F8" s="142" t="str">
        <f>WP_상세!I5</f>
        <v>N</v>
      </c>
      <c r="G8" s="143">
        <f>WP_상세!J5</f>
        <v>1</v>
      </c>
      <c r="H8" s="144">
        <f t="shared" ref="H8:H39" si="0">IFERROR(IF($E8&lt;&gt;"Discrete",0,IF(1&lt;MATCH($D8,$B$4:$F$4,0),0,IF($F8&lt;&gt;"Y",IF(1=MATCH($D8,$B$4:$F$4,0),1,0),IF(1=MATCH($D8,$B$4:$F$4,0),$G8+(1-$G8)/(5-MATCH($D8,$B$4:$F$4,0)+1),(1-$G8)/(5-MATCH($D8,$B$4:$F$4,0)+1))))),0)</f>
        <v>1</v>
      </c>
      <c r="I8" s="144">
        <f t="shared" ref="I8:I39" si="1">IFERROR(IF($E8&lt;&gt;"Discrete",0,IF(2&lt;MATCH($D8,$B$4:$F$4,0),0,IF($F8&lt;&gt;"Y",IF(2=MATCH($D8,$B$4:$F$4,0),1,0),IF(2=MATCH($D8,$B$4:$F$4,0),$G8+(1-$G8)/(5-MATCH($D8,$B$4:$F$4,0)+1),(1-$G8)/(5-MATCH($D8,$B$4:$F$4,0)+1))))),0)</f>
        <v>0</v>
      </c>
      <c r="J8" s="144">
        <f t="shared" ref="J8:J39" si="2">IFERROR(IF($E8&lt;&gt;"Discrete",0,IF(3&lt;MATCH($D8,$B$4:$F$4,0),0,IF($F8&lt;&gt;"Y",IF(3=MATCH($D8,$B$4:$F$4,0),1,0),IF(3=MATCH($D8,$B$4:$F$4,0),$G8+(1-$G8)/(5-MATCH($D8,$B$4:$F$4,0)+1),(1-$G8)/(5-MATCH($D8,$B$4:$F$4,0)+1))))),0)</f>
        <v>0</v>
      </c>
      <c r="K8" s="144">
        <f t="shared" ref="K8:K39" si="3">IFERROR(IF($E8&lt;&gt;"Discrete",0,IF(4&lt;MATCH($D8,$B$4:$F$4,0),0,IF($F8&lt;&gt;"Y",IF(4=MATCH($D8,$B$4:$F$4,0),1,0),IF(4=MATCH($D8,$B$4:$F$4,0),$G8+(1-$G8)/(5-MATCH($D8,$B$4:$F$4,0)+1),(1-$G8)/(5-MATCH($D8,$B$4:$F$4,0)+1))))),0)</f>
        <v>0</v>
      </c>
      <c r="L8" s="144">
        <f t="shared" ref="L8:L39" si="4">IFERROR(IF($E8&lt;&gt;"Discrete",0,IF(5&lt;MATCH($D8,$B$4:$F$4,0),0,IF($F8&lt;&gt;"Y",IF(5=MATCH($D8,$B$4:$F$4,0),1,0),IF(5=MATCH($D8,$B$4:$F$4,0),$G8+(1-$G8)/(5-MATCH($D8,$B$4:$F$4,0)+1),(1-$G8)/(5-MATCH($D8,$B$4:$F$4,0)+1))))),0)</f>
        <v>0</v>
      </c>
    </row>
    <row r="9" spans="1:12" ht="14.25" customHeight="1">
      <c r="A9" s="142">
        <f>WP_상세!A6</f>
        <v>2</v>
      </c>
      <c r="B9" s="142" t="str">
        <f>WP_상세!B6</f>
        <v>ACQ.4</v>
      </c>
      <c r="C9" s="142" t="str">
        <f>WP_상세!F6</f>
        <v>Communication Evidence / 공급자 교신/커뮤니케이션 증적</v>
      </c>
      <c r="D9" s="142" t="str">
        <f>WP_상세!G6</f>
        <v>Proto</v>
      </c>
      <c r="E9" s="142" t="str">
        <f>WP_상세!H6</f>
        <v>Discrete</v>
      </c>
      <c r="F9" s="142" t="str">
        <f>WP_상세!I6</f>
        <v>N</v>
      </c>
      <c r="G9" s="143">
        <f>WP_상세!J6</f>
        <v>1</v>
      </c>
      <c r="H9" s="144">
        <f t="shared" si="0"/>
        <v>0</v>
      </c>
      <c r="I9" s="144">
        <f t="shared" si="1"/>
        <v>1</v>
      </c>
      <c r="J9" s="144">
        <f t="shared" si="2"/>
        <v>0</v>
      </c>
      <c r="K9" s="144">
        <f t="shared" si="3"/>
        <v>0</v>
      </c>
      <c r="L9" s="144">
        <f t="shared" si="4"/>
        <v>0</v>
      </c>
    </row>
    <row r="10" spans="1:12" ht="14.25" customHeight="1">
      <c r="A10" s="142">
        <f>WP_상세!A7</f>
        <v>3</v>
      </c>
      <c r="B10" s="142" t="str">
        <f>WP_상세!B7</f>
        <v>ACQ.4</v>
      </c>
      <c r="C10" s="142" t="str">
        <f>WP_상세!F7</f>
        <v>Review Evidence / 개발 작업산출물 공동검토 기록</v>
      </c>
      <c r="D10" s="142" t="str">
        <f>WP_상세!G7</f>
        <v>Proto</v>
      </c>
      <c r="E10" s="142" t="str">
        <f>WP_상세!H7</f>
        <v>LOE</v>
      </c>
      <c r="F10" s="142">
        <f>WP_상세!I7</f>
        <v>0</v>
      </c>
      <c r="G10" s="142">
        <f>WP_상세!J7</f>
        <v>0</v>
      </c>
      <c r="H10" s="144">
        <f t="shared" si="0"/>
        <v>0</v>
      </c>
      <c r="I10" s="144">
        <f t="shared" si="1"/>
        <v>0</v>
      </c>
      <c r="J10" s="144">
        <f t="shared" si="2"/>
        <v>0</v>
      </c>
      <c r="K10" s="144">
        <f t="shared" si="3"/>
        <v>0</v>
      </c>
      <c r="L10" s="144">
        <f t="shared" si="4"/>
        <v>0</v>
      </c>
    </row>
    <row r="11" spans="1:12" ht="14.25" customHeight="1">
      <c r="A11" s="142">
        <f>WP_상세!A8</f>
        <v>4</v>
      </c>
      <c r="B11" s="142" t="str">
        <f>WP_상세!B8</f>
        <v>ACQ.4</v>
      </c>
      <c r="C11" s="142" t="str">
        <f>WP_상세!F8</f>
        <v>Progress Status / 공급자 진척현황 보고서</v>
      </c>
      <c r="D11" s="142" t="str">
        <f>WP_상세!G8</f>
        <v>Proto</v>
      </c>
      <c r="E11" s="142" t="str">
        <f>WP_상세!H8</f>
        <v>LOE</v>
      </c>
      <c r="F11" s="142">
        <f>WP_상세!I8</f>
        <v>0</v>
      </c>
      <c r="G11" s="142">
        <f>WP_상세!J8</f>
        <v>0</v>
      </c>
      <c r="H11" s="144">
        <f t="shared" si="0"/>
        <v>0</v>
      </c>
      <c r="I11" s="144">
        <f t="shared" si="1"/>
        <v>0</v>
      </c>
      <c r="J11" s="144">
        <f t="shared" si="2"/>
        <v>0</v>
      </c>
      <c r="K11" s="144">
        <f t="shared" si="3"/>
        <v>0</v>
      </c>
      <c r="L11" s="144">
        <f t="shared" si="4"/>
        <v>0</v>
      </c>
    </row>
    <row r="12" spans="1:12" ht="14.25" customHeight="1">
      <c r="A12" s="142">
        <f>WP_상세!A9</f>
        <v>5</v>
      </c>
      <c r="B12" s="142" t="str">
        <f>WP_상세!B9</f>
        <v>ACQ.4</v>
      </c>
      <c r="C12" s="142" t="str">
        <f>WP_상세!F9</f>
        <v>Corrective Action / 시정조치 기록서</v>
      </c>
      <c r="D12" s="142" t="str">
        <f>WP_상세!G9</f>
        <v>P1</v>
      </c>
      <c r="E12" s="142" t="str">
        <f>WP_상세!H9</f>
        <v>LOE</v>
      </c>
      <c r="F12" s="142">
        <f>WP_상세!I9</f>
        <v>0</v>
      </c>
      <c r="G12" s="142">
        <f>WP_상세!J9</f>
        <v>0</v>
      </c>
      <c r="H12" s="144">
        <f t="shared" si="0"/>
        <v>0</v>
      </c>
      <c r="I12" s="144">
        <f t="shared" si="1"/>
        <v>0</v>
      </c>
      <c r="J12" s="144">
        <f t="shared" si="2"/>
        <v>0</v>
      </c>
      <c r="K12" s="144">
        <f t="shared" si="3"/>
        <v>0</v>
      </c>
      <c r="L12" s="144">
        <f t="shared" si="4"/>
        <v>0</v>
      </c>
    </row>
    <row r="13" spans="1:12" ht="14.25" customHeight="1">
      <c r="A13" s="142">
        <f>WP_상세!A10</f>
        <v>6</v>
      </c>
      <c r="B13" s="142" t="str">
        <f>WP_상세!B10</f>
        <v>SPL.2</v>
      </c>
      <c r="C13" s="142" t="str">
        <f>WP_상세!F10</f>
        <v>Product Release Criteria / 릴리스 기능내용/기준 정의서</v>
      </c>
      <c r="D13" s="142" t="str">
        <f>WP_상세!G10</f>
        <v>릴리즈이력 참조</v>
      </c>
      <c r="E13" s="142" t="str">
        <f>WP_상세!H10</f>
        <v>Discrete</v>
      </c>
      <c r="F13" s="142">
        <f>WP_상세!I10</f>
        <v>0</v>
      </c>
      <c r="G13" s="142">
        <f>WP_상세!J10</f>
        <v>0</v>
      </c>
      <c r="H13" s="144">
        <f t="shared" si="0"/>
        <v>0</v>
      </c>
      <c r="I13" s="144">
        <f t="shared" si="1"/>
        <v>0</v>
      </c>
      <c r="J13" s="144">
        <f t="shared" si="2"/>
        <v>0</v>
      </c>
      <c r="K13" s="144">
        <f t="shared" si="3"/>
        <v>0</v>
      </c>
      <c r="L13" s="144">
        <f t="shared" si="4"/>
        <v>0</v>
      </c>
    </row>
    <row r="14" spans="1:12" ht="14.25" customHeight="1">
      <c r="A14" s="142">
        <f>WP_상세!A11</f>
        <v>7</v>
      </c>
      <c r="B14" s="142" t="str">
        <f>WP_상세!B11</f>
        <v>SPL.2</v>
      </c>
      <c r="C14" s="142" t="str">
        <f>WP_상세!F11</f>
        <v>Product Release Criteria / 릴리스 패키지 정의서</v>
      </c>
      <c r="D14" s="142" t="str">
        <f>WP_상세!G11</f>
        <v>릴리즈이력 참조</v>
      </c>
      <c r="E14" s="142" t="str">
        <f>WP_상세!H11</f>
        <v>Discrete</v>
      </c>
      <c r="F14" s="142">
        <f>WP_상세!I11</f>
        <v>0</v>
      </c>
      <c r="G14" s="142">
        <f>WP_상세!J11</f>
        <v>0</v>
      </c>
      <c r="H14" s="144">
        <f t="shared" si="0"/>
        <v>0</v>
      </c>
      <c r="I14" s="144">
        <f t="shared" si="1"/>
        <v>0</v>
      </c>
      <c r="J14" s="144">
        <f t="shared" si="2"/>
        <v>0</v>
      </c>
      <c r="K14" s="144">
        <f t="shared" si="3"/>
        <v>0</v>
      </c>
      <c r="L14" s="144">
        <f t="shared" si="4"/>
        <v>0</v>
      </c>
    </row>
    <row r="15" spans="1:12" ht="14.25" customHeight="1">
      <c r="A15" s="142">
        <f>WP_상세!A12</f>
        <v>8</v>
      </c>
      <c r="B15" s="142" t="str">
        <f>WP_상세!B12</f>
        <v>SPL.2</v>
      </c>
      <c r="C15" s="142" t="str">
        <f>WP_상세!F12</f>
        <v>Release Note / 릴리스 고유식별/번호체계 문서(릴리스 노트 내 포함)</v>
      </c>
      <c r="D15" s="142" t="str">
        <f>WP_상세!G12</f>
        <v>릴리즈이력 참조</v>
      </c>
      <c r="E15" s="142" t="str">
        <f>WP_상세!H12</f>
        <v>Discrete</v>
      </c>
      <c r="F15" s="142">
        <f>WP_상세!I12</f>
        <v>0</v>
      </c>
      <c r="G15" s="142">
        <f>WP_상세!J12</f>
        <v>0</v>
      </c>
      <c r="H15" s="144">
        <f t="shared" si="0"/>
        <v>0</v>
      </c>
      <c r="I15" s="144">
        <f t="shared" si="1"/>
        <v>0</v>
      </c>
      <c r="J15" s="144">
        <f t="shared" si="2"/>
        <v>0</v>
      </c>
      <c r="K15" s="144">
        <f t="shared" si="3"/>
        <v>0</v>
      </c>
      <c r="L15" s="144">
        <f t="shared" si="4"/>
        <v>0</v>
      </c>
    </row>
    <row r="16" spans="1:12" ht="14.25" customHeight="1">
      <c r="A16" s="142">
        <f>WP_상세!A13</f>
        <v>9</v>
      </c>
      <c r="B16" s="142" t="str">
        <f>WP_상세!B13</f>
        <v>SPL.2</v>
      </c>
      <c r="C16" s="142" t="str">
        <f>WP_상세!F13</f>
        <v>Product Release Package / 릴리스 패키지(형상통제 항목 기반 빌드)</v>
      </c>
      <c r="D16" s="142" t="str">
        <f>WP_상세!G13</f>
        <v>릴리즈이력 참조</v>
      </c>
      <c r="E16" s="142" t="str">
        <f>WP_상세!H13</f>
        <v>Discrete</v>
      </c>
      <c r="F16" s="142">
        <f>WP_상세!I13</f>
        <v>0</v>
      </c>
      <c r="G16" s="142">
        <f>WP_상세!J13</f>
        <v>0</v>
      </c>
      <c r="H16" s="144">
        <f t="shared" si="0"/>
        <v>0</v>
      </c>
      <c r="I16" s="144">
        <f t="shared" si="1"/>
        <v>0</v>
      </c>
      <c r="J16" s="144">
        <f t="shared" si="2"/>
        <v>0</v>
      </c>
      <c r="K16" s="144">
        <f t="shared" si="3"/>
        <v>0</v>
      </c>
      <c r="L16" s="144">
        <f t="shared" si="4"/>
        <v>0</v>
      </c>
    </row>
    <row r="17" spans="1:12" ht="14.25" customHeight="1">
      <c r="A17" s="142">
        <f>WP_상세!A14</f>
        <v>10</v>
      </c>
      <c r="B17" s="142" t="str">
        <f>WP_상세!B14</f>
        <v>SPL.2</v>
      </c>
      <c r="C17" s="142" t="str">
        <f>WP_상세!F14</f>
        <v>Product Release Approval / 릴리스 승인서</v>
      </c>
      <c r="D17" s="142" t="str">
        <f>WP_상세!G14</f>
        <v>릴리즈이력 참조</v>
      </c>
      <c r="E17" s="142" t="str">
        <f>WP_상세!H14</f>
        <v>Discrete</v>
      </c>
      <c r="F17" s="142">
        <f>WP_상세!I14</f>
        <v>0</v>
      </c>
      <c r="G17" s="142">
        <f>WP_상세!J14</f>
        <v>0</v>
      </c>
      <c r="H17" s="144">
        <f t="shared" si="0"/>
        <v>0</v>
      </c>
      <c r="I17" s="144">
        <f t="shared" si="1"/>
        <v>0</v>
      </c>
      <c r="J17" s="144">
        <f t="shared" si="2"/>
        <v>0</v>
      </c>
      <c r="K17" s="144">
        <f t="shared" si="3"/>
        <v>0</v>
      </c>
      <c r="L17" s="144">
        <f t="shared" si="4"/>
        <v>0</v>
      </c>
    </row>
    <row r="18" spans="1:12" ht="14.25" customHeight="1">
      <c r="A18" s="142">
        <f>WP_상세!A15</f>
        <v>11</v>
      </c>
      <c r="B18" s="142" t="str">
        <f>WP_상세!B15</f>
        <v>SPL.2</v>
      </c>
      <c r="C18" s="142" t="str">
        <f>WP_상세!F15</f>
        <v>Release Note / 릴리스 노트</v>
      </c>
      <c r="D18" s="142" t="str">
        <f>WP_상세!G15</f>
        <v>릴리즈이력 참조</v>
      </c>
      <c r="E18" s="142" t="str">
        <f>WP_상세!H15</f>
        <v>Discrete</v>
      </c>
      <c r="F18" s="142">
        <f>WP_상세!I15</f>
        <v>0</v>
      </c>
      <c r="G18" s="142">
        <f>WP_상세!J15</f>
        <v>0</v>
      </c>
      <c r="H18" s="144">
        <f t="shared" si="0"/>
        <v>0</v>
      </c>
      <c r="I18" s="144">
        <f t="shared" si="1"/>
        <v>0</v>
      </c>
      <c r="J18" s="144">
        <f t="shared" si="2"/>
        <v>0</v>
      </c>
      <c r="K18" s="144">
        <f t="shared" si="3"/>
        <v>0</v>
      </c>
      <c r="L18" s="144">
        <f t="shared" si="4"/>
        <v>0</v>
      </c>
    </row>
    <row r="19" spans="1:12" ht="14.25" customHeight="1">
      <c r="A19" s="142">
        <f>WP_상세!A16</f>
        <v>12</v>
      </c>
      <c r="B19" s="142" t="str">
        <f>WP_상세!B16</f>
        <v>SPL.2</v>
      </c>
      <c r="C19" s="142" t="str">
        <f>WP_상세!F16</f>
        <v>Release Note / 릴리스 지원유형/수준/기간 안내서(릴리스 노트 내 포함)</v>
      </c>
      <c r="D19" s="142" t="str">
        <f>WP_상세!G16</f>
        <v>릴리즈이력 참조</v>
      </c>
      <c r="E19" s="142" t="str">
        <f>WP_상세!H16</f>
        <v>Discrete</v>
      </c>
      <c r="F19" s="142">
        <f>WP_상세!I16</f>
        <v>0</v>
      </c>
      <c r="G19" s="142">
        <f>WP_상세!J16</f>
        <v>0</v>
      </c>
      <c r="H19" s="144">
        <f t="shared" si="0"/>
        <v>0</v>
      </c>
      <c r="I19" s="144">
        <f t="shared" si="1"/>
        <v>0</v>
      </c>
      <c r="J19" s="144">
        <f t="shared" si="2"/>
        <v>0</v>
      </c>
      <c r="K19" s="144">
        <f t="shared" si="3"/>
        <v>0</v>
      </c>
      <c r="L19" s="144">
        <f t="shared" si="4"/>
        <v>0</v>
      </c>
    </row>
    <row r="20" spans="1:12" ht="14.25" customHeight="1">
      <c r="A20" s="142">
        <f>WP_상세!A17</f>
        <v>13</v>
      </c>
      <c r="B20" s="142" t="str">
        <f>WP_상세!B17</f>
        <v>SPL.2</v>
      </c>
      <c r="C20" s="142" t="str">
        <f>WP_상세!F17</f>
        <v>Delivery Evidence / 릴리스 패키지 인도/납품 증적</v>
      </c>
      <c r="D20" s="142" t="str">
        <f>WP_상세!G17</f>
        <v>릴리즈이력 참조</v>
      </c>
      <c r="E20" s="142" t="str">
        <f>WP_상세!H17</f>
        <v>Discrete</v>
      </c>
      <c r="F20" s="142">
        <f>WP_상세!I17</f>
        <v>0</v>
      </c>
      <c r="G20" s="142">
        <f>WP_상세!J17</f>
        <v>0</v>
      </c>
      <c r="H20" s="144">
        <f t="shared" si="0"/>
        <v>0</v>
      </c>
      <c r="I20" s="144">
        <f t="shared" si="1"/>
        <v>0</v>
      </c>
      <c r="J20" s="144">
        <f t="shared" si="2"/>
        <v>0</v>
      </c>
      <c r="K20" s="144">
        <f t="shared" si="3"/>
        <v>0</v>
      </c>
      <c r="L20" s="144">
        <f t="shared" si="4"/>
        <v>0</v>
      </c>
    </row>
    <row r="21" spans="1:12" ht="14.25" customHeight="1">
      <c r="A21" s="142">
        <f>WP_상세!A18</f>
        <v>14</v>
      </c>
      <c r="B21" s="142" t="str">
        <f>WP_상세!B18</f>
        <v>MAN.3</v>
      </c>
      <c r="C21" s="142" t="str">
        <f>WP_상세!F18</f>
        <v>Project Plan / 프로젝트 작업범위 정의서(프로젝트 계획서 내 포함)</v>
      </c>
      <c r="D21" s="142" t="str">
        <f>WP_상세!G18</f>
        <v>M-Car</v>
      </c>
      <c r="E21" s="142" t="str">
        <f>WP_상세!H18</f>
        <v>Discrete</v>
      </c>
      <c r="F21" s="142" t="str">
        <f>WP_상세!I18</f>
        <v>Y</v>
      </c>
      <c r="G21" s="143">
        <f>WP_상세!J18</f>
        <v>0.4</v>
      </c>
      <c r="H21" s="144">
        <f t="shared" si="0"/>
        <v>0.52</v>
      </c>
      <c r="I21" s="144">
        <f t="shared" si="1"/>
        <v>0.12</v>
      </c>
      <c r="J21" s="144">
        <f t="shared" si="2"/>
        <v>0.12</v>
      </c>
      <c r="K21" s="144">
        <f t="shared" si="3"/>
        <v>0.12</v>
      </c>
      <c r="L21" s="144">
        <f t="shared" si="4"/>
        <v>0.12</v>
      </c>
    </row>
    <row r="22" spans="1:12" ht="14.25" customHeight="1">
      <c r="A22" s="142">
        <f>WP_상세!A19</f>
        <v>15</v>
      </c>
      <c r="B22" s="142" t="str">
        <f>WP_상세!B19</f>
        <v>MAN.3</v>
      </c>
      <c r="C22" s="142" t="str">
        <f>WP_상세!F19</f>
        <v>Project Plan / 프로젝트 생명주기 정의서(프로젝트 계획서 내 포함)</v>
      </c>
      <c r="D22" s="142" t="str">
        <f>WP_상세!G19</f>
        <v>M-Car</v>
      </c>
      <c r="E22" s="142" t="str">
        <f>WP_상세!H19</f>
        <v>Discrete</v>
      </c>
      <c r="F22" s="142" t="str">
        <f>WP_상세!I19</f>
        <v>Y</v>
      </c>
      <c r="G22" s="143">
        <f>WP_상세!J19</f>
        <v>0.4</v>
      </c>
      <c r="H22" s="144">
        <f t="shared" si="0"/>
        <v>0.52</v>
      </c>
      <c r="I22" s="144">
        <f t="shared" si="1"/>
        <v>0.12</v>
      </c>
      <c r="J22" s="144">
        <f t="shared" si="2"/>
        <v>0.12</v>
      </c>
      <c r="K22" s="144">
        <f t="shared" si="3"/>
        <v>0.12</v>
      </c>
      <c r="L22" s="144">
        <f t="shared" si="4"/>
        <v>0.12</v>
      </c>
    </row>
    <row r="23" spans="1:12" ht="14.25" customHeight="1">
      <c r="A23" s="142">
        <f>WP_상세!A20</f>
        <v>16</v>
      </c>
      <c r="B23" s="142" t="str">
        <f>WP_상세!B20</f>
        <v>MAN.3</v>
      </c>
      <c r="C23" s="142" t="str">
        <f>WP_상세!F20</f>
        <v>Analysis Results / 프로젝트 실현가능성 분석서</v>
      </c>
      <c r="D23" s="142" t="str">
        <f>WP_상세!G20</f>
        <v>M-Car</v>
      </c>
      <c r="E23" s="142" t="str">
        <f>WP_상세!H20</f>
        <v>Discrete</v>
      </c>
      <c r="F23" s="142" t="str">
        <f>WP_상세!I20</f>
        <v>N</v>
      </c>
      <c r="G23" s="143">
        <f>WP_상세!J20</f>
        <v>1</v>
      </c>
      <c r="H23" s="144">
        <f t="shared" si="0"/>
        <v>1</v>
      </c>
      <c r="I23" s="144">
        <f t="shared" si="1"/>
        <v>0</v>
      </c>
      <c r="J23" s="144">
        <f t="shared" si="2"/>
        <v>0</v>
      </c>
      <c r="K23" s="144">
        <f t="shared" si="3"/>
        <v>0</v>
      </c>
      <c r="L23" s="144">
        <f t="shared" si="4"/>
        <v>0</v>
      </c>
    </row>
    <row r="24" spans="1:12" ht="14.25" customHeight="1">
      <c r="A24" s="142">
        <f>WP_상세!A21</f>
        <v>17</v>
      </c>
      <c r="B24" s="142" t="str">
        <f>WP_상세!B21</f>
        <v>MAN.3</v>
      </c>
      <c r="C24" s="142" t="str">
        <f>WP_상세!F21</f>
        <v>Project Plan / 작업패키지/WBS 정의서(프로젝트 계획서 내 포함)</v>
      </c>
      <c r="D24" s="142" t="str">
        <f>WP_상세!G21</f>
        <v>M-Car</v>
      </c>
      <c r="E24" s="142" t="str">
        <f>WP_상세!H21</f>
        <v>Discrete</v>
      </c>
      <c r="F24" s="142" t="str">
        <f>WP_상세!I21</f>
        <v>Y</v>
      </c>
      <c r="G24" s="143">
        <f>WP_상세!J21</f>
        <v>0.4</v>
      </c>
      <c r="H24" s="144">
        <f t="shared" si="0"/>
        <v>0.52</v>
      </c>
      <c r="I24" s="144">
        <f t="shared" si="1"/>
        <v>0.12</v>
      </c>
      <c r="J24" s="144">
        <f t="shared" si="2"/>
        <v>0.12</v>
      </c>
      <c r="K24" s="144">
        <f t="shared" si="3"/>
        <v>0.12</v>
      </c>
      <c r="L24" s="144">
        <f t="shared" si="4"/>
        <v>0.12</v>
      </c>
    </row>
    <row r="25" spans="1:12" ht="14.25" customHeight="1">
      <c r="A25" s="142">
        <f>WP_상세!A22</f>
        <v>18</v>
      </c>
      <c r="B25" s="142" t="str">
        <f>WP_상세!B22</f>
        <v>MAN.3</v>
      </c>
      <c r="C25" s="142" t="str">
        <f>WP_상세!F22</f>
        <v>Project Plan / 프로젝트 산정치 및 자원계획서(프로젝트 계획서 내 포함)</v>
      </c>
      <c r="D25" s="142" t="str">
        <f>WP_상세!G22</f>
        <v>M-Car</v>
      </c>
      <c r="E25" s="142" t="str">
        <f>WP_상세!H22</f>
        <v>Discrete</v>
      </c>
      <c r="F25" s="142" t="str">
        <f>WP_상세!I22</f>
        <v>Y</v>
      </c>
      <c r="G25" s="143">
        <f>WP_상세!J22</f>
        <v>0.4</v>
      </c>
      <c r="H25" s="144">
        <f t="shared" si="0"/>
        <v>0.52</v>
      </c>
      <c r="I25" s="144">
        <f t="shared" si="1"/>
        <v>0.12</v>
      </c>
      <c r="J25" s="144">
        <f t="shared" si="2"/>
        <v>0.12</v>
      </c>
      <c r="K25" s="144">
        <f t="shared" si="3"/>
        <v>0.12</v>
      </c>
      <c r="L25" s="144">
        <f t="shared" si="4"/>
        <v>0.12</v>
      </c>
    </row>
    <row r="26" spans="1:12" ht="14.25" customHeight="1">
      <c r="A26" s="142">
        <f>WP_상세!A23</f>
        <v>19</v>
      </c>
      <c r="B26" s="142" t="str">
        <f>WP_상세!B23</f>
        <v>MAN.3</v>
      </c>
      <c r="C26" s="142" t="str">
        <f>WP_상세!F23</f>
        <v>Project Plan / 필요 기술/지식/경험(역량) 계획서(프로젝트 계획서 내 포함)</v>
      </c>
      <c r="D26" s="142" t="str">
        <f>WP_상세!G23</f>
        <v>M-Car</v>
      </c>
      <c r="E26" s="142" t="str">
        <f>WP_상세!H23</f>
        <v>Discrete</v>
      </c>
      <c r="F26" s="142" t="str">
        <f>WP_상세!I23</f>
        <v>Y</v>
      </c>
      <c r="G26" s="143">
        <f>WP_상세!J23</f>
        <v>0.4</v>
      </c>
      <c r="H26" s="144">
        <f t="shared" si="0"/>
        <v>0.52</v>
      </c>
      <c r="I26" s="144">
        <f t="shared" si="1"/>
        <v>0.12</v>
      </c>
      <c r="J26" s="144">
        <f t="shared" si="2"/>
        <v>0.12</v>
      </c>
      <c r="K26" s="144">
        <f t="shared" si="3"/>
        <v>0.12</v>
      </c>
      <c r="L26" s="144">
        <f t="shared" si="4"/>
        <v>0.12</v>
      </c>
    </row>
    <row r="27" spans="1:12" ht="14.25" customHeight="1">
      <c r="A27" s="142">
        <f>WP_상세!A24</f>
        <v>20</v>
      </c>
      <c r="B27" s="142" t="str">
        <f>WP_상세!B24</f>
        <v>MAN.3</v>
      </c>
      <c r="C27" s="142" t="str">
        <f>WP_상세!F24</f>
        <v>Project Plan / 프로젝트 인터페이스 및 합의된 약속사항 정의서(프로젝트 계획서 내 포함)</v>
      </c>
      <c r="D27" s="142" t="str">
        <f>WP_상세!G24</f>
        <v>M-Car</v>
      </c>
      <c r="E27" s="142" t="str">
        <f>WP_상세!H24</f>
        <v>Discrete</v>
      </c>
      <c r="F27" s="142" t="str">
        <f>WP_상세!I24</f>
        <v>Y</v>
      </c>
      <c r="G27" s="143">
        <f>WP_상세!J24</f>
        <v>0.4</v>
      </c>
      <c r="H27" s="144">
        <f t="shared" si="0"/>
        <v>0.52</v>
      </c>
      <c r="I27" s="144">
        <f t="shared" si="1"/>
        <v>0.12</v>
      </c>
      <c r="J27" s="144">
        <f t="shared" si="2"/>
        <v>0.12</v>
      </c>
      <c r="K27" s="144">
        <f t="shared" si="3"/>
        <v>0.12</v>
      </c>
      <c r="L27" s="144">
        <f t="shared" si="4"/>
        <v>0.12</v>
      </c>
    </row>
    <row r="28" spans="1:12" ht="14.25" customHeight="1">
      <c r="A28" s="142">
        <f>WP_상세!A25</f>
        <v>21</v>
      </c>
      <c r="B28" s="142" t="str">
        <f>WP_상세!B25</f>
        <v>MAN.3</v>
      </c>
      <c r="C28" s="142" t="str">
        <f>WP_상세!F25</f>
        <v>Project Plan / 프로젝트 일정표(프로젝트 계획서 내 포함)</v>
      </c>
      <c r="D28" s="142" t="str">
        <f>WP_상세!G25</f>
        <v>M-Car</v>
      </c>
      <c r="E28" s="142" t="str">
        <f>WP_상세!H25</f>
        <v>Discrete</v>
      </c>
      <c r="F28" s="142" t="str">
        <f>WP_상세!I25</f>
        <v>Y</v>
      </c>
      <c r="G28" s="143">
        <f>WP_상세!J25</f>
        <v>0.4</v>
      </c>
      <c r="H28" s="144">
        <f t="shared" si="0"/>
        <v>0.52</v>
      </c>
      <c r="I28" s="144">
        <f t="shared" si="1"/>
        <v>0.12</v>
      </c>
      <c r="J28" s="144">
        <f t="shared" si="2"/>
        <v>0.12</v>
      </c>
      <c r="K28" s="144">
        <f t="shared" si="3"/>
        <v>0.12</v>
      </c>
      <c r="L28" s="144">
        <f t="shared" si="4"/>
        <v>0.12</v>
      </c>
    </row>
    <row r="29" spans="1:12" ht="14.25" customHeight="1">
      <c r="A29" s="142">
        <f>WP_상세!A26</f>
        <v>22</v>
      </c>
      <c r="B29" s="142" t="str">
        <f>WP_상세!B26</f>
        <v>MAN.3</v>
      </c>
      <c r="C29" s="142" t="str">
        <f>WP_상세!F26</f>
        <v>Consistency Evidence / 프로젝트 계획 일관성 검증 근거</v>
      </c>
      <c r="D29" s="142" t="str">
        <f>WP_상세!G26</f>
        <v>P1</v>
      </c>
      <c r="E29" s="142" t="str">
        <f>WP_상세!H26</f>
        <v>Discrete</v>
      </c>
      <c r="F29" s="142" t="str">
        <f>WP_상세!I26</f>
        <v>N</v>
      </c>
      <c r="G29" s="143">
        <f>WP_상세!J26</f>
        <v>1</v>
      </c>
      <c r="H29" s="144">
        <f t="shared" si="0"/>
        <v>0</v>
      </c>
      <c r="I29" s="144">
        <f t="shared" si="1"/>
        <v>0</v>
      </c>
      <c r="J29" s="144">
        <f t="shared" si="2"/>
        <v>1</v>
      </c>
      <c r="K29" s="144">
        <f t="shared" si="3"/>
        <v>0</v>
      </c>
      <c r="L29" s="144">
        <f t="shared" si="4"/>
        <v>0</v>
      </c>
    </row>
    <row r="30" spans="1:12" ht="14.25" customHeight="1">
      <c r="A30" s="142">
        <f>WP_상세!A27</f>
        <v>23</v>
      </c>
      <c r="B30" s="142" t="str">
        <f>WP_상세!B27</f>
        <v>MAN.3</v>
      </c>
      <c r="C30" s="142" t="str">
        <f>WP_상세!F27</f>
        <v>Progress Status / 프로젝트 진척현황 보고서</v>
      </c>
      <c r="D30" s="142" t="str">
        <f>WP_상세!G27</f>
        <v>P1</v>
      </c>
      <c r="E30" s="142" t="str">
        <f>WP_상세!H27</f>
        <v>LOE</v>
      </c>
      <c r="F30" s="142">
        <f>WP_상세!I27</f>
        <v>0</v>
      </c>
      <c r="G30" s="142">
        <f>WP_상세!J27</f>
        <v>0</v>
      </c>
      <c r="H30" s="144">
        <f t="shared" si="0"/>
        <v>0</v>
      </c>
      <c r="I30" s="144">
        <f t="shared" si="1"/>
        <v>0</v>
      </c>
      <c r="J30" s="144">
        <f t="shared" si="2"/>
        <v>0</v>
      </c>
      <c r="K30" s="144">
        <f t="shared" si="3"/>
        <v>0</v>
      </c>
      <c r="L30" s="144">
        <f t="shared" si="4"/>
        <v>0</v>
      </c>
    </row>
    <row r="31" spans="1:12" ht="14.25" customHeight="1">
      <c r="A31" s="142">
        <f>WP_상세!A28</f>
        <v>24</v>
      </c>
      <c r="B31" s="142" t="str">
        <f>WP_상세!B28</f>
        <v>SUP.1</v>
      </c>
      <c r="C31" s="142" t="str">
        <f>WP_상세!F28</f>
        <v>Quality Assurance Plan / 품질보증 독립성 명시 문서(품질보증계획서 내 포함)</v>
      </c>
      <c r="D31" s="142" t="str">
        <f>WP_상세!G28</f>
        <v>M-Car</v>
      </c>
      <c r="E31" s="142" t="str">
        <f>WP_상세!H28</f>
        <v>Discrete</v>
      </c>
      <c r="F31" s="142" t="str">
        <f>WP_상세!I28</f>
        <v>Y</v>
      </c>
      <c r="G31" s="143">
        <f>WP_상세!J28</f>
        <v>0.4</v>
      </c>
      <c r="H31" s="144">
        <f t="shared" si="0"/>
        <v>0.52</v>
      </c>
      <c r="I31" s="144">
        <f t="shared" si="1"/>
        <v>0.12</v>
      </c>
      <c r="J31" s="144">
        <f t="shared" si="2"/>
        <v>0.12</v>
      </c>
      <c r="K31" s="144">
        <f t="shared" si="3"/>
        <v>0.12</v>
      </c>
      <c r="L31" s="144">
        <f t="shared" si="4"/>
        <v>0.12</v>
      </c>
    </row>
    <row r="32" spans="1:12" ht="14.25" customHeight="1">
      <c r="A32" s="142">
        <f>WP_상세!A29</f>
        <v>25</v>
      </c>
      <c r="B32" s="142" t="str">
        <f>WP_상세!B29</f>
        <v>SUP.1</v>
      </c>
      <c r="C32" s="142" t="str">
        <f>WP_상세!F29</f>
        <v>Quality Assurance Plan / 품질보증 기준/체크리스트(품질보증계획서 내 포함)</v>
      </c>
      <c r="D32" s="142" t="str">
        <f>WP_상세!G29</f>
        <v>M-Car</v>
      </c>
      <c r="E32" s="142" t="str">
        <f>WP_상세!H29</f>
        <v>Discrete</v>
      </c>
      <c r="F32" s="142" t="str">
        <f>WP_상세!I29</f>
        <v>Y</v>
      </c>
      <c r="G32" s="143">
        <f>WP_상세!J29</f>
        <v>0.4</v>
      </c>
      <c r="H32" s="144">
        <f t="shared" si="0"/>
        <v>0.52</v>
      </c>
      <c r="I32" s="144">
        <f t="shared" si="1"/>
        <v>0.12</v>
      </c>
      <c r="J32" s="144">
        <f t="shared" si="2"/>
        <v>0.12</v>
      </c>
      <c r="K32" s="144">
        <f t="shared" si="3"/>
        <v>0.12</v>
      </c>
      <c r="L32" s="144">
        <f t="shared" si="4"/>
        <v>0.12</v>
      </c>
    </row>
    <row r="33" spans="1:12" ht="14.25" customHeight="1">
      <c r="A33" s="142">
        <f>WP_상세!A30</f>
        <v>26</v>
      </c>
      <c r="B33" s="142" t="str">
        <f>WP_상세!B30</f>
        <v>SUP.1</v>
      </c>
      <c r="C33" s="142" t="str">
        <f>WP_상세!F30</f>
        <v>Review Evidence / 작업산출물 품질검토 기록</v>
      </c>
      <c r="D33" s="142" t="str">
        <f>WP_상세!G30</f>
        <v>Proto</v>
      </c>
      <c r="E33" s="142" t="str">
        <f>WP_상세!H30</f>
        <v>LOE</v>
      </c>
      <c r="F33" s="142">
        <f>WP_상세!I30</f>
        <v>0</v>
      </c>
      <c r="G33" s="142">
        <f>WP_상세!J30</f>
        <v>0</v>
      </c>
      <c r="H33" s="144">
        <f t="shared" si="0"/>
        <v>0</v>
      </c>
      <c r="I33" s="144">
        <f t="shared" si="1"/>
        <v>0</v>
      </c>
      <c r="J33" s="144">
        <f t="shared" si="2"/>
        <v>0</v>
      </c>
      <c r="K33" s="144">
        <f t="shared" si="3"/>
        <v>0</v>
      </c>
      <c r="L33" s="144">
        <f t="shared" si="4"/>
        <v>0</v>
      </c>
    </row>
    <row r="34" spans="1:12" ht="14.25" customHeight="1">
      <c r="A34" s="142">
        <f>WP_상세!A31</f>
        <v>27</v>
      </c>
      <c r="B34" s="142" t="str">
        <f>WP_상세!B31</f>
        <v>SUP.1</v>
      </c>
      <c r="C34" s="142" t="str">
        <f>WP_상세!F31</f>
        <v>Audit Report / 프로세스 활동 품질감사 보고서</v>
      </c>
      <c r="D34" s="142" t="str">
        <f>WP_상세!G31</f>
        <v>Proto</v>
      </c>
      <c r="E34" s="142" t="str">
        <f>WP_상세!H31</f>
        <v>Discrete</v>
      </c>
      <c r="F34" s="142" t="str">
        <f>WP_상세!I31</f>
        <v>N</v>
      </c>
      <c r="G34" s="143">
        <f>WP_상세!J31</f>
        <v>1</v>
      </c>
      <c r="H34" s="144">
        <f t="shared" si="0"/>
        <v>0</v>
      </c>
      <c r="I34" s="144">
        <f t="shared" si="1"/>
        <v>1</v>
      </c>
      <c r="J34" s="144">
        <f t="shared" si="2"/>
        <v>0</v>
      </c>
      <c r="K34" s="144">
        <f t="shared" si="3"/>
        <v>0</v>
      </c>
      <c r="L34" s="144">
        <f t="shared" si="4"/>
        <v>0</v>
      </c>
    </row>
    <row r="35" spans="1:12" ht="14.25" customHeight="1">
      <c r="A35" s="142">
        <f>WP_상세!A32</f>
        <v>28</v>
      </c>
      <c r="B35" s="142" t="str">
        <f>WP_상세!B32</f>
        <v>SUP.1</v>
      </c>
      <c r="C35" s="142" t="str">
        <f>WP_상세!F32</f>
        <v>Communication Evidence / 품질보증 활동/결과 요약보고서</v>
      </c>
      <c r="D35" s="142" t="str">
        <f>WP_상세!G32</f>
        <v>P1</v>
      </c>
      <c r="E35" s="142" t="str">
        <f>WP_상세!H32</f>
        <v>LOE</v>
      </c>
      <c r="F35" s="142">
        <f>WP_상세!I32</f>
        <v>0</v>
      </c>
      <c r="G35" s="142">
        <f>WP_상세!J32</f>
        <v>0</v>
      </c>
      <c r="H35" s="144">
        <f t="shared" si="0"/>
        <v>0</v>
      </c>
      <c r="I35" s="144">
        <f t="shared" si="1"/>
        <v>0</v>
      </c>
      <c r="J35" s="144">
        <f t="shared" si="2"/>
        <v>0</v>
      </c>
      <c r="K35" s="144">
        <f t="shared" si="3"/>
        <v>0</v>
      </c>
      <c r="L35" s="144">
        <f t="shared" si="4"/>
        <v>0</v>
      </c>
    </row>
    <row r="36" spans="1:12" ht="14.25" customHeight="1">
      <c r="A36" s="142">
        <f>WP_상세!A33</f>
        <v>29</v>
      </c>
      <c r="B36" s="142" t="str">
        <f>WP_상세!B33</f>
        <v>SUP.1</v>
      </c>
      <c r="C36" s="142" t="str">
        <f>WP_상세!F33</f>
        <v>Corrective Action / 부적합사항 시정조치 기록</v>
      </c>
      <c r="D36" s="142" t="str">
        <f>WP_상세!G33</f>
        <v>P1</v>
      </c>
      <c r="E36" s="142" t="str">
        <f>WP_상세!H33</f>
        <v>LOE</v>
      </c>
      <c r="F36" s="142">
        <f>WP_상세!I33</f>
        <v>0</v>
      </c>
      <c r="G36" s="142">
        <f>WP_상세!J33</f>
        <v>0</v>
      </c>
      <c r="H36" s="144">
        <f t="shared" si="0"/>
        <v>0</v>
      </c>
      <c r="I36" s="144">
        <f t="shared" si="1"/>
        <v>0</v>
      </c>
      <c r="J36" s="144">
        <f t="shared" si="2"/>
        <v>0</v>
      </c>
      <c r="K36" s="144">
        <f t="shared" si="3"/>
        <v>0</v>
      </c>
      <c r="L36" s="144">
        <f t="shared" si="4"/>
        <v>0</v>
      </c>
    </row>
    <row r="37" spans="1:12" ht="14.25" customHeight="1">
      <c r="A37" s="142">
        <f>WP_상세!A34</f>
        <v>30</v>
      </c>
      <c r="B37" s="142" t="str">
        <f>WP_상세!B34</f>
        <v>SUP.1</v>
      </c>
      <c r="C37" s="142" t="str">
        <f>WP_상세!F34</f>
        <v>Corrective Action / 부적합사항 에스컬레이션(상위보고) 기록</v>
      </c>
      <c r="D37" s="142" t="str">
        <f>WP_상세!G34</f>
        <v>P1</v>
      </c>
      <c r="E37" s="142" t="str">
        <f>WP_상세!H34</f>
        <v>LOE</v>
      </c>
      <c r="F37" s="142">
        <f>WP_상세!I34</f>
        <v>0</v>
      </c>
      <c r="G37" s="142">
        <f>WP_상세!J34</f>
        <v>0</v>
      </c>
      <c r="H37" s="144">
        <f t="shared" si="0"/>
        <v>0</v>
      </c>
      <c r="I37" s="144">
        <f t="shared" si="1"/>
        <v>0</v>
      </c>
      <c r="J37" s="144">
        <f t="shared" si="2"/>
        <v>0</v>
      </c>
      <c r="K37" s="144">
        <f t="shared" si="3"/>
        <v>0</v>
      </c>
      <c r="L37" s="144">
        <f t="shared" si="4"/>
        <v>0</v>
      </c>
    </row>
    <row r="38" spans="1:12" ht="14.25" customHeight="1">
      <c r="A38" s="142">
        <f>WP_상세!A35</f>
        <v>31</v>
      </c>
      <c r="B38" s="142" t="str">
        <f>WP_상세!B35</f>
        <v>SUP.8</v>
      </c>
      <c r="C38" s="142" t="str">
        <f>WP_상세!F35</f>
        <v>Configuration Item List / 형상항목 식별목록</v>
      </c>
      <c r="D38" s="142" t="str">
        <f>WP_상세!G35</f>
        <v>M-Car</v>
      </c>
      <c r="E38" s="142" t="str">
        <f>WP_상세!H35</f>
        <v>Discrete</v>
      </c>
      <c r="F38" s="142" t="str">
        <f>WP_상세!I35</f>
        <v>N</v>
      </c>
      <c r="G38" s="143">
        <f>WP_상세!J35</f>
        <v>1</v>
      </c>
      <c r="H38" s="144">
        <f t="shared" si="0"/>
        <v>1</v>
      </c>
      <c r="I38" s="144">
        <f t="shared" si="1"/>
        <v>0</v>
      </c>
      <c r="J38" s="144">
        <f t="shared" si="2"/>
        <v>0</v>
      </c>
      <c r="K38" s="144">
        <f t="shared" si="3"/>
        <v>0</v>
      </c>
      <c r="L38" s="144">
        <f t="shared" si="4"/>
        <v>0</v>
      </c>
    </row>
    <row r="39" spans="1:12" ht="14.25" customHeight="1">
      <c r="A39" s="142">
        <f>WP_상세!A36</f>
        <v>32</v>
      </c>
      <c r="B39" s="142" t="str">
        <f>WP_상세!B36</f>
        <v>SUP.8</v>
      </c>
      <c r="C39" s="142" t="str">
        <f>WP_상세!F36</f>
        <v>Configuration Item List / 형상항목 속성정의서</v>
      </c>
      <c r="D39" s="142" t="str">
        <f>WP_상세!G36</f>
        <v>M-Car</v>
      </c>
      <c r="E39" s="142" t="str">
        <f>WP_상세!H36</f>
        <v>Discrete</v>
      </c>
      <c r="F39" s="142" t="str">
        <f>WP_상세!I36</f>
        <v>N</v>
      </c>
      <c r="G39" s="143">
        <f>WP_상세!J36</f>
        <v>1</v>
      </c>
      <c r="H39" s="144">
        <f t="shared" si="0"/>
        <v>1</v>
      </c>
      <c r="I39" s="144">
        <f t="shared" si="1"/>
        <v>0</v>
      </c>
      <c r="J39" s="144">
        <f t="shared" si="2"/>
        <v>0</v>
      </c>
      <c r="K39" s="144">
        <f t="shared" si="3"/>
        <v>0</v>
      </c>
      <c r="L39" s="144">
        <f t="shared" si="4"/>
        <v>0</v>
      </c>
    </row>
    <row r="40" spans="1:12" ht="14.25" customHeight="1">
      <c r="A40" s="142">
        <f>WP_상세!A37</f>
        <v>33</v>
      </c>
      <c r="B40" s="142" t="str">
        <f>WP_상세!B37</f>
        <v>SUP.8</v>
      </c>
      <c r="C40" s="142" t="str">
        <f>WP_상세!F37</f>
        <v>Configuration Management Plan / 형상관리계획서</v>
      </c>
      <c r="D40" s="142" t="str">
        <f>WP_상세!G37</f>
        <v>M-Car</v>
      </c>
      <c r="E40" s="142" t="str">
        <f>WP_상세!H37</f>
        <v>Discrete</v>
      </c>
      <c r="F40" s="142" t="str">
        <f>WP_상세!I37</f>
        <v>Y</v>
      </c>
      <c r="G40" s="143">
        <f>WP_상세!J37</f>
        <v>0.4</v>
      </c>
      <c r="H40" s="144">
        <f t="shared" ref="H40:H71" si="5">IFERROR(IF($E40&lt;&gt;"Discrete",0,IF(1&lt;MATCH($D40,$B$4:$F$4,0),0,IF($F40&lt;&gt;"Y",IF(1=MATCH($D40,$B$4:$F$4,0),1,0),IF(1=MATCH($D40,$B$4:$F$4,0),$G40+(1-$G40)/(5-MATCH($D40,$B$4:$F$4,0)+1),(1-$G40)/(5-MATCH($D40,$B$4:$F$4,0)+1))))),0)</f>
        <v>0.52</v>
      </c>
      <c r="I40" s="144">
        <f t="shared" ref="I40:I71" si="6">IFERROR(IF($E40&lt;&gt;"Discrete",0,IF(2&lt;MATCH($D40,$B$4:$F$4,0),0,IF($F40&lt;&gt;"Y",IF(2=MATCH($D40,$B$4:$F$4,0),1,0),IF(2=MATCH($D40,$B$4:$F$4,0),$G40+(1-$G40)/(5-MATCH($D40,$B$4:$F$4,0)+1),(1-$G40)/(5-MATCH($D40,$B$4:$F$4,0)+1))))),0)</f>
        <v>0.12</v>
      </c>
      <c r="J40" s="144">
        <f t="shared" ref="J40:J71" si="7">IFERROR(IF($E40&lt;&gt;"Discrete",0,IF(3&lt;MATCH($D40,$B$4:$F$4,0),0,IF($F40&lt;&gt;"Y",IF(3=MATCH($D40,$B$4:$F$4,0),1,0),IF(3=MATCH($D40,$B$4:$F$4,0),$G40+(1-$G40)/(5-MATCH($D40,$B$4:$F$4,0)+1),(1-$G40)/(5-MATCH($D40,$B$4:$F$4,0)+1))))),0)</f>
        <v>0.12</v>
      </c>
      <c r="K40" s="144">
        <f t="shared" ref="K40:K71" si="8">IFERROR(IF($E40&lt;&gt;"Discrete",0,IF(4&lt;MATCH($D40,$B$4:$F$4,0),0,IF($F40&lt;&gt;"Y",IF(4=MATCH($D40,$B$4:$F$4,0),1,0),IF(4=MATCH($D40,$B$4:$F$4,0),$G40+(1-$G40)/(5-MATCH($D40,$B$4:$F$4,0)+1),(1-$G40)/(5-MATCH($D40,$B$4:$F$4,0)+1))))),0)</f>
        <v>0.12</v>
      </c>
      <c r="L40" s="144">
        <f t="shared" ref="L40:L71" si="9">IFERROR(IF($E40&lt;&gt;"Discrete",0,IF(5&lt;MATCH($D40,$B$4:$F$4,0),0,IF($F40&lt;&gt;"Y",IF(5=MATCH($D40,$B$4:$F$4,0),1,0),IF(5=MATCH($D40,$B$4:$F$4,0),$G40+(1-$G40)/(5-MATCH($D40,$B$4:$F$4,0)+1),(1-$G40)/(5-MATCH($D40,$B$4:$F$4,0)+1))))),0)</f>
        <v>0.12</v>
      </c>
    </row>
    <row r="41" spans="1:12" ht="14.25" customHeight="1">
      <c r="A41" s="142">
        <f>WP_상세!A38</f>
        <v>34</v>
      </c>
      <c r="B41" s="142" t="str">
        <f>WP_상세!B38</f>
        <v>SUP.8</v>
      </c>
      <c r="C41" s="142" t="str">
        <f>WP_상세!F38</f>
        <v>Change Request / 형상항목 변경통제 기록</v>
      </c>
      <c r="D41" s="142" t="str">
        <f>WP_상세!G38</f>
        <v>Proto</v>
      </c>
      <c r="E41" s="142" t="str">
        <f>WP_상세!H38</f>
        <v>LOE</v>
      </c>
      <c r="F41" s="142">
        <f>WP_상세!I38</f>
        <v>0</v>
      </c>
      <c r="G41" s="142">
        <f>WP_상세!J38</f>
        <v>0</v>
      </c>
      <c r="H41" s="144">
        <f t="shared" si="5"/>
        <v>0</v>
      </c>
      <c r="I41" s="144">
        <f t="shared" si="6"/>
        <v>0</v>
      </c>
      <c r="J41" s="144">
        <f t="shared" si="7"/>
        <v>0</v>
      </c>
      <c r="K41" s="144">
        <f t="shared" si="8"/>
        <v>0</v>
      </c>
      <c r="L41" s="144">
        <f t="shared" si="9"/>
        <v>0</v>
      </c>
    </row>
    <row r="42" spans="1:12" ht="14.25" customHeight="1">
      <c r="A42" s="142">
        <f>WP_상세!A39</f>
        <v>35</v>
      </c>
      <c r="B42" s="142" t="str">
        <f>WP_상세!B39</f>
        <v>SUP.8</v>
      </c>
      <c r="C42" s="142" t="str">
        <f>WP_상세!F39</f>
        <v>Baseline / 베이스라인 기록서</v>
      </c>
      <c r="D42" s="142" t="str">
        <f>WP_상세!G39</f>
        <v>Proto</v>
      </c>
      <c r="E42" s="142" t="str">
        <f>WP_상세!H39</f>
        <v>Discrete</v>
      </c>
      <c r="F42" s="142" t="str">
        <f>WP_상세!I39</f>
        <v>N</v>
      </c>
      <c r="G42" s="143">
        <f>WP_상세!J39</f>
        <v>1</v>
      </c>
      <c r="H42" s="144">
        <f t="shared" si="5"/>
        <v>0</v>
      </c>
      <c r="I42" s="144">
        <f t="shared" si="6"/>
        <v>1</v>
      </c>
      <c r="J42" s="144">
        <f t="shared" si="7"/>
        <v>0</v>
      </c>
      <c r="K42" s="144">
        <f t="shared" si="8"/>
        <v>0</v>
      </c>
      <c r="L42" s="144">
        <f t="shared" si="9"/>
        <v>0</v>
      </c>
    </row>
    <row r="43" spans="1:12" ht="14.25" customHeight="1">
      <c r="A43" s="142">
        <f>WP_상세!A40</f>
        <v>36</v>
      </c>
      <c r="B43" s="142" t="str">
        <f>WP_상세!B40</f>
        <v>SUP.8</v>
      </c>
      <c r="C43" s="142" t="str">
        <f>WP_상세!F40</f>
        <v>Communication Evidence / 형상현황 요약/공유 보고서</v>
      </c>
      <c r="D43" s="142" t="str">
        <f>WP_상세!G40</f>
        <v>P1</v>
      </c>
      <c r="E43" s="142" t="str">
        <f>WP_상세!H40</f>
        <v>LOE</v>
      </c>
      <c r="F43" s="142">
        <f>WP_상세!I40</f>
        <v>0</v>
      </c>
      <c r="G43" s="142">
        <f>WP_상세!J40</f>
        <v>0</v>
      </c>
      <c r="H43" s="144">
        <f t="shared" si="5"/>
        <v>0</v>
      </c>
      <c r="I43" s="144">
        <f t="shared" si="6"/>
        <v>0</v>
      </c>
      <c r="J43" s="144">
        <f t="shared" si="7"/>
        <v>0</v>
      </c>
      <c r="K43" s="144">
        <f t="shared" si="8"/>
        <v>0</v>
      </c>
      <c r="L43" s="144">
        <f t="shared" si="9"/>
        <v>0</v>
      </c>
    </row>
    <row r="44" spans="1:12" ht="14.25" customHeight="1">
      <c r="A44" s="142">
        <f>WP_상세!A41</f>
        <v>37</v>
      </c>
      <c r="B44" s="142" t="str">
        <f>WP_상세!B41</f>
        <v>SUP.8</v>
      </c>
      <c r="C44" s="142" t="str">
        <f>WP_상세!F41</f>
        <v>Consistency Evidence / 형상항목 완전성/일관성 검증 기록</v>
      </c>
      <c r="D44" s="142" t="str">
        <f>WP_상세!G41</f>
        <v>P1</v>
      </c>
      <c r="E44" s="142" t="str">
        <f>WP_상세!H41</f>
        <v>Discrete</v>
      </c>
      <c r="F44" s="142" t="str">
        <f>WP_상세!I41</f>
        <v>N</v>
      </c>
      <c r="G44" s="143">
        <f>WP_상세!J41</f>
        <v>1</v>
      </c>
      <c r="H44" s="144">
        <f t="shared" si="5"/>
        <v>0</v>
      </c>
      <c r="I44" s="144">
        <f t="shared" si="6"/>
        <v>0</v>
      </c>
      <c r="J44" s="144">
        <f t="shared" si="7"/>
        <v>1</v>
      </c>
      <c r="K44" s="144">
        <f t="shared" si="8"/>
        <v>0</v>
      </c>
      <c r="L44" s="144">
        <f t="shared" si="9"/>
        <v>0</v>
      </c>
    </row>
    <row r="45" spans="1:12" ht="14.25" customHeight="1">
      <c r="A45" s="142">
        <f>WP_상세!A42</f>
        <v>38</v>
      </c>
      <c r="B45" s="142" t="str">
        <f>WP_상세!B42</f>
        <v>SUP.8</v>
      </c>
      <c r="C45" s="142" t="str">
        <f>WP_상세!F42</f>
        <v>Verification Results / 백업 및 복구 메커니즘 가용성 검증 기록</v>
      </c>
      <c r="D45" s="142" t="str">
        <f>WP_상세!G42</f>
        <v>P1</v>
      </c>
      <c r="E45" s="142" t="str">
        <f>WP_상세!H42</f>
        <v>Discrete</v>
      </c>
      <c r="F45" s="142" t="str">
        <f>WP_상세!I42</f>
        <v>N</v>
      </c>
      <c r="G45" s="143">
        <f>WP_상세!J42</f>
        <v>1</v>
      </c>
      <c r="H45" s="144">
        <f t="shared" si="5"/>
        <v>0</v>
      </c>
      <c r="I45" s="144">
        <f t="shared" si="6"/>
        <v>0</v>
      </c>
      <c r="J45" s="144">
        <f t="shared" si="7"/>
        <v>1</v>
      </c>
      <c r="K45" s="144">
        <f t="shared" si="8"/>
        <v>0</v>
      </c>
      <c r="L45" s="144">
        <f t="shared" si="9"/>
        <v>0</v>
      </c>
    </row>
    <row r="46" spans="1:12" ht="14.25" customHeight="1">
      <c r="A46" s="142">
        <f>WP_상세!A43</f>
        <v>39</v>
      </c>
      <c r="B46" s="142" t="str">
        <f>WP_상세!B43</f>
        <v>SUP.9</v>
      </c>
      <c r="C46" s="142" t="str">
        <f>WP_상세!F43</f>
        <v>Problem Record / 문제 식별/기록서</v>
      </c>
      <c r="D46" s="142" t="str">
        <f>WP_상세!G43</f>
        <v>Proto</v>
      </c>
      <c r="E46" s="142" t="str">
        <f>WP_상세!H43</f>
        <v>LOE</v>
      </c>
      <c r="F46" s="142">
        <f>WP_상세!I43</f>
        <v>0</v>
      </c>
      <c r="G46" s="142">
        <f>WP_상세!J43</f>
        <v>0</v>
      </c>
      <c r="H46" s="144">
        <f t="shared" si="5"/>
        <v>0</v>
      </c>
      <c r="I46" s="144">
        <f t="shared" si="6"/>
        <v>0</v>
      </c>
      <c r="J46" s="144">
        <f t="shared" si="7"/>
        <v>0</v>
      </c>
      <c r="K46" s="144">
        <f t="shared" si="8"/>
        <v>0</v>
      </c>
      <c r="L46" s="144">
        <f t="shared" si="9"/>
        <v>0</v>
      </c>
    </row>
    <row r="47" spans="1:12" ht="14.25" customHeight="1">
      <c r="A47" s="142">
        <f>WP_상세!A44</f>
        <v>40</v>
      </c>
      <c r="B47" s="142" t="str">
        <f>WP_상세!B44</f>
        <v>SUP.9</v>
      </c>
      <c r="C47" s="142" t="str">
        <f>WP_상세!F44</f>
        <v>Analysis Results / 문제 원인 및 영향 분석서</v>
      </c>
      <c r="D47" s="142" t="str">
        <f>WP_상세!G44</f>
        <v>Proto</v>
      </c>
      <c r="E47" s="142" t="str">
        <f>WP_상세!H44</f>
        <v>LOE</v>
      </c>
      <c r="F47" s="142">
        <f>WP_상세!I44</f>
        <v>0</v>
      </c>
      <c r="G47" s="142">
        <f>WP_상세!J44</f>
        <v>0</v>
      </c>
      <c r="H47" s="144">
        <f t="shared" si="5"/>
        <v>0</v>
      </c>
      <c r="I47" s="144">
        <f t="shared" si="6"/>
        <v>0</v>
      </c>
      <c r="J47" s="144">
        <f t="shared" si="7"/>
        <v>0</v>
      </c>
      <c r="K47" s="144">
        <f t="shared" si="8"/>
        <v>0</v>
      </c>
      <c r="L47" s="144">
        <f t="shared" si="9"/>
        <v>0</v>
      </c>
    </row>
    <row r="48" spans="1:12" ht="14.25" customHeight="1">
      <c r="A48" s="142">
        <f>WP_상세!A45</f>
        <v>41</v>
      </c>
      <c r="B48" s="142" t="str">
        <f>WP_상세!B45</f>
        <v>SUP.9</v>
      </c>
      <c r="C48" s="142" t="str">
        <f>WP_상세!F45</f>
        <v>Corrective Action / 긴급 해결조치 승인기록</v>
      </c>
      <c r="D48" s="142" t="str">
        <f>WP_상세!G45</f>
        <v>Proto</v>
      </c>
      <c r="E48" s="142" t="str">
        <f>WP_상세!H45</f>
        <v>LOE</v>
      </c>
      <c r="F48" s="142">
        <f>WP_상세!I45</f>
        <v>0</v>
      </c>
      <c r="G48" s="142">
        <f>WP_상세!J45</f>
        <v>0</v>
      </c>
      <c r="H48" s="144">
        <f t="shared" si="5"/>
        <v>0</v>
      </c>
      <c r="I48" s="144">
        <f t="shared" si="6"/>
        <v>0</v>
      </c>
      <c r="J48" s="144">
        <f t="shared" si="7"/>
        <v>0</v>
      </c>
      <c r="K48" s="144">
        <f t="shared" si="8"/>
        <v>0</v>
      </c>
      <c r="L48" s="144">
        <f t="shared" si="9"/>
        <v>0</v>
      </c>
    </row>
    <row r="49" spans="1:12" ht="14.25" customHeight="1">
      <c r="A49" s="142">
        <f>WP_상세!A46</f>
        <v>42</v>
      </c>
      <c r="B49" s="142" t="str">
        <f>WP_상세!B46</f>
        <v>SUP.9</v>
      </c>
      <c r="C49" s="142" t="str">
        <f>WP_상세!F46</f>
        <v>Communication Evidence / 경고 알림 통지서</v>
      </c>
      <c r="D49" s="142" t="str">
        <f>WP_상세!G46</f>
        <v>Proto</v>
      </c>
      <c r="E49" s="142" t="str">
        <f>WP_상세!H46</f>
        <v>LOE</v>
      </c>
      <c r="F49" s="142">
        <f>WP_상세!I46</f>
        <v>0</v>
      </c>
      <c r="G49" s="142">
        <f>WP_상세!J46</f>
        <v>0</v>
      </c>
      <c r="H49" s="144">
        <f t="shared" si="5"/>
        <v>0</v>
      </c>
      <c r="I49" s="144">
        <f t="shared" si="6"/>
        <v>0</v>
      </c>
      <c r="J49" s="144">
        <f t="shared" si="7"/>
        <v>0</v>
      </c>
      <c r="K49" s="144">
        <f t="shared" si="8"/>
        <v>0</v>
      </c>
      <c r="L49" s="144">
        <f t="shared" si="9"/>
        <v>0</v>
      </c>
    </row>
    <row r="50" spans="1:12" ht="14.25" customHeight="1">
      <c r="A50" s="142">
        <f>WP_상세!A47</f>
        <v>43</v>
      </c>
      <c r="B50" s="142" t="str">
        <f>WP_상세!B47</f>
        <v>SUP.9</v>
      </c>
      <c r="C50" s="142" t="str">
        <f>WP_상세!F47</f>
        <v>Corrective Action / 문제해결 개시 기록</v>
      </c>
      <c r="D50" s="142" t="str">
        <f>WP_상세!G47</f>
        <v>P1</v>
      </c>
      <c r="E50" s="142" t="str">
        <f>WP_상세!H47</f>
        <v>LOE</v>
      </c>
      <c r="F50" s="142">
        <f>WP_상세!I47</f>
        <v>0</v>
      </c>
      <c r="G50" s="142">
        <f>WP_상세!J47</f>
        <v>0</v>
      </c>
      <c r="H50" s="144">
        <f t="shared" si="5"/>
        <v>0</v>
      </c>
      <c r="I50" s="144">
        <f t="shared" si="6"/>
        <v>0</v>
      </c>
      <c r="J50" s="144">
        <f t="shared" si="7"/>
        <v>0</v>
      </c>
      <c r="K50" s="144">
        <f t="shared" si="8"/>
        <v>0</v>
      </c>
      <c r="L50" s="144">
        <f t="shared" si="9"/>
        <v>0</v>
      </c>
    </row>
    <row r="51" spans="1:12" ht="14.25" customHeight="1">
      <c r="A51" s="142">
        <f>WP_상세!A48</f>
        <v>44</v>
      </c>
      <c r="B51" s="142" t="str">
        <f>WP_상세!B48</f>
        <v>SUP.9</v>
      </c>
      <c r="C51" s="142" t="str">
        <f>WP_상세!F48</f>
        <v>Problem Record / 문제 종결추적 기록서</v>
      </c>
      <c r="D51" s="142" t="str">
        <f>WP_상세!G48</f>
        <v>P1</v>
      </c>
      <c r="E51" s="142" t="str">
        <f>WP_상세!H48</f>
        <v>LOE</v>
      </c>
      <c r="F51" s="142">
        <f>WP_상세!I48</f>
        <v>0</v>
      </c>
      <c r="G51" s="142">
        <f>WP_상세!J48</f>
        <v>0</v>
      </c>
      <c r="H51" s="144">
        <f t="shared" si="5"/>
        <v>0</v>
      </c>
      <c r="I51" s="144">
        <f t="shared" si="6"/>
        <v>0</v>
      </c>
      <c r="J51" s="144">
        <f t="shared" si="7"/>
        <v>0</v>
      </c>
      <c r="K51" s="144">
        <f t="shared" si="8"/>
        <v>0</v>
      </c>
      <c r="L51" s="144">
        <f t="shared" si="9"/>
        <v>0</v>
      </c>
    </row>
    <row r="52" spans="1:12" ht="14.25" customHeight="1">
      <c r="A52" s="142">
        <f>WP_상세!A49</f>
        <v>45</v>
      </c>
      <c r="B52" s="142" t="str">
        <f>WP_상세!B49</f>
        <v>SUP.9</v>
      </c>
      <c r="C52" s="142" t="str">
        <f>WP_상세!F49</f>
        <v>Communication Evidence / 문제해결 활동 상태보고서</v>
      </c>
      <c r="D52" s="142" t="str">
        <f>WP_상세!G49</f>
        <v>P1</v>
      </c>
      <c r="E52" s="142" t="str">
        <f>WP_상세!H49</f>
        <v>LOE</v>
      </c>
      <c r="F52" s="142">
        <f>WP_상세!I49</f>
        <v>0</v>
      </c>
      <c r="G52" s="142">
        <f>WP_상세!J49</f>
        <v>0</v>
      </c>
      <c r="H52" s="144">
        <f t="shared" si="5"/>
        <v>0</v>
      </c>
      <c r="I52" s="144">
        <f t="shared" si="6"/>
        <v>0</v>
      </c>
      <c r="J52" s="144">
        <f t="shared" si="7"/>
        <v>0</v>
      </c>
      <c r="K52" s="144">
        <f t="shared" si="8"/>
        <v>0</v>
      </c>
      <c r="L52" s="144">
        <f t="shared" si="9"/>
        <v>0</v>
      </c>
    </row>
    <row r="53" spans="1:12" ht="14.25" customHeight="1">
      <c r="A53" s="142">
        <f>WP_상세!A50</f>
        <v>46</v>
      </c>
      <c r="B53" s="142" t="str">
        <f>WP_상세!B50</f>
        <v>SUP.10</v>
      </c>
      <c r="C53" s="142" t="str">
        <f>WP_상세!F50</f>
        <v>Change Request / 변경요청 식별/기록서</v>
      </c>
      <c r="D53" s="142" t="str">
        <f>WP_상세!G50</f>
        <v>Proto</v>
      </c>
      <c r="E53" s="142" t="str">
        <f>WP_상세!H50</f>
        <v>LOE</v>
      </c>
      <c r="F53" s="142">
        <f>WP_상세!I50</f>
        <v>0</v>
      </c>
      <c r="G53" s="142">
        <f>WP_상세!J50</f>
        <v>0</v>
      </c>
      <c r="H53" s="144">
        <f t="shared" si="5"/>
        <v>0</v>
      </c>
      <c r="I53" s="144">
        <f t="shared" si="6"/>
        <v>0</v>
      </c>
      <c r="J53" s="144">
        <f t="shared" si="7"/>
        <v>0</v>
      </c>
      <c r="K53" s="144">
        <f t="shared" si="8"/>
        <v>0</v>
      </c>
      <c r="L53" s="144">
        <f t="shared" si="9"/>
        <v>0</v>
      </c>
    </row>
    <row r="54" spans="1:12" ht="14.25" customHeight="1">
      <c r="A54" s="142">
        <f>WP_상세!A51</f>
        <v>47</v>
      </c>
      <c r="B54" s="142" t="str">
        <f>WP_상세!B51</f>
        <v>SUP.10</v>
      </c>
      <c r="C54" s="142" t="str">
        <f>WP_상세!F51</f>
        <v>Analysis Results / 변경요청 분석/평가서</v>
      </c>
      <c r="D54" s="142" t="str">
        <f>WP_상세!G51</f>
        <v>Proto</v>
      </c>
      <c r="E54" s="142" t="str">
        <f>WP_상세!H51</f>
        <v>LOE</v>
      </c>
      <c r="F54" s="142">
        <f>WP_상세!I51</f>
        <v>0</v>
      </c>
      <c r="G54" s="142">
        <f>WP_상세!J51</f>
        <v>0</v>
      </c>
      <c r="H54" s="144">
        <f t="shared" si="5"/>
        <v>0</v>
      </c>
      <c r="I54" s="144">
        <f t="shared" si="6"/>
        <v>0</v>
      </c>
      <c r="J54" s="144">
        <f t="shared" si="7"/>
        <v>0</v>
      </c>
      <c r="K54" s="144">
        <f t="shared" si="8"/>
        <v>0</v>
      </c>
      <c r="L54" s="144">
        <f t="shared" si="9"/>
        <v>0</v>
      </c>
    </row>
    <row r="55" spans="1:12" ht="14.25" customHeight="1">
      <c r="A55" s="142">
        <f>WP_상세!A52</f>
        <v>48</v>
      </c>
      <c r="B55" s="142" t="str">
        <f>WP_상세!B52</f>
        <v>SUP.10</v>
      </c>
      <c r="C55" s="142" t="str">
        <f>WP_상세!F52</f>
        <v>Change Request / 변경요청 구현 전 승인기록</v>
      </c>
      <c r="D55" s="142" t="str">
        <f>WP_상세!G52</f>
        <v>Proto</v>
      </c>
      <c r="E55" s="142" t="str">
        <f>WP_상세!H52</f>
        <v>LOE</v>
      </c>
      <c r="F55" s="142">
        <f>WP_상세!I52</f>
        <v>0</v>
      </c>
      <c r="G55" s="142">
        <f>WP_상세!J52</f>
        <v>0</v>
      </c>
      <c r="H55" s="144">
        <f t="shared" si="5"/>
        <v>0</v>
      </c>
      <c r="I55" s="144">
        <f t="shared" si="6"/>
        <v>0</v>
      </c>
      <c r="J55" s="144">
        <f t="shared" si="7"/>
        <v>0</v>
      </c>
      <c r="K55" s="144">
        <f t="shared" si="8"/>
        <v>0</v>
      </c>
      <c r="L55" s="144">
        <f t="shared" si="9"/>
        <v>0</v>
      </c>
    </row>
    <row r="56" spans="1:12" ht="14.25" customHeight="1">
      <c r="A56" s="142">
        <f>WP_상세!A53</f>
        <v>49</v>
      </c>
      <c r="B56" s="142" t="str">
        <f>WP_상세!B53</f>
        <v>SUP.10</v>
      </c>
      <c r="C56" s="142" t="str">
        <f>WP_상세!F53</f>
        <v>Consistency Evidence / 변경요청 양방향 추적성 매트릭스</v>
      </c>
      <c r="D56" s="142" t="str">
        <f>WP_상세!G53</f>
        <v>P1</v>
      </c>
      <c r="E56" s="142" t="str">
        <f>WP_상세!H53</f>
        <v>Discrete</v>
      </c>
      <c r="F56" s="142" t="str">
        <f>WP_상세!I53</f>
        <v>N</v>
      </c>
      <c r="G56" s="143">
        <f>WP_상세!J53</f>
        <v>1</v>
      </c>
      <c r="H56" s="144">
        <f t="shared" si="5"/>
        <v>0</v>
      </c>
      <c r="I56" s="144">
        <f t="shared" si="6"/>
        <v>0</v>
      </c>
      <c r="J56" s="144">
        <f t="shared" si="7"/>
        <v>1</v>
      </c>
      <c r="K56" s="144">
        <f t="shared" si="8"/>
        <v>0</v>
      </c>
      <c r="L56" s="144">
        <f t="shared" si="9"/>
        <v>0</v>
      </c>
    </row>
    <row r="57" spans="1:12" ht="14.25" customHeight="1">
      <c r="A57" s="142">
        <f>WP_상세!A54</f>
        <v>50</v>
      </c>
      <c r="B57" s="142" t="str">
        <f>WP_상세!B54</f>
        <v>SUP.10</v>
      </c>
      <c r="C57" s="142" t="str">
        <f>WP_상세!F54</f>
        <v>Verification Results / 변경요청 구현 확인기록</v>
      </c>
      <c r="D57" s="142" t="str">
        <f>WP_상세!G54</f>
        <v>P1</v>
      </c>
      <c r="E57" s="142" t="str">
        <f>WP_상세!H54</f>
        <v>LOE</v>
      </c>
      <c r="F57" s="142">
        <f>WP_상세!I54</f>
        <v>0</v>
      </c>
      <c r="G57" s="142">
        <f>WP_상세!J54</f>
        <v>0</v>
      </c>
      <c r="H57" s="144">
        <f t="shared" si="5"/>
        <v>0</v>
      </c>
      <c r="I57" s="144">
        <f t="shared" si="6"/>
        <v>0</v>
      </c>
      <c r="J57" s="144">
        <f t="shared" si="7"/>
        <v>0</v>
      </c>
      <c r="K57" s="144">
        <f t="shared" si="8"/>
        <v>0</v>
      </c>
      <c r="L57" s="144">
        <f t="shared" si="9"/>
        <v>0</v>
      </c>
    </row>
    <row r="58" spans="1:12" ht="14.25" customHeight="1">
      <c r="A58" s="142">
        <f>WP_상세!A55</f>
        <v>51</v>
      </c>
      <c r="B58" s="142" t="str">
        <f>WP_상세!B55</f>
        <v>SUP.10</v>
      </c>
      <c r="C58" s="142" t="str">
        <f>WP_상세!F55</f>
        <v>Change Request / 변경요청 종결추적/현황 보고서</v>
      </c>
      <c r="D58" s="142" t="str">
        <f>WP_상세!G55</f>
        <v>P1</v>
      </c>
      <c r="E58" s="142" t="str">
        <f>WP_상세!H55</f>
        <v>LOE</v>
      </c>
      <c r="F58" s="142">
        <f>WP_상세!I55</f>
        <v>0</v>
      </c>
      <c r="G58" s="142">
        <f>WP_상세!J55</f>
        <v>0</v>
      </c>
      <c r="H58" s="144">
        <f t="shared" si="5"/>
        <v>0</v>
      </c>
      <c r="I58" s="144">
        <f t="shared" si="6"/>
        <v>0</v>
      </c>
      <c r="J58" s="144">
        <f t="shared" si="7"/>
        <v>0</v>
      </c>
      <c r="K58" s="144">
        <f t="shared" si="8"/>
        <v>0</v>
      </c>
      <c r="L58" s="144">
        <f t="shared" si="9"/>
        <v>0</v>
      </c>
    </row>
    <row r="59" spans="1:12" ht="14.25" customHeight="1">
      <c r="A59" s="142">
        <f>WP_상세!A56</f>
        <v>52</v>
      </c>
      <c r="B59" s="142" t="str">
        <f>WP_상세!B56</f>
        <v>SUP.11</v>
      </c>
      <c r="C59" s="142" t="str">
        <f>WP_상세!F56</f>
        <v>ML Data Management Plan / ML 데이터 관리체계 정의서</v>
      </c>
      <c r="D59" s="142" t="str">
        <f>WP_상세!G56</f>
        <v>M-Car</v>
      </c>
      <c r="E59" s="142" t="str">
        <f>WP_상세!H56</f>
        <v>Discrete</v>
      </c>
      <c r="F59" s="142" t="str">
        <f>WP_상세!I56</f>
        <v>Y</v>
      </c>
      <c r="G59" s="143">
        <f>WP_상세!J56</f>
        <v>0.4</v>
      </c>
      <c r="H59" s="144">
        <f t="shared" si="5"/>
        <v>0.52</v>
      </c>
      <c r="I59" s="144">
        <f t="shared" si="6"/>
        <v>0.12</v>
      </c>
      <c r="J59" s="144">
        <f t="shared" si="7"/>
        <v>0.12</v>
      </c>
      <c r="K59" s="144">
        <f t="shared" si="8"/>
        <v>0.12</v>
      </c>
      <c r="L59" s="144">
        <f t="shared" si="9"/>
        <v>0.12</v>
      </c>
    </row>
    <row r="60" spans="1:12" ht="14.25" customHeight="1">
      <c r="A60" s="142">
        <f>WP_상세!A57</f>
        <v>53</v>
      </c>
      <c r="B60" s="142" t="str">
        <f>WP_상세!B57</f>
        <v>SUP.11</v>
      </c>
      <c r="C60" s="142" t="str">
        <f>WP_상세!F57</f>
        <v>ML Data Quality Plan / ML 데이터 품질 접근방식/기준서</v>
      </c>
      <c r="D60" s="142" t="str">
        <f>WP_상세!G57</f>
        <v>M-Car</v>
      </c>
      <c r="E60" s="142" t="str">
        <f>WP_상세!H57</f>
        <v>Discrete</v>
      </c>
      <c r="F60" s="142" t="str">
        <f>WP_상세!I57</f>
        <v>Y</v>
      </c>
      <c r="G60" s="143">
        <f>WP_상세!J57</f>
        <v>0.4</v>
      </c>
      <c r="H60" s="144">
        <f t="shared" si="5"/>
        <v>0.52</v>
      </c>
      <c r="I60" s="144">
        <f t="shared" si="6"/>
        <v>0.12</v>
      </c>
      <c r="J60" s="144">
        <f t="shared" si="7"/>
        <v>0.12</v>
      </c>
      <c r="K60" s="144">
        <f t="shared" si="8"/>
        <v>0.12</v>
      </c>
      <c r="L60" s="144">
        <f t="shared" si="9"/>
        <v>0.12</v>
      </c>
    </row>
    <row r="61" spans="1:12" ht="14.25" customHeight="1">
      <c r="A61" s="142">
        <f>WP_상세!A58</f>
        <v>54</v>
      </c>
      <c r="B61" s="142" t="str">
        <f>WP_상세!B58</f>
        <v>SUP.11</v>
      </c>
      <c r="C61" s="142" t="str">
        <f>WP_상세!F58</f>
        <v>ML Data Set / ML 원시 데이터 수집셋</v>
      </c>
      <c r="D61" s="142" t="str">
        <f>WP_상세!G58</f>
        <v>Proto</v>
      </c>
      <c r="E61" s="142" t="str">
        <f>WP_상세!H58</f>
        <v>Discrete</v>
      </c>
      <c r="F61" s="142" t="str">
        <f>WP_상세!I58</f>
        <v>N</v>
      </c>
      <c r="G61" s="143">
        <f>WP_상세!J58</f>
        <v>1</v>
      </c>
      <c r="H61" s="144">
        <f t="shared" si="5"/>
        <v>0</v>
      </c>
      <c r="I61" s="144">
        <f t="shared" si="6"/>
        <v>1</v>
      </c>
      <c r="J61" s="144">
        <f t="shared" si="7"/>
        <v>0</v>
      </c>
      <c r="K61" s="144">
        <f t="shared" si="8"/>
        <v>0</v>
      </c>
      <c r="L61" s="144">
        <f t="shared" si="9"/>
        <v>0</v>
      </c>
    </row>
    <row r="62" spans="1:12" ht="14.25" customHeight="1">
      <c r="A62" s="142">
        <f>WP_상세!A59</f>
        <v>55</v>
      </c>
      <c r="B62" s="142" t="str">
        <f>WP_상세!B59</f>
        <v>SUP.11</v>
      </c>
      <c r="C62" s="142" t="str">
        <f>WP_상세!F59</f>
        <v>ML Data Set / ML 가공(처리) 데이터셋</v>
      </c>
      <c r="D62" s="142" t="str">
        <f>WP_상세!G59</f>
        <v>Proto</v>
      </c>
      <c r="E62" s="142" t="str">
        <f>WP_상세!H59</f>
        <v>Discrete</v>
      </c>
      <c r="F62" s="142" t="str">
        <f>WP_상세!I59</f>
        <v>N</v>
      </c>
      <c r="G62" s="143">
        <f>WP_상세!J59</f>
        <v>1</v>
      </c>
      <c r="H62" s="144">
        <f t="shared" si="5"/>
        <v>0</v>
      </c>
      <c r="I62" s="144">
        <f t="shared" si="6"/>
        <v>1</v>
      </c>
      <c r="J62" s="144">
        <f t="shared" si="7"/>
        <v>0</v>
      </c>
      <c r="K62" s="144">
        <f t="shared" si="8"/>
        <v>0</v>
      </c>
      <c r="L62" s="144">
        <f t="shared" si="9"/>
        <v>0</v>
      </c>
    </row>
    <row r="63" spans="1:12" ht="14.25" customHeight="1">
      <c r="A63" s="142">
        <f>WP_상세!A60</f>
        <v>56</v>
      </c>
      <c r="B63" s="142" t="str">
        <f>WP_상세!B60</f>
        <v>SUP.11</v>
      </c>
      <c r="C63" s="142" t="str">
        <f>WP_상세!F60</f>
        <v>Verification Results / ML 데이터 품질보증 기록</v>
      </c>
      <c r="D63" s="142" t="str">
        <f>WP_상세!G60</f>
        <v>P1</v>
      </c>
      <c r="E63" s="142" t="str">
        <f>WP_상세!H60</f>
        <v>Discrete</v>
      </c>
      <c r="F63" s="142" t="str">
        <f>WP_상세!I60</f>
        <v>N</v>
      </c>
      <c r="G63" s="143">
        <f>WP_상세!J60</f>
        <v>1</v>
      </c>
      <c r="H63" s="144">
        <f t="shared" si="5"/>
        <v>0</v>
      </c>
      <c r="I63" s="144">
        <f t="shared" si="6"/>
        <v>0</v>
      </c>
      <c r="J63" s="144">
        <f t="shared" si="7"/>
        <v>1</v>
      </c>
      <c r="K63" s="144">
        <f t="shared" si="8"/>
        <v>0</v>
      </c>
      <c r="L63" s="144">
        <f t="shared" si="9"/>
        <v>0</v>
      </c>
    </row>
    <row r="64" spans="1:12" ht="14.25" customHeight="1">
      <c r="A64" s="142">
        <f>WP_상세!A61</f>
        <v>57</v>
      </c>
      <c r="B64" s="142" t="str">
        <f>WP_상세!B61</f>
        <v>SUP.11</v>
      </c>
      <c r="C64" s="142" t="str">
        <f>WP_상세!F61</f>
        <v>Communication Evidence / 합의된 처리완료 ML 데이터 공유기록</v>
      </c>
      <c r="D64" s="142" t="str">
        <f>WP_상세!G61</f>
        <v>P1</v>
      </c>
      <c r="E64" s="142" t="str">
        <f>WP_상세!H61</f>
        <v>Discrete</v>
      </c>
      <c r="F64" s="142" t="str">
        <f>WP_상세!I61</f>
        <v>N</v>
      </c>
      <c r="G64" s="143">
        <f>WP_상세!J61</f>
        <v>1</v>
      </c>
      <c r="H64" s="144">
        <f t="shared" si="5"/>
        <v>0</v>
      </c>
      <c r="I64" s="144">
        <f t="shared" si="6"/>
        <v>0</v>
      </c>
      <c r="J64" s="144">
        <f t="shared" si="7"/>
        <v>1</v>
      </c>
      <c r="K64" s="144">
        <f t="shared" si="8"/>
        <v>0</v>
      </c>
      <c r="L64" s="144">
        <f t="shared" si="9"/>
        <v>0</v>
      </c>
    </row>
    <row r="65" spans="1:12" ht="14.25" customHeight="1">
      <c r="A65" s="142">
        <f>WP_상세!A62</f>
        <v>58</v>
      </c>
      <c r="B65" s="142" t="str">
        <f>WP_상세!B62</f>
        <v>SYS.2</v>
      </c>
      <c r="C65" s="142" t="str">
        <f>WP_상세!F62</f>
        <v>Requirement / 시스템 요구사항 명세서</v>
      </c>
      <c r="D65" s="142" t="str">
        <f>WP_상세!G62</f>
        <v>M-Car</v>
      </c>
      <c r="E65" s="142" t="str">
        <f>WP_상세!H62</f>
        <v>Discrete</v>
      </c>
      <c r="F65" s="142" t="str">
        <f>WP_상세!I62</f>
        <v>Y</v>
      </c>
      <c r="G65" s="143">
        <f>WP_상세!J62</f>
        <v>0.4</v>
      </c>
      <c r="H65" s="144">
        <f t="shared" si="5"/>
        <v>0.52</v>
      </c>
      <c r="I65" s="144">
        <f t="shared" si="6"/>
        <v>0.12</v>
      </c>
      <c r="J65" s="144">
        <f t="shared" si="7"/>
        <v>0.12</v>
      </c>
      <c r="K65" s="144">
        <f t="shared" si="8"/>
        <v>0.12</v>
      </c>
      <c r="L65" s="144">
        <f t="shared" si="9"/>
        <v>0.12</v>
      </c>
    </row>
    <row r="66" spans="1:12" ht="14.25" customHeight="1">
      <c r="A66" s="142">
        <f>WP_상세!A63</f>
        <v>59</v>
      </c>
      <c r="B66" s="142" t="str">
        <f>WP_상세!B63</f>
        <v>SYS.2</v>
      </c>
      <c r="C66" s="142" t="str">
        <f>WP_상세!F63</f>
        <v>Requirement Attribute / 시스템 요구사항 구조화/우선순위 문서</v>
      </c>
      <c r="D66" s="142" t="str">
        <f>WP_상세!G63</f>
        <v>M-Car</v>
      </c>
      <c r="E66" s="142" t="str">
        <f>WP_상세!H63</f>
        <v>Discrete</v>
      </c>
      <c r="F66" s="142" t="str">
        <f>WP_상세!I63</f>
        <v>Y</v>
      </c>
      <c r="G66" s="143">
        <f>WP_상세!J63</f>
        <v>0.4</v>
      </c>
      <c r="H66" s="144">
        <f t="shared" si="5"/>
        <v>0.52</v>
      </c>
      <c r="I66" s="144">
        <f t="shared" si="6"/>
        <v>0.12</v>
      </c>
      <c r="J66" s="144">
        <f t="shared" si="7"/>
        <v>0.12</v>
      </c>
      <c r="K66" s="144">
        <f t="shared" si="8"/>
        <v>0.12</v>
      </c>
      <c r="L66" s="144">
        <f t="shared" si="9"/>
        <v>0.12</v>
      </c>
    </row>
    <row r="67" spans="1:12" ht="14.25" customHeight="1">
      <c r="A67" s="142">
        <f>WP_상세!A64</f>
        <v>60</v>
      </c>
      <c r="B67" s="142" t="str">
        <f>WP_상세!B64</f>
        <v>SYS.2</v>
      </c>
      <c r="C67" s="142" t="str">
        <f>WP_상세!F64</f>
        <v>Analysis Results / 시스템 요구사항 분석서</v>
      </c>
      <c r="D67" s="142" t="str">
        <f>WP_상세!G64</f>
        <v>M-Car</v>
      </c>
      <c r="E67" s="142" t="str">
        <f>WP_상세!H64</f>
        <v>Discrete</v>
      </c>
      <c r="F67" s="142" t="str">
        <f>WP_상세!I64</f>
        <v>N</v>
      </c>
      <c r="G67" s="143">
        <f>WP_상세!J64</f>
        <v>1</v>
      </c>
      <c r="H67" s="144">
        <f t="shared" si="5"/>
        <v>1</v>
      </c>
      <c r="I67" s="144">
        <f t="shared" si="6"/>
        <v>0</v>
      </c>
      <c r="J67" s="144">
        <f t="shared" si="7"/>
        <v>0</v>
      </c>
      <c r="K67" s="144">
        <f t="shared" si="8"/>
        <v>0</v>
      </c>
      <c r="L67" s="144">
        <f t="shared" si="9"/>
        <v>0</v>
      </c>
    </row>
    <row r="68" spans="1:12" ht="14.25" customHeight="1">
      <c r="A68" s="142">
        <f>WP_상세!A65</f>
        <v>61</v>
      </c>
      <c r="B68" s="142" t="str">
        <f>WP_상세!B65</f>
        <v>SYS.2</v>
      </c>
      <c r="C68" s="142" t="str">
        <f>WP_상세!F65</f>
        <v>Analysis Results / 시스템 컨텍스트 영향분석서</v>
      </c>
      <c r="D68" s="142" t="str">
        <f>WP_상세!G65</f>
        <v>M-Car</v>
      </c>
      <c r="E68" s="142" t="str">
        <f>WP_상세!H65</f>
        <v>Discrete</v>
      </c>
      <c r="F68" s="142" t="str">
        <f>WP_상세!I65</f>
        <v>N</v>
      </c>
      <c r="G68" s="143">
        <f>WP_상세!J65</f>
        <v>1</v>
      </c>
      <c r="H68" s="144">
        <f t="shared" si="5"/>
        <v>1</v>
      </c>
      <c r="I68" s="144">
        <f t="shared" si="6"/>
        <v>0</v>
      </c>
      <c r="J68" s="144">
        <f t="shared" si="7"/>
        <v>0</v>
      </c>
      <c r="K68" s="144">
        <f t="shared" si="8"/>
        <v>0</v>
      </c>
      <c r="L68" s="144">
        <f t="shared" si="9"/>
        <v>0</v>
      </c>
    </row>
    <row r="69" spans="1:12" ht="14.25" customHeight="1">
      <c r="A69" s="142">
        <f>WP_상세!A66</f>
        <v>62</v>
      </c>
      <c r="B69" s="142" t="str">
        <f>WP_상세!B66</f>
        <v>SYS.2</v>
      </c>
      <c r="C69" s="142" t="str">
        <f>WP_상세!F66</f>
        <v>Consistency Evidence / 시스템요구사항-이해관계자요구사항 추적성 매트릭스</v>
      </c>
      <c r="D69" s="142" t="str">
        <f>WP_상세!G66</f>
        <v>M-Car</v>
      </c>
      <c r="E69" s="142" t="str">
        <f>WP_상세!H66</f>
        <v>Discrete</v>
      </c>
      <c r="F69" s="142" t="str">
        <f>WP_상세!I66</f>
        <v>N</v>
      </c>
      <c r="G69" s="143">
        <f>WP_상세!J66</f>
        <v>1</v>
      </c>
      <c r="H69" s="144">
        <f t="shared" si="5"/>
        <v>1</v>
      </c>
      <c r="I69" s="144">
        <f t="shared" si="6"/>
        <v>0</v>
      </c>
      <c r="J69" s="144">
        <f t="shared" si="7"/>
        <v>0</v>
      </c>
      <c r="K69" s="144">
        <f t="shared" si="8"/>
        <v>0</v>
      </c>
      <c r="L69" s="144">
        <f t="shared" si="9"/>
        <v>0</v>
      </c>
    </row>
    <row r="70" spans="1:12" ht="14.25" customHeight="1">
      <c r="A70" s="142">
        <f>WP_상세!A67</f>
        <v>63</v>
      </c>
      <c r="B70" s="142" t="str">
        <f>WP_상세!B67</f>
        <v>SYS.2</v>
      </c>
      <c r="C70" s="142" t="str">
        <f>WP_상세!F67</f>
        <v>Communication Evidence / 합의된 시스템 요구사항 공유기록</v>
      </c>
      <c r="D70" s="142" t="str">
        <f>WP_상세!G67</f>
        <v>M-Car</v>
      </c>
      <c r="E70" s="142" t="str">
        <f>WP_상세!H67</f>
        <v>Discrete</v>
      </c>
      <c r="F70" s="142" t="str">
        <f>WP_상세!I67</f>
        <v>N</v>
      </c>
      <c r="G70" s="143">
        <f>WP_상세!J67</f>
        <v>1</v>
      </c>
      <c r="H70" s="144">
        <f t="shared" si="5"/>
        <v>1</v>
      </c>
      <c r="I70" s="144">
        <f t="shared" si="6"/>
        <v>0</v>
      </c>
      <c r="J70" s="144">
        <f t="shared" si="7"/>
        <v>0</v>
      </c>
      <c r="K70" s="144">
        <f t="shared" si="8"/>
        <v>0</v>
      </c>
      <c r="L70" s="144">
        <f t="shared" si="9"/>
        <v>0</v>
      </c>
    </row>
    <row r="71" spans="1:12" ht="14.25" customHeight="1">
      <c r="A71" s="142">
        <f>WP_상세!A68</f>
        <v>64</v>
      </c>
      <c r="B71" s="142" t="str">
        <f>WP_상세!B68</f>
        <v>SYS.3</v>
      </c>
      <c r="C71" s="142" t="str">
        <f>WP_상세!F68</f>
        <v>System Architecture / 시스템 아키텍처 정적측면 설계서</v>
      </c>
      <c r="D71" s="142" t="str">
        <f>WP_상세!G68</f>
        <v>M-Car</v>
      </c>
      <c r="E71" s="142" t="str">
        <f>WP_상세!H68</f>
        <v>Discrete</v>
      </c>
      <c r="F71" s="142" t="str">
        <f>WP_상세!I68</f>
        <v>Y</v>
      </c>
      <c r="G71" s="143">
        <f>WP_상세!J68</f>
        <v>0.4</v>
      </c>
      <c r="H71" s="144">
        <f t="shared" si="5"/>
        <v>0.52</v>
      </c>
      <c r="I71" s="144">
        <f t="shared" si="6"/>
        <v>0.12</v>
      </c>
      <c r="J71" s="144">
        <f t="shared" si="7"/>
        <v>0.12</v>
      </c>
      <c r="K71" s="144">
        <f t="shared" si="8"/>
        <v>0.12</v>
      </c>
      <c r="L71" s="144">
        <f t="shared" si="9"/>
        <v>0.12</v>
      </c>
    </row>
    <row r="72" spans="1:12" ht="14.25" customHeight="1">
      <c r="A72" s="142">
        <f>WP_상세!A69</f>
        <v>65</v>
      </c>
      <c r="B72" s="142" t="str">
        <f>WP_상세!B69</f>
        <v>SYS.3</v>
      </c>
      <c r="C72" s="142" t="str">
        <f>WP_상세!F69</f>
        <v>System Architecture / 시스템 아키텍처 동적측면 설계서</v>
      </c>
      <c r="D72" s="142" t="str">
        <f>WP_상세!G69</f>
        <v>M-Car</v>
      </c>
      <c r="E72" s="142" t="str">
        <f>WP_상세!H69</f>
        <v>Discrete</v>
      </c>
      <c r="F72" s="142" t="str">
        <f>WP_상세!I69</f>
        <v>Y</v>
      </c>
      <c r="G72" s="143">
        <f>WP_상세!J69</f>
        <v>0.4</v>
      </c>
      <c r="H72" s="144">
        <f t="shared" ref="H72:H103" si="10">IFERROR(IF($E72&lt;&gt;"Discrete",0,IF(1&lt;MATCH($D72,$B$4:$F$4,0),0,IF($F72&lt;&gt;"Y",IF(1=MATCH($D72,$B$4:$F$4,0),1,0),IF(1=MATCH($D72,$B$4:$F$4,0),$G72+(1-$G72)/(5-MATCH($D72,$B$4:$F$4,0)+1),(1-$G72)/(5-MATCH($D72,$B$4:$F$4,0)+1))))),0)</f>
        <v>0.52</v>
      </c>
      <c r="I72" s="144">
        <f t="shared" ref="I72:I103" si="11">IFERROR(IF($E72&lt;&gt;"Discrete",0,IF(2&lt;MATCH($D72,$B$4:$F$4,0),0,IF($F72&lt;&gt;"Y",IF(2=MATCH($D72,$B$4:$F$4,0),1,0),IF(2=MATCH($D72,$B$4:$F$4,0),$G72+(1-$G72)/(5-MATCH($D72,$B$4:$F$4,0)+1),(1-$G72)/(5-MATCH($D72,$B$4:$F$4,0)+1))))),0)</f>
        <v>0.12</v>
      </c>
      <c r="J72" s="144">
        <f t="shared" ref="J72:J103" si="12">IFERROR(IF($E72&lt;&gt;"Discrete",0,IF(3&lt;MATCH($D72,$B$4:$F$4,0),0,IF($F72&lt;&gt;"Y",IF(3=MATCH($D72,$B$4:$F$4,0),1,0),IF(3=MATCH($D72,$B$4:$F$4,0),$G72+(1-$G72)/(5-MATCH($D72,$B$4:$F$4,0)+1),(1-$G72)/(5-MATCH($D72,$B$4:$F$4,0)+1))))),0)</f>
        <v>0.12</v>
      </c>
      <c r="K72" s="144">
        <f t="shared" ref="K72:K103" si="13">IFERROR(IF($E72&lt;&gt;"Discrete",0,IF(4&lt;MATCH($D72,$B$4:$F$4,0),0,IF($F72&lt;&gt;"Y",IF(4=MATCH($D72,$B$4:$F$4,0),1,0),IF(4=MATCH($D72,$B$4:$F$4,0),$G72+(1-$G72)/(5-MATCH($D72,$B$4:$F$4,0)+1),(1-$G72)/(5-MATCH($D72,$B$4:$F$4,0)+1))))),0)</f>
        <v>0.12</v>
      </c>
      <c r="L72" s="144">
        <f t="shared" ref="L72:L103" si="14">IFERROR(IF($E72&lt;&gt;"Discrete",0,IF(5&lt;MATCH($D72,$B$4:$F$4,0),0,IF($F72&lt;&gt;"Y",IF(5=MATCH($D72,$B$4:$F$4,0),1,0),IF(5=MATCH($D72,$B$4:$F$4,0),$G72+(1-$G72)/(5-MATCH($D72,$B$4:$F$4,0)+1),(1-$G72)/(5-MATCH($D72,$B$4:$F$4,0)+1))))),0)</f>
        <v>0.12</v>
      </c>
    </row>
    <row r="73" spans="1:12" ht="14.25" customHeight="1">
      <c r="A73" s="142">
        <f>WP_상세!A70</f>
        <v>66</v>
      </c>
      <c r="B73" s="142" t="str">
        <f>WP_상세!B70</f>
        <v>SYS.3</v>
      </c>
      <c r="C73" s="142" t="str">
        <f>WP_상세!F70</f>
        <v>Analysis Results / 시스템 아키텍처 분석서(특별특성 포함)</v>
      </c>
      <c r="D73" s="142" t="str">
        <f>WP_상세!G70</f>
        <v>M-Car</v>
      </c>
      <c r="E73" s="142" t="str">
        <f>WP_상세!H70</f>
        <v>Discrete</v>
      </c>
      <c r="F73" s="142" t="str">
        <f>WP_상세!I70</f>
        <v>N</v>
      </c>
      <c r="G73" s="143">
        <f>WP_상세!J70</f>
        <v>1</v>
      </c>
      <c r="H73" s="144">
        <f t="shared" si="10"/>
        <v>1</v>
      </c>
      <c r="I73" s="144">
        <f t="shared" si="11"/>
        <v>0</v>
      </c>
      <c r="J73" s="144">
        <f t="shared" si="12"/>
        <v>0</v>
      </c>
      <c r="K73" s="144">
        <f t="shared" si="13"/>
        <v>0</v>
      </c>
      <c r="L73" s="144">
        <f t="shared" si="14"/>
        <v>0</v>
      </c>
    </row>
    <row r="74" spans="1:12" ht="14.25" customHeight="1">
      <c r="A74" s="142">
        <f>WP_상세!A71</f>
        <v>67</v>
      </c>
      <c r="B74" s="142" t="str">
        <f>WP_상세!B71</f>
        <v>SYS.3</v>
      </c>
      <c r="C74" s="142" t="str">
        <f>WP_상세!F71</f>
        <v>Consistency Evidence / 시스템아키텍처-시스템요구사항 추적성 매트릭스</v>
      </c>
      <c r="D74" s="142" t="str">
        <f>WP_상세!G71</f>
        <v>M-Car</v>
      </c>
      <c r="E74" s="142" t="str">
        <f>WP_상세!H71</f>
        <v>Discrete</v>
      </c>
      <c r="F74" s="142" t="str">
        <f>WP_상세!I71</f>
        <v>N</v>
      </c>
      <c r="G74" s="143">
        <f>WP_상세!J71</f>
        <v>1</v>
      </c>
      <c r="H74" s="144">
        <f t="shared" si="10"/>
        <v>1</v>
      </c>
      <c r="I74" s="144">
        <f t="shared" si="11"/>
        <v>0</v>
      </c>
      <c r="J74" s="144">
        <f t="shared" si="12"/>
        <v>0</v>
      </c>
      <c r="K74" s="144">
        <f t="shared" si="13"/>
        <v>0</v>
      </c>
      <c r="L74" s="144">
        <f t="shared" si="14"/>
        <v>0</v>
      </c>
    </row>
    <row r="75" spans="1:12" ht="14.25" customHeight="1">
      <c r="A75" s="142">
        <f>WP_상세!A72</f>
        <v>68</v>
      </c>
      <c r="B75" s="142" t="str">
        <f>WP_상세!B72</f>
        <v>SYS.3</v>
      </c>
      <c r="C75" s="142" t="str">
        <f>WP_상세!F72</f>
        <v>Communication Evidence / 합의된 시스템 아키텍처 공유기록</v>
      </c>
      <c r="D75" s="142" t="str">
        <f>WP_상세!G72</f>
        <v>M-Car</v>
      </c>
      <c r="E75" s="142" t="str">
        <f>WP_상세!H72</f>
        <v>Discrete</v>
      </c>
      <c r="F75" s="142" t="str">
        <f>WP_상세!I72</f>
        <v>N</v>
      </c>
      <c r="G75" s="143">
        <f>WP_상세!J72</f>
        <v>1</v>
      </c>
      <c r="H75" s="144">
        <f t="shared" si="10"/>
        <v>1</v>
      </c>
      <c r="I75" s="144">
        <f t="shared" si="11"/>
        <v>0</v>
      </c>
      <c r="J75" s="144">
        <f t="shared" si="12"/>
        <v>0</v>
      </c>
      <c r="K75" s="144">
        <f t="shared" si="13"/>
        <v>0</v>
      </c>
      <c r="L75" s="144">
        <f t="shared" si="14"/>
        <v>0</v>
      </c>
    </row>
    <row r="76" spans="1:12" ht="14.25" customHeight="1">
      <c r="A76" s="142">
        <f>WP_상세!A73</f>
        <v>69</v>
      </c>
      <c r="B76" s="142" t="str">
        <f>WP_상세!B73</f>
        <v>SYS.4</v>
      </c>
      <c r="C76" s="142" t="str">
        <f>WP_상세!F73</f>
        <v>Verification Measure / 시스템 통합검증 방안서</v>
      </c>
      <c r="D76" s="142" t="str">
        <f>WP_상세!G73</f>
        <v>Proto</v>
      </c>
      <c r="E76" s="142" t="str">
        <f>WP_상세!H73</f>
        <v>Discrete</v>
      </c>
      <c r="F76" s="142" t="str">
        <f>WP_상세!I73</f>
        <v>N</v>
      </c>
      <c r="G76" s="143">
        <f>WP_상세!J73</f>
        <v>1</v>
      </c>
      <c r="H76" s="144">
        <f t="shared" si="10"/>
        <v>0</v>
      </c>
      <c r="I76" s="144">
        <f t="shared" si="11"/>
        <v>1</v>
      </c>
      <c r="J76" s="144">
        <f t="shared" si="12"/>
        <v>0</v>
      </c>
      <c r="K76" s="144">
        <f t="shared" si="13"/>
        <v>0</v>
      </c>
      <c r="L76" s="144">
        <f t="shared" si="14"/>
        <v>0</v>
      </c>
    </row>
    <row r="77" spans="1:12" ht="14.25" customHeight="1">
      <c r="A77" s="142">
        <f>WP_상세!A74</f>
        <v>70</v>
      </c>
      <c r="B77" s="142" t="str">
        <f>WP_상세!B74</f>
        <v>SYS.4</v>
      </c>
      <c r="C77" s="142" t="str">
        <f>WP_상세!F74</f>
        <v>Verification Measure Selection Set / 통합검증 방안 선정목록</v>
      </c>
      <c r="D77" s="142" t="str">
        <f>WP_상세!G74</f>
        <v>Proto</v>
      </c>
      <c r="E77" s="142" t="str">
        <f>WP_상세!H74</f>
        <v>Discrete</v>
      </c>
      <c r="F77" s="142" t="str">
        <f>WP_상세!I74</f>
        <v>N</v>
      </c>
      <c r="G77" s="143">
        <f>WP_상세!J74</f>
        <v>1</v>
      </c>
      <c r="H77" s="144">
        <f t="shared" si="10"/>
        <v>0</v>
      </c>
      <c r="I77" s="144">
        <f t="shared" si="11"/>
        <v>1</v>
      </c>
      <c r="J77" s="144">
        <f t="shared" si="12"/>
        <v>0</v>
      </c>
      <c r="K77" s="144">
        <f t="shared" si="13"/>
        <v>0</v>
      </c>
      <c r="L77" s="144">
        <f t="shared" si="14"/>
        <v>0</v>
      </c>
    </row>
    <row r="78" spans="1:12" ht="14.25" customHeight="1">
      <c r="A78" s="142">
        <f>WP_상세!A75</f>
        <v>71</v>
      </c>
      <c r="B78" s="142" t="str">
        <f>WP_상세!B75</f>
        <v>SYS.4</v>
      </c>
      <c r="C78" s="142" t="str">
        <f>WP_상세!F75</f>
        <v>Verification Results / 시스템 통합/통합검증 결과서</v>
      </c>
      <c r="D78" s="142" t="str">
        <f>WP_상세!G75</f>
        <v>P1</v>
      </c>
      <c r="E78" s="142" t="str">
        <f>WP_상세!H75</f>
        <v>Discrete</v>
      </c>
      <c r="F78" s="142" t="str">
        <f>WP_상세!I75</f>
        <v>N</v>
      </c>
      <c r="G78" s="143">
        <f>WP_상세!J75</f>
        <v>1</v>
      </c>
      <c r="H78" s="144">
        <f t="shared" si="10"/>
        <v>0</v>
      </c>
      <c r="I78" s="144">
        <f t="shared" si="11"/>
        <v>0</v>
      </c>
      <c r="J78" s="144">
        <f t="shared" si="12"/>
        <v>1</v>
      </c>
      <c r="K78" s="144">
        <f t="shared" si="13"/>
        <v>0</v>
      </c>
      <c r="L78" s="144">
        <f t="shared" si="14"/>
        <v>0</v>
      </c>
    </row>
    <row r="79" spans="1:12" ht="14.25" customHeight="1">
      <c r="A79" s="142">
        <f>WP_상세!A76</f>
        <v>72</v>
      </c>
      <c r="B79" s="142" t="str">
        <f>WP_상세!B76</f>
        <v>SYS.4</v>
      </c>
      <c r="C79" s="142" t="str">
        <f>WP_상세!F76</f>
        <v>Consistency Evidence / 검증방안-시스템아키텍처/검증결과 추적성 매트릭스</v>
      </c>
      <c r="D79" s="142" t="str">
        <f>WP_상세!G76</f>
        <v>P1</v>
      </c>
      <c r="E79" s="142" t="str">
        <f>WP_상세!H76</f>
        <v>Discrete</v>
      </c>
      <c r="F79" s="142" t="str">
        <f>WP_상세!I76</f>
        <v>N</v>
      </c>
      <c r="G79" s="143">
        <f>WP_상세!J76</f>
        <v>1</v>
      </c>
      <c r="H79" s="144">
        <f t="shared" si="10"/>
        <v>0</v>
      </c>
      <c r="I79" s="144">
        <f t="shared" si="11"/>
        <v>0</v>
      </c>
      <c r="J79" s="144">
        <f t="shared" si="12"/>
        <v>1</v>
      </c>
      <c r="K79" s="144">
        <f t="shared" si="13"/>
        <v>0</v>
      </c>
      <c r="L79" s="144">
        <f t="shared" si="14"/>
        <v>0</v>
      </c>
    </row>
    <row r="80" spans="1:12" ht="14.25" customHeight="1">
      <c r="A80" s="142">
        <f>WP_상세!A77</f>
        <v>73</v>
      </c>
      <c r="B80" s="142" t="str">
        <f>WP_상세!B77</f>
        <v>SYS.4</v>
      </c>
      <c r="C80" s="142" t="str">
        <f>WP_상세!F77</f>
        <v>Communication Evidence / 시스템 통합검증 결과 요약보고서</v>
      </c>
      <c r="D80" s="142" t="str">
        <f>WP_상세!G77</f>
        <v>P1</v>
      </c>
      <c r="E80" s="142" t="str">
        <f>WP_상세!H77</f>
        <v>Discrete</v>
      </c>
      <c r="F80" s="142" t="str">
        <f>WP_상세!I77</f>
        <v>N</v>
      </c>
      <c r="G80" s="143">
        <f>WP_상세!J77</f>
        <v>1</v>
      </c>
      <c r="H80" s="144">
        <f t="shared" si="10"/>
        <v>0</v>
      </c>
      <c r="I80" s="144">
        <f t="shared" si="11"/>
        <v>0</v>
      </c>
      <c r="J80" s="144">
        <f t="shared" si="12"/>
        <v>1</v>
      </c>
      <c r="K80" s="144">
        <f t="shared" si="13"/>
        <v>0</v>
      </c>
      <c r="L80" s="144">
        <f t="shared" si="14"/>
        <v>0</v>
      </c>
    </row>
    <row r="81" spans="1:12" ht="14.25" customHeight="1">
      <c r="A81" s="142">
        <f>WP_상세!A78</f>
        <v>74</v>
      </c>
      <c r="B81" s="142" t="str">
        <f>WP_상세!B78</f>
        <v>SYS.5</v>
      </c>
      <c r="C81" s="142" t="str">
        <f>WP_상세!F78</f>
        <v>Verification Measure / 시스템 검증방안서</v>
      </c>
      <c r="D81" s="142" t="str">
        <f>WP_상세!G78</f>
        <v>P1</v>
      </c>
      <c r="E81" s="142" t="str">
        <f>WP_상세!H78</f>
        <v>Discrete</v>
      </c>
      <c r="F81" s="142" t="str">
        <f>WP_상세!I78</f>
        <v>N</v>
      </c>
      <c r="G81" s="143">
        <f>WP_상세!J78</f>
        <v>1</v>
      </c>
      <c r="H81" s="144">
        <f t="shared" si="10"/>
        <v>0</v>
      </c>
      <c r="I81" s="144">
        <f t="shared" si="11"/>
        <v>0</v>
      </c>
      <c r="J81" s="144">
        <f t="shared" si="12"/>
        <v>1</v>
      </c>
      <c r="K81" s="144">
        <f t="shared" si="13"/>
        <v>0</v>
      </c>
      <c r="L81" s="144">
        <f t="shared" si="14"/>
        <v>0</v>
      </c>
    </row>
    <row r="82" spans="1:12" ht="14.25" customHeight="1">
      <c r="A82" s="142">
        <f>WP_상세!A79</f>
        <v>75</v>
      </c>
      <c r="B82" s="142" t="str">
        <f>WP_상세!B79</f>
        <v>SYS.5</v>
      </c>
      <c r="C82" s="142" t="str">
        <f>WP_상세!F79</f>
        <v>Verification Measure Selection Set / 시스템검증 방안 선정목록</v>
      </c>
      <c r="D82" s="142" t="str">
        <f>WP_상세!G79</f>
        <v>P1</v>
      </c>
      <c r="E82" s="142" t="str">
        <f>WP_상세!H79</f>
        <v>Discrete</v>
      </c>
      <c r="F82" s="142" t="str">
        <f>WP_상세!I79</f>
        <v>N</v>
      </c>
      <c r="G82" s="143">
        <f>WP_상세!J79</f>
        <v>1</v>
      </c>
      <c r="H82" s="144">
        <f t="shared" si="10"/>
        <v>0</v>
      </c>
      <c r="I82" s="144">
        <f t="shared" si="11"/>
        <v>0</v>
      </c>
      <c r="J82" s="144">
        <f t="shared" si="12"/>
        <v>1</v>
      </c>
      <c r="K82" s="144">
        <f t="shared" si="13"/>
        <v>0</v>
      </c>
      <c r="L82" s="144">
        <f t="shared" si="14"/>
        <v>0</v>
      </c>
    </row>
    <row r="83" spans="1:12" ht="14.25" customHeight="1">
      <c r="A83" s="142">
        <f>WP_상세!A80</f>
        <v>76</v>
      </c>
      <c r="B83" s="142" t="str">
        <f>WP_상세!B80</f>
        <v>SYS.5</v>
      </c>
      <c r="C83" s="142" t="str">
        <f>WP_상세!F80</f>
        <v>Verification Results / 시스템 검증결과서</v>
      </c>
      <c r="D83" s="142" t="str">
        <f>WP_상세!G80</f>
        <v>P2</v>
      </c>
      <c r="E83" s="142" t="str">
        <f>WP_상세!H80</f>
        <v>Discrete</v>
      </c>
      <c r="F83" s="142" t="str">
        <f>WP_상세!I80</f>
        <v>N</v>
      </c>
      <c r="G83" s="143">
        <f>WP_상세!J80</f>
        <v>1</v>
      </c>
      <c r="H83" s="144">
        <f t="shared" si="10"/>
        <v>0</v>
      </c>
      <c r="I83" s="144">
        <f t="shared" si="11"/>
        <v>0</v>
      </c>
      <c r="J83" s="144">
        <f t="shared" si="12"/>
        <v>0</v>
      </c>
      <c r="K83" s="144">
        <f t="shared" si="13"/>
        <v>1</v>
      </c>
      <c r="L83" s="144">
        <f t="shared" si="14"/>
        <v>0</v>
      </c>
    </row>
    <row r="84" spans="1:12" ht="14.25" customHeight="1">
      <c r="A84" s="142">
        <f>WP_상세!A81</f>
        <v>77</v>
      </c>
      <c r="B84" s="142" t="str">
        <f>WP_상세!B81</f>
        <v>SYS.5</v>
      </c>
      <c r="C84" s="142" t="str">
        <f>WP_상세!F81</f>
        <v>Consistency Evidence / 검증방안-시스템요구사항/검증결과 추적성 매트릭스</v>
      </c>
      <c r="D84" s="142" t="str">
        <f>WP_상세!G81</f>
        <v>P2</v>
      </c>
      <c r="E84" s="142" t="str">
        <f>WP_상세!H81</f>
        <v>Discrete</v>
      </c>
      <c r="F84" s="142" t="str">
        <f>WP_상세!I81</f>
        <v>N</v>
      </c>
      <c r="G84" s="143">
        <f>WP_상세!J81</f>
        <v>1</v>
      </c>
      <c r="H84" s="144">
        <f t="shared" si="10"/>
        <v>0</v>
      </c>
      <c r="I84" s="144">
        <f t="shared" si="11"/>
        <v>0</v>
      </c>
      <c r="J84" s="144">
        <f t="shared" si="12"/>
        <v>0</v>
      </c>
      <c r="K84" s="144">
        <f t="shared" si="13"/>
        <v>1</v>
      </c>
      <c r="L84" s="144">
        <f t="shared" si="14"/>
        <v>0</v>
      </c>
    </row>
    <row r="85" spans="1:12" ht="14.25" customHeight="1">
      <c r="A85" s="142">
        <f>WP_상세!A82</f>
        <v>78</v>
      </c>
      <c r="B85" s="142" t="str">
        <f>WP_상세!B82</f>
        <v>SYS.5</v>
      </c>
      <c r="C85" s="142" t="str">
        <f>WP_상세!F82</f>
        <v>Communication Evidence / 시스템 검증결과 요약보고서</v>
      </c>
      <c r="D85" s="142" t="str">
        <f>WP_상세!G82</f>
        <v>P2</v>
      </c>
      <c r="E85" s="142" t="str">
        <f>WP_상세!H82</f>
        <v>Discrete</v>
      </c>
      <c r="F85" s="142" t="str">
        <f>WP_상세!I82</f>
        <v>N</v>
      </c>
      <c r="G85" s="143">
        <f>WP_상세!J82</f>
        <v>1</v>
      </c>
      <c r="H85" s="144">
        <f t="shared" si="10"/>
        <v>0</v>
      </c>
      <c r="I85" s="144">
        <f t="shared" si="11"/>
        <v>0</v>
      </c>
      <c r="J85" s="144">
        <f t="shared" si="12"/>
        <v>0</v>
      </c>
      <c r="K85" s="144">
        <f t="shared" si="13"/>
        <v>1</v>
      </c>
      <c r="L85" s="144">
        <f t="shared" si="14"/>
        <v>0</v>
      </c>
    </row>
    <row r="86" spans="1:12" ht="14.25" customHeight="1">
      <c r="A86" s="142">
        <f>WP_상세!A83</f>
        <v>79</v>
      </c>
      <c r="B86" s="142" t="str">
        <f>WP_상세!B83</f>
        <v>SWE.1</v>
      </c>
      <c r="C86" s="142" t="str">
        <f>WP_상세!F83</f>
        <v>Requirement / 소프트웨어 요구사항 명세서</v>
      </c>
      <c r="D86" s="142" t="str">
        <f>WP_상세!G83</f>
        <v>M-Car</v>
      </c>
      <c r="E86" s="142" t="str">
        <f>WP_상세!H83</f>
        <v>Discrete</v>
      </c>
      <c r="F86" s="142" t="str">
        <f>WP_상세!I83</f>
        <v>Y</v>
      </c>
      <c r="G86" s="143">
        <f>WP_상세!J83</f>
        <v>0.4</v>
      </c>
      <c r="H86" s="144">
        <f t="shared" si="10"/>
        <v>0.52</v>
      </c>
      <c r="I86" s="144">
        <f t="shared" si="11"/>
        <v>0.12</v>
      </c>
      <c r="J86" s="144">
        <f t="shared" si="12"/>
        <v>0.12</v>
      </c>
      <c r="K86" s="144">
        <f t="shared" si="13"/>
        <v>0.12</v>
      </c>
      <c r="L86" s="144">
        <f t="shared" si="14"/>
        <v>0.12</v>
      </c>
    </row>
    <row r="87" spans="1:12" ht="14.25" customHeight="1">
      <c r="A87" s="142">
        <f>WP_상세!A84</f>
        <v>80</v>
      </c>
      <c r="B87" s="142" t="str">
        <f>WP_상세!B84</f>
        <v>SWE.1</v>
      </c>
      <c r="C87" s="142" t="str">
        <f>WP_상세!F84</f>
        <v>Requirement Attribute / 소프트웨어 요구사항 구조화/우선순위 문서</v>
      </c>
      <c r="D87" s="142" t="str">
        <f>WP_상세!G84</f>
        <v>M-Car</v>
      </c>
      <c r="E87" s="142" t="str">
        <f>WP_상세!H84</f>
        <v>Discrete</v>
      </c>
      <c r="F87" s="142" t="str">
        <f>WP_상세!I84</f>
        <v>Y</v>
      </c>
      <c r="G87" s="143">
        <f>WP_상세!J84</f>
        <v>0.4</v>
      </c>
      <c r="H87" s="144">
        <f t="shared" si="10"/>
        <v>0.52</v>
      </c>
      <c r="I87" s="144">
        <f t="shared" si="11"/>
        <v>0.12</v>
      </c>
      <c r="J87" s="144">
        <f t="shared" si="12"/>
        <v>0.12</v>
      </c>
      <c r="K87" s="144">
        <f t="shared" si="13"/>
        <v>0.12</v>
      </c>
      <c r="L87" s="144">
        <f t="shared" si="14"/>
        <v>0.12</v>
      </c>
    </row>
    <row r="88" spans="1:12" ht="14.25" customHeight="1">
      <c r="A88" s="142">
        <f>WP_상세!A85</f>
        <v>81</v>
      </c>
      <c r="B88" s="142" t="str">
        <f>WP_상세!B85</f>
        <v>SWE.1</v>
      </c>
      <c r="C88" s="142" t="str">
        <f>WP_상세!F85</f>
        <v>Analysis Results / 소프트웨어 요구사항 분석서</v>
      </c>
      <c r="D88" s="142" t="str">
        <f>WP_상세!G85</f>
        <v>M-Car</v>
      </c>
      <c r="E88" s="142" t="str">
        <f>WP_상세!H85</f>
        <v>Discrete</v>
      </c>
      <c r="F88" s="142" t="str">
        <f>WP_상세!I85</f>
        <v>N</v>
      </c>
      <c r="G88" s="143">
        <f>WP_상세!J85</f>
        <v>1</v>
      </c>
      <c r="H88" s="144">
        <f t="shared" si="10"/>
        <v>1</v>
      </c>
      <c r="I88" s="144">
        <f t="shared" si="11"/>
        <v>0</v>
      </c>
      <c r="J88" s="144">
        <f t="shared" si="12"/>
        <v>0</v>
      </c>
      <c r="K88" s="144">
        <f t="shared" si="13"/>
        <v>0</v>
      </c>
      <c r="L88" s="144">
        <f t="shared" si="14"/>
        <v>0</v>
      </c>
    </row>
    <row r="89" spans="1:12" ht="14.25" customHeight="1">
      <c r="A89" s="142">
        <f>WP_상세!A86</f>
        <v>82</v>
      </c>
      <c r="B89" s="142" t="str">
        <f>WP_상세!B86</f>
        <v>SWE.1</v>
      </c>
      <c r="C89" s="142" t="str">
        <f>WP_상세!F86</f>
        <v>Analysis Results / 운영환경 영향분석서</v>
      </c>
      <c r="D89" s="142" t="str">
        <f>WP_상세!G86</f>
        <v>M-Car</v>
      </c>
      <c r="E89" s="142" t="str">
        <f>WP_상세!H86</f>
        <v>Discrete</v>
      </c>
      <c r="F89" s="142" t="str">
        <f>WP_상세!I86</f>
        <v>N</v>
      </c>
      <c r="G89" s="143">
        <f>WP_상세!J86</f>
        <v>1</v>
      </c>
      <c r="H89" s="144">
        <f t="shared" si="10"/>
        <v>1</v>
      </c>
      <c r="I89" s="144">
        <f t="shared" si="11"/>
        <v>0</v>
      </c>
      <c r="J89" s="144">
        <f t="shared" si="12"/>
        <v>0</v>
      </c>
      <c r="K89" s="144">
        <f t="shared" si="13"/>
        <v>0</v>
      </c>
      <c r="L89" s="144">
        <f t="shared" si="14"/>
        <v>0</v>
      </c>
    </row>
    <row r="90" spans="1:12" ht="14.25" customHeight="1">
      <c r="A90" s="142">
        <f>WP_상세!A87</f>
        <v>83</v>
      </c>
      <c r="B90" s="142" t="str">
        <f>WP_상세!B87</f>
        <v>SWE.1</v>
      </c>
      <c r="C90" s="142" t="str">
        <f>WP_상세!F87</f>
        <v>Consistency Evidence / SW요구사항-시스템요구사항/아키텍처 추적성 매트릭스</v>
      </c>
      <c r="D90" s="142" t="str">
        <f>WP_상세!G87</f>
        <v>M-Car</v>
      </c>
      <c r="E90" s="142" t="str">
        <f>WP_상세!H87</f>
        <v>Discrete</v>
      </c>
      <c r="F90" s="142" t="str">
        <f>WP_상세!I87</f>
        <v>N</v>
      </c>
      <c r="G90" s="143">
        <f>WP_상세!J87</f>
        <v>1</v>
      </c>
      <c r="H90" s="144">
        <f t="shared" si="10"/>
        <v>1</v>
      </c>
      <c r="I90" s="144">
        <f t="shared" si="11"/>
        <v>0</v>
      </c>
      <c r="J90" s="144">
        <f t="shared" si="12"/>
        <v>0</v>
      </c>
      <c r="K90" s="144">
        <f t="shared" si="13"/>
        <v>0</v>
      </c>
      <c r="L90" s="144">
        <f t="shared" si="14"/>
        <v>0</v>
      </c>
    </row>
    <row r="91" spans="1:12" ht="14.25" customHeight="1">
      <c r="A91" s="142">
        <f>WP_상세!A88</f>
        <v>84</v>
      </c>
      <c r="B91" s="142" t="str">
        <f>WP_상세!B88</f>
        <v>SWE.1</v>
      </c>
      <c r="C91" s="142" t="str">
        <f>WP_상세!F88</f>
        <v>Communication Evidence / 합의된 소프트웨어 요구사항 공유기록</v>
      </c>
      <c r="D91" s="142" t="str">
        <f>WP_상세!G88</f>
        <v>M-Car</v>
      </c>
      <c r="E91" s="142" t="str">
        <f>WP_상세!H88</f>
        <v>Discrete</v>
      </c>
      <c r="F91" s="142" t="str">
        <f>WP_상세!I88</f>
        <v>N</v>
      </c>
      <c r="G91" s="143">
        <f>WP_상세!J88</f>
        <v>1</v>
      </c>
      <c r="H91" s="144">
        <f t="shared" si="10"/>
        <v>1</v>
      </c>
      <c r="I91" s="144">
        <f t="shared" si="11"/>
        <v>0</v>
      </c>
      <c r="J91" s="144">
        <f t="shared" si="12"/>
        <v>0</v>
      </c>
      <c r="K91" s="144">
        <f t="shared" si="13"/>
        <v>0</v>
      </c>
      <c r="L91" s="144">
        <f t="shared" si="14"/>
        <v>0</v>
      </c>
    </row>
    <row r="92" spans="1:12" ht="14.25" customHeight="1">
      <c r="A92" s="142">
        <f>WP_상세!A89</f>
        <v>85</v>
      </c>
      <c r="B92" s="142" t="str">
        <f>WP_상세!B89</f>
        <v>SWE.2</v>
      </c>
      <c r="C92" s="142" t="str">
        <f>WP_상세!F89</f>
        <v>Software Architecture / 소프트웨어 아키텍처 정적측면 설계서</v>
      </c>
      <c r="D92" s="142" t="str">
        <f>WP_상세!G89</f>
        <v>M-Car</v>
      </c>
      <c r="E92" s="142" t="str">
        <f>WP_상세!H89</f>
        <v>Discrete</v>
      </c>
      <c r="F92" s="142" t="str">
        <f>WP_상세!I89</f>
        <v>Y</v>
      </c>
      <c r="G92" s="143">
        <f>WP_상세!J89</f>
        <v>0.4</v>
      </c>
      <c r="H92" s="144">
        <f t="shared" si="10"/>
        <v>0.52</v>
      </c>
      <c r="I92" s="144">
        <f t="shared" si="11"/>
        <v>0.12</v>
      </c>
      <c r="J92" s="144">
        <f t="shared" si="12"/>
        <v>0.12</v>
      </c>
      <c r="K92" s="144">
        <f t="shared" si="13"/>
        <v>0.12</v>
      </c>
      <c r="L92" s="144">
        <f t="shared" si="14"/>
        <v>0.12</v>
      </c>
    </row>
    <row r="93" spans="1:12" ht="14.25" customHeight="1">
      <c r="A93" s="142">
        <f>WP_상세!A90</f>
        <v>86</v>
      </c>
      <c r="B93" s="142" t="str">
        <f>WP_상세!B90</f>
        <v>SWE.2</v>
      </c>
      <c r="C93" s="142" t="str">
        <f>WP_상세!F90</f>
        <v>Software Architecture / 소프트웨어 아키텍처 동적측면 설계서</v>
      </c>
      <c r="D93" s="142" t="str">
        <f>WP_상세!G90</f>
        <v>M-Car</v>
      </c>
      <c r="E93" s="142" t="str">
        <f>WP_상세!H90</f>
        <v>Discrete</v>
      </c>
      <c r="F93" s="142" t="str">
        <f>WP_상세!I90</f>
        <v>Y</v>
      </c>
      <c r="G93" s="143">
        <f>WP_상세!J90</f>
        <v>0.4</v>
      </c>
      <c r="H93" s="144">
        <f t="shared" si="10"/>
        <v>0.52</v>
      </c>
      <c r="I93" s="144">
        <f t="shared" si="11"/>
        <v>0.12</v>
      </c>
      <c r="J93" s="144">
        <f t="shared" si="12"/>
        <v>0.12</v>
      </c>
      <c r="K93" s="144">
        <f t="shared" si="13"/>
        <v>0.12</v>
      </c>
      <c r="L93" s="144">
        <f t="shared" si="14"/>
        <v>0.12</v>
      </c>
    </row>
    <row r="94" spans="1:12" ht="14.25" customHeight="1">
      <c r="A94" s="142">
        <f>WP_상세!A91</f>
        <v>87</v>
      </c>
      <c r="B94" s="142" t="str">
        <f>WP_상세!B91</f>
        <v>SWE.2</v>
      </c>
      <c r="C94" s="142" t="str">
        <f>WP_상세!F91</f>
        <v>Analysis Results / 소프트웨어 아키텍처 분석서</v>
      </c>
      <c r="D94" s="142" t="str">
        <f>WP_상세!G91</f>
        <v>M-Car</v>
      </c>
      <c r="E94" s="142" t="str">
        <f>WP_상세!H91</f>
        <v>Discrete</v>
      </c>
      <c r="F94" s="142" t="str">
        <f>WP_상세!I91</f>
        <v>N</v>
      </c>
      <c r="G94" s="143">
        <f>WP_상세!J91</f>
        <v>1</v>
      </c>
      <c r="H94" s="144">
        <f t="shared" si="10"/>
        <v>1</v>
      </c>
      <c r="I94" s="144">
        <f t="shared" si="11"/>
        <v>0</v>
      </c>
      <c r="J94" s="144">
        <f t="shared" si="12"/>
        <v>0</v>
      </c>
      <c r="K94" s="144">
        <f t="shared" si="13"/>
        <v>0</v>
      </c>
      <c r="L94" s="144">
        <f t="shared" si="14"/>
        <v>0</v>
      </c>
    </row>
    <row r="95" spans="1:12" ht="14.25" customHeight="1">
      <c r="A95" s="142">
        <f>WP_상세!A92</f>
        <v>88</v>
      </c>
      <c r="B95" s="142" t="str">
        <f>WP_상세!B92</f>
        <v>SWE.2</v>
      </c>
      <c r="C95" s="142" t="str">
        <f>WP_상세!F92</f>
        <v>Consistency Evidence / SW아키텍처-SW요구사항 추적성 매트릭스</v>
      </c>
      <c r="D95" s="142" t="str">
        <f>WP_상세!G92</f>
        <v>M-Car</v>
      </c>
      <c r="E95" s="142" t="str">
        <f>WP_상세!H92</f>
        <v>Discrete</v>
      </c>
      <c r="F95" s="142" t="str">
        <f>WP_상세!I92</f>
        <v>N</v>
      </c>
      <c r="G95" s="143">
        <f>WP_상세!J92</f>
        <v>1</v>
      </c>
      <c r="H95" s="144">
        <f t="shared" si="10"/>
        <v>1</v>
      </c>
      <c r="I95" s="144">
        <f t="shared" si="11"/>
        <v>0</v>
      </c>
      <c r="J95" s="144">
        <f t="shared" si="12"/>
        <v>0</v>
      </c>
      <c r="K95" s="144">
        <f t="shared" si="13"/>
        <v>0</v>
      </c>
      <c r="L95" s="144">
        <f t="shared" si="14"/>
        <v>0</v>
      </c>
    </row>
    <row r="96" spans="1:12" ht="14.25" customHeight="1">
      <c r="A96" s="142">
        <f>WP_상세!A93</f>
        <v>89</v>
      </c>
      <c r="B96" s="142" t="str">
        <f>WP_상세!B93</f>
        <v>SWE.2</v>
      </c>
      <c r="C96" s="142" t="str">
        <f>WP_상세!F93</f>
        <v>Communication Evidence / 합의된 소프트웨어 아키텍처 공유기록</v>
      </c>
      <c r="D96" s="142" t="str">
        <f>WP_상세!G93</f>
        <v>M-Car</v>
      </c>
      <c r="E96" s="142" t="str">
        <f>WP_상세!H93</f>
        <v>Discrete</v>
      </c>
      <c r="F96" s="142" t="str">
        <f>WP_상세!I93</f>
        <v>N</v>
      </c>
      <c r="G96" s="143">
        <f>WP_상세!J93</f>
        <v>1</v>
      </c>
      <c r="H96" s="144">
        <f t="shared" si="10"/>
        <v>1</v>
      </c>
      <c r="I96" s="144">
        <f t="shared" si="11"/>
        <v>0</v>
      </c>
      <c r="J96" s="144">
        <f t="shared" si="12"/>
        <v>0</v>
      </c>
      <c r="K96" s="144">
        <f t="shared" si="13"/>
        <v>0</v>
      </c>
      <c r="L96" s="144">
        <f t="shared" si="14"/>
        <v>0</v>
      </c>
    </row>
    <row r="97" spans="1:12" ht="14.25" customHeight="1">
      <c r="A97" s="142">
        <f>WP_상세!A94</f>
        <v>90</v>
      </c>
      <c r="B97" s="142" t="str">
        <f>WP_상세!B94</f>
        <v>SWE.3-ASW</v>
      </c>
      <c r="C97" s="142" t="str">
        <f>WP_상세!F94</f>
        <v>Software Detailed Design / 소프트웨어 상세설계서(정적측면)</v>
      </c>
      <c r="D97" s="142" t="str">
        <f>WP_상세!G94</f>
        <v>Proto</v>
      </c>
      <c r="E97" s="142" t="str">
        <f>WP_상세!H94</f>
        <v>Discrete</v>
      </c>
      <c r="F97" s="142" t="str">
        <f>WP_상세!I94</f>
        <v>Y</v>
      </c>
      <c r="G97" s="143">
        <f>WP_상세!J94</f>
        <v>0.4</v>
      </c>
      <c r="H97" s="144">
        <f t="shared" si="10"/>
        <v>0</v>
      </c>
      <c r="I97" s="144">
        <f t="shared" si="11"/>
        <v>0.55000000000000004</v>
      </c>
      <c r="J97" s="144">
        <f t="shared" si="12"/>
        <v>0.15</v>
      </c>
      <c r="K97" s="144">
        <f t="shared" si="13"/>
        <v>0.15</v>
      </c>
      <c r="L97" s="144">
        <f t="shared" si="14"/>
        <v>0.15</v>
      </c>
    </row>
    <row r="98" spans="1:12" ht="14.25" customHeight="1">
      <c r="A98" s="142">
        <f>WP_상세!A95</f>
        <v>91</v>
      </c>
      <c r="B98" s="142" t="str">
        <f>WP_상세!B95</f>
        <v>SWE.3-BSW</v>
      </c>
      <c r="C98" s="142" t="str">
        <f>WP_상세!F95</f>
        <v>Software Detailed Design / 소프트웨어 상세설계서(정적측면)</v>
      </c>
      <c r="D98" s="142" t="str">
        <f>WP_상세!G95</f>
        <v>Proto</v>
      </c>
      <c r="E98" s="142" t="str">
        <f>WP_상세!H95</f>
        <v>Discrete</v>
      </c>
      <c r="F98" s="142" t="str">
        <f>WP_상세!I95</f>
        <v>Y</v>
      </c>
      <c r="G98" s="143">
        <f>WP_상세!J95</f>
        <v>0.4</v>
      </c>
      <c r="H98" s="144">
        <f t="shared" si="10"/>
        <v>0</v>
      </c>
      <c r="I98" s="144">
        <f t="shared" si="11"/>
        <v>0.55000000000000004</v>
      </c>
      <c r="J98" s="144">
        <f t="shared" si="12"/>
        <v>0.15</v>
      </c>
      <c r="K98" s="144">
        <f t="shared" si="13"/>
        <v>0.15</v>
      </c>
      <c r="L98" s="144">
        <f t="shared" si="14"/>
        <v>0.15</v>
      </c>
    </row>
    <row r="99" spans="1:12" ht="14.25" customHeight="1">
      <c r="A99" s="142">
        <f>WP_상세!A96</f>
        <v>92</v>
      </c>
      <c r="B99" s="142" t="str">
        <f>WP_상세!B96</f>
        <v>SWE.3-ASW</v>
      </c>
      <c r="C99" s="142" t="str">
        <f>WP_상세!F96</f>
        <v>Software Detailed Design / 소프트웨어 상세설계서(동적측면)</v>
      </c>
      <c r="D99" s="142" t="str">
        <f>WP_상세!G96</f>
        <v>Proto</v>
      </c>
      <c r="E99" s="142" t="str">
        <f>WP_상세!H96</f>
        <v>Discrete</v>
      </c>
      <c r="F99" s="142" t="str">
        <f>WP_상세!I96</f>
        <v>Y</v>
      </c>
      <c r="G99" s="143">
        <f>WP_상세!J96</f>
        <v>0.4</v>
      </c>
      <c r="H99" s="144">
        <f t="shared" si="10"/>
        <v>0</v>
      </c>
      <c r="I99" s="144">
        <f t="shared" si="11"/>
        <v>0.55000000000000004</v>
      </c>
      <c r="J99" s="144">
        <f t="shared" si="12"/>
        <v>0.15</v>
      </c>
      <c r="K99" s="144">
        <f t="shared" si="13"/>
        <v>0.15</v>
      </c>
      <c r="L99" s="144">
        <f t="shared" si="14"/>
        <v>0.15</v>
      </c>
    </row>
    <row r="100" spans="1:12" ht="14.25" customHeight="1">
      <c r="A100" s="142">
        <f>WP_상세!A97</f>
        <v>93</v>
      </c>
      <c r="B100" s="142" t="str">
        <f>WP_상세!B97</f>
        <v>SWE.3-BSW</v>
      </c>
      <c r="C100" s="142" t="str">
        <f>WP_상세!F97</f>
        <v>Software Detailed Design / 소프트웨어 상세설계서(동적측면)</v>
      </c>
      <c r="D100" s="142" t="str">
        <f>WP_상세!G97</f>
        <v>Proto</v>
      </c>
      <c r="E100" s="142" t="str">
        <f>WP_상세!H97</f>
        <v>Discrete</v>
      </c>
      <c r="F100" s="142" t="str">
        <f>WP_상세!I97</f>
        <v>Y</v>
      </c>
      <c r="G100" s="143">
        <f>WP_상세!J97</f>
        <v>0.4</v>
      </c>
      <c r="H100" s="144">
        <f t="shared" si="10"/>
        <v>0</v>
      </c>
      <c r="I100" s="144">
        <f t="shared" si="11"/>
        <v>0.55000000000000004</v>
      </c>
      <c r="J100" s="144">
        <f t="shared" si="12"/>
        <v>0.15</v>
      </c>
      <c r="K100" s="144">
        <f t="shared" si="13"/>
        <v>0.15</v>
      </c>
      <c r="L100" s="144">
        <f t="shared" si="14"/>
        <v>0.15</v>
      </c>
    </row>
    <row r="101" spans="1:12" ht="14.25" customHeight="1">
      <c r="A101" s="142">
        <f>WP_상세!A98</f>
        <v>94</v>
      </c>
      <c r="B101" s="142" t="str">
        <f>WP_상세!B98</f>
        <v>SWE.3-ASW</v>
      </c>
      <c r="C101" s="142" t="str">
        <f>WP_상세!F98</f>
        <v>Software Unit / 소프트웨어 단위(소스코드)</v>
      </c>
      <c r="D101" s="142" t="str">
        <f>WP_상세!G98</f>
        <v>Proto</v>
      </c>
      <c r="E101" s="142" t="str">
        <f>WP_상세!H98</f>
        <v>Discrete</v>
      </c>
      <c r="F101" s="142" t="str">
        <f>WP_상세!I98</f>
        <v>Y</v>
      </c>
      <c r="G101" s="143">
        <f>WP_상세!J98</f>
        <v>0.4</v>
      </c>
      <c r="H101" s="144">
        <f t="shared" si="10"/>
        <v>0</v>
      </c>
      <c r="I101" s="144">
        <f t="shared" si="11"/>
        <v>0.55000000000000004</v>
      </c>
      <c r="J101" s="144">
        <f t="shared" si="12"/>
        <v>0.15</v>
      </c>
      <c r="K101" s="144">
        <f t="shared" si="13"/>
        <v>0.15</v>
      </c>
      <c r="L101" s="144">
        <f t="shared" si="14"/>
        <v>0.15</v>
      </c>
    </row>
    <row r="102" spans="1:12" ht="14.25" customHeight="1">
      <c r="A102" s="142">
        <f>WP_상세!A99</f>
        <v>95</v>
      </c>
      <c r="B102" s="142" t="str">
        <f>WP_상세!B99</f>
        <v>SWE.3-BSW</v>
      </c>
      <c r="C102" s="142" t="str">
        <f>WP_상세!F99</f>
        <v>Software Unit / 소프트웨어 단위(소스코드)</v>
      </c>
      <c r="D102" s="142" t="str">
        <f>WP_상세!G99</f>
        <v>Proto</v>
      </c>
      <c r="E102" s="142" t="str">
        <f>WP_상세!H99</f>
        <v>Discrete</v>
      </c>
      <c r="F102" s="142" t="str">
        <f>WP_상세!I99</f>
        <v>Y</v>
      </c>
      <c r="G102" s="143">
        <f>WP_상세!J99</f>
        <v>0.4</v>
      </c>
      <c r="H102" s="144">
        <f t="shared" si="10"/>
        <v>0</v>
      </c>
      <c r="I102" s="144">
        <f t="shared" si="11"/>
        <v>0.55000000000000004</v>
      </c>
      <c r="J102" s="144">
        <f t="shared" si="12"/>
        <v>0.15</v>
      </c>
      <c r="K102" s="144">
        <f t="shared" si="13"/>
        <v>0.15</v>
      </c>
      <c r="L102" s="144">
        <f t="shared" si="14"/>
        <v>0.15</v>
      </c>
    </row>
    <row r="103" spans="1:12" ht="14.25" customHeight="1">
      <c r="A103" s="142">
        <f>WP_상세!A100</f>
        <v>96</v>
      </c>
      <c r="B103" s="142" t="str">
        <f>WP_상세!B100</f>
        <v>SWE.3-ASW</v>
      </c>
      <c r="C103" s="142" t="str">
        <f>WP_상세!F100</f>
        <v>Consistency Evidence / 상세설계-아키텍처/소스코드/요구사항 추적성 매트릭스</v>
      </c>
      <c r="D103" s="142" t="str">
        <f>WP_상세!G100</f>
        <v>Proto</v>
      </c>
      <c r="E103" s="142" t="str">
        <f>WP_상세!H100</f>
        <v>Discrete</v>
      </c>
      <c r="F103" s="142" t="str">
        <f>WP_상세!I100</f>
        <v>N</v>
      </c>
      <c r="G103" s="143">
        <f>WP_상세!J100</f>
        <v>1</v>
      </c>
      <c r="H103" s="144">
        <f t="shared" si="10"/>
        <v>0</v>
      </c>
      <c r="I103" s="144">
        <f t="shared" si="11"/>
        <v>1</v>
      </c>
      <c r="J103" s="144">
        <f t="shared" si="12"/>
        <v>0</v>
      </c>
      <c r="K103" s="144">
        <f t="shared" si="13"/>
        <v>0</v>
      </c>
      <c r="L103" s="144">
        <f t="shared" si="14"/>
        <v>0</v>
      </c>
    </row>
    <row r="104" spans="1:12" ht="14.25" customHeight="1">
      <c r="A104" s="142">
        <f>WP_상세!A101</f>
        <v>97</v>
      </c>
      <c r="B104" s="142" t="str">
        <f>WP_상세!B101</f>
        <v>SWE.3-BSW</v>
      </c>
      <c r="C104" s="142" t="str">
        <f>WP_상세!F101</f>
        <v>Consistency Evidence / 상세설계-아키텍처/소스코드/요구사항 추적성 매트릭스</v>
      </c>
      <c r="D104" s="142" t="str">
        <f>WP_상세!G101</f>
        <v>Proto</v>
      </c>
      <c r="E104" s="142" t="str">
        <f>WP_상세!H101</f>
        <v>Discrete</v>
      </c>
      <c r="F104" s="142" t="str">
        <f>WP_상세!I101</f>
        <v>N</v>
      </c>
      <c r="G104" s="143">
        <f>WP_상세!J101</f>
        <v>1</v>
      </c>
      <c r="H104" s="144">
        <f t="shared" ref="H104:H135" si="15">IFERROR(IF($E104&lt;&gt;"Discrete",0,IF(1&lt;MATCH($D104,$B$4:$F$4,0),0,IF($F104&lt;&gt;"Y",IF(1=MATCH($D104,$B$4:$F$4,0),1,0),IF(1=MATCH($D104,$B$4:$F$4,0),$G104+(1-$G104)/(5-MATCH($D104,$B$4:$F$4,0)+1),(1-$G104)/(5-MATCH($D104,$B$4:$F$4,0)+1))))),0)</f>
        <v>0</v>
      </c>
      <c r="I104" s="144">
        <f t="shared" ref="I104:I135" si="16">IFERROR(IF($E104&lt;&gt;"Discrete",0,IF(2&lt;MATCH($D104,$B$4:$F$4,0),0,IF($F104&lt;&gt;"Y",IF(2=MATCH($D104,$B$4:$F$4,0),1,0),IF(2=MATCH($D104,$B$4:$F$4,0),$G104+(1-$G104)/(5-MATCH($D104,$B$4:$F$4,0)+1),(1-$G104)/(5-MATCH($D104,$B$4:$F$4,0)+1))))),0)</f>
        <v>1</v>
      </c>
      <c r="J104" s="144">
        <f t="shared" ref="J104:J135" si="17">IFERROR(IF($E104&lt;&gt;"Discrete",0,IF(3&lt;MATCH($D104,$B$4:$F$4,0),0,IF($F104&lt;&gt;"Y",IF(3=MATCH($D104,$B$4:$F$4,0),1,0),IF(3=MATCH($D104,$B$4:$F$4,0),$G104+(1-$G104)/(5-MATCH($D104,$B$4:$F$4,0)+1),(1-$G104)/(5-MATCH($D104,$B$4:$F$4,0)+1))))),0)</f>
        <v>0</v>
      </c>
      <c r="K104" s="144">
        <f t="shared" ref="K104:K135" si="18">IFERROR(IF($E104&lt;&gt;"Discrete",0,IF(4&lt;MATCH($D104,$B$4:$F$4,0),0,IF($F104&lt;&gt;"Y",IF(4=MATCH($D104,$B$4:$F$4,0),1,0),IF(4=MATCH($D104,$B$4:$F$4,0),$G104+(1-$G104)/(5-MATCH($D104,$B$4:$F$4,0)+1),(1-$G104)/(5-MATCH($D104,$B$4:$F$4,0)+1))))),0)</f>
        <v>0</v>
      </c>
      <c r="L104" s="144">
        <f t="shared" ref="L104:L135" si="19">IFERROR(IF($E104&lt;&gt;"Discrete",0,IF(5&lt;MATCH($D104,$B$4:$F$4,0),0,IF($F104&lt;&gt;"Y",IF(5=MATCH($D104,$B$4:$F$4,0),1,0),IF(5=MATCH($D104,$B$4:$F$4,0),$G104+(1-$G104)/(5-MATCH($D104,$B$4:$F$4,0)+1),(1-$G104)/(5-MATCH($D104,$B$4:$F$4,0)+1))))),0)</f>
        <v>0</v>
      </c>
    </row>
    <row r="105" spans="1:12" ht="14.25" customHeight="1">
      <c r="A105" s="142">
        <f>WP_상세!A102</f>
        <v>98</v>
      </c>
      <c r="B105" s="142" t="str">
        <f>WP_상세!B102</f>
        <v>SWE.3-ASW</v>
      </c>
      <c r="C105" s="142" t="str">
        <f>WP_상세!F102</f>
        <v>Communication Evidence / 합의된 상세설계 및 SW단위 공유기록</v>
      </c>
      <c r="D105" s="142" t="str">
        <f>WP_상세!G102</f>
        <v>Proto</v>
      </c>
      <c r="E105" s="142" t="str">
        <f>WP_상세!H102</f>
        <v>Discrete</v>
      </c>
      <c r="F105" s="142" t="str">
        <f>WP_상세!I102</f>
        <v>N</v>
      </c>
      <c r="G105" s="143">
        <f>WP_상세!J102</f>
        <v>1</v>
      </c>
      <c r="H105" s="144">
        <f t="shared" si="15"/>
        <v>0</v>
      </c>
      <c r="I105" s="144">
        <f t="shared" si="16"/>
        <v>1</v>
      </c>
      <c r="J105" s="144">
        <f t="shared" si="17"/>
        <v>0</v>
      </c>
      <c r="K105" s="144">
        <f t="shared" si="18"/>
        <v>0</v>
      </c>
      <c r="L105" s="144">
        <f t="shared" si="19"/>
        <v>0</v>
      </c>
    </row>
    <row r="106" spans="1:12" ht="14.25" customHeight="1">
      <c r="A106" s="142">
        <f>WP_상세!A103</f>
        <v>99</v>
      </c>
      <c r="B106" s="142" t="str">
        <f>WP_상세!B103</f>
        <v>SWE.3-BSW</v>
      </c>
      <c r="C106" s="142" t="str">
        <f>WP_상세!F103</f>
        <v>Communication Evidence / 합의된 상세설계 및 SW단위 공유기록</v>
      </c>
      <c r="D106" s="142" t="str">
        <f>WP_상세!G103</f>
        <v>Proto</v>
      </c>
      <c r="E106" s="142" t="str">
        <f>WP_상세!H103</f>
        <v>Discrete</v>
      </c>
      <c r="F106" s="142" t="str">
        <f>WP_상세!I103</f>
        <v>N</v>
      </c>
      <c r="G106" s="143">
        <f>WP_상세!J103</f>
        <v>1</v>
      </c>
      <c r="H106" s="144">
        <f t="shared" si="15"/>
        <v>0</v>
      </c>
      <c r="I106" s="144">
        <f t="shared" si="16"/>
        <v>1</v>
      </c>
      <c r="J106" s="144">
        <f t="shared" si="17"/>
        <v>0</v>
      </c>
      <c r="K106" s="144">
        <f t="shared" si="18"/>
        <v>0</v>
      </c>
      <c r="L106" s="144">
        <f t="shared" si="19"/>
        <v>0</v>
      </c>
    </row>
    <row r="107" spans="1:12" ht="14.25" customHeight="1">
      <c r="A107" s="142">
        <f>WP_상세!A104</f>
        <v>100</v>
      </c>
      <c r="B107" s="142" t="str">
        <f>WP_상세!B104</f>
        <v>SWE.4-ASW</v>
      </c>
      <c r="C107" s="142" t="str">
        <f>WP_상세!F104</f>
        <v>Verification Measure / 소프트웨어 단위검증 방안서</v>
      </c>
      <c r="D107" s="142" t="str">
        <f>WP_상세!G104</f>
        <v>Proto</v>
      </c>
      <c r="E107" s="142" t="str">
        <f>WP_상세!H104</f>
        <v>Discrete</v>
      </c>
      <c r="F107" s="142" t="str">
        <f>WP_상세!I104</f>
        <v>N</v>
      </c>
      <c r="G107" s="143">
        <f>WP_상세!J104</f>
        <v>1</v>
      </c>
      <c r="H107" s="144">
        <f t="shared" si="15"/>
        <v>0</v>
      </c>
      <c r="I107" s="144">
        <f t="shared" si="16"/>
        <v>1</v>
      </c>
      <c r="J107" s="144">
        <f t="shared" si="17"/>
        <v>0</v>
      </c>
      <c r="K107" s="144">
        <f t="shared" si="18"/>
        <v>0</v>
      </c>
      <c r="L107" s="144">
        <f t="shared" si="19"/>
        <v>0</v>
      </c>
    </row>
    <row r="108" spans="1:12" ht="14.25" customHeight="1">
      <c r="A108" s="142">
        <f>WP_상세!A105</f>
        <v>101</v>
      </c>
      <c r="B108" s="142" t="str">
        <f>WP_상세!B105</f>
        <v>SWE.4-BSW</v>
      </c>
      <c r="C108" s="142" t="str">
        <f>WP_상세!F105</f>
        <v>Verification Measure / 소프트웨어 단위검증 방안서</v>
      </c>
      <c r="D108" s="142" t="str">
        <f>WP_상세!G105</f>
        <v>Proto</v>
      </c>
      <c r="E108" s="142" t="str">
        <f>WP_상세!H105</f>
        <v>Discrete</v>
      </c>
      <c r="F108" s="142" t="str">
        <f>WP_상세!I105</f>
        <v>N</v>
      </c>
      <c r="G108" s="143">
        <f>WP_상세!J105</f>
        <v>1</v>
      </c>
      <c r="H108" s="144">
        <f t="shared" si="15"/>
        <v>0</v>
      </c>
      <c r="I108" s="144">
        <f t="shared" si="16"/>
        <v>1</v>
      </c>
      <c r="J108" s="144">
        <f t="shared" si="17"/>
        <v>0</v>
      </c>
      <c r="K108" s="144">
        <f t="shared" si="18"/>
        <v>0</v>
      </c>
      <c r="L108" s="144">
        <f t="shared" si="19"/>
        <v>0</v>
      </c>
    </row>
    <row r="109" spans="1:12" ht="14.25" customHeight="1">
      <c r="A109" s="142">
        <f>WP_상세!A106</f>
        <v>102</v>
      </c>
      <c r="B109" s="142" t="str">
        <f>WP_상세!B106</f>
        <v>SWE.4-ASW</v>
      </c>
      <c r="C109" s="142" t="str">
        <f>WP_상세!F106</f>
        <v>Verification Measure Selection Set / 단위검증 방안 선정목록</v>
      </c>
      <c r="D109" s="142" t="str">
        <f>WP_상세!G106</f>
        <v>Proto</v>
      </c>
      <c r="E109" s="142" t="str">
        <f>WP_상세!H106</f>
        <v>Discrete</v>
      </c>
      <c r="F109" s="142" t="str">
        <f>WP_상세!I106</f>
        <v>N</v>
      </c>
      <c r="G109" s="143">
        <f>WP_상세!J106</f>
        <v>1</v>
      </c>
      <c r="H109" s="144">
        <f t="shared" si="15"/>
        <v>0</v>
      </c>
      <c r="I109" s="144">
        <f t="shared" si="16"/>
        <v>1</v>
      </c>
      <c r="J109" s="144">
        <f t="shared" si="17"/>
        <v>0</v>
      </c>
      <c r="K109" s="144">
        <f t="shared" si="18"/>
        <v>0</v>
      </c>
      <c r="L109" s="144">
        <f t="shared" si="19"/>
        <v>0</v>
      </c>
    </row>
    <row r="110" spans="1:12" ht="14.25" customHeight="1">
      <c r="A110" s="142">
        <f>WP_상세!A107</f>
        <v>103</v>
      </c>
      <c r="B110" s="142" t="str">
        <f>WP_상세!B107</f>
        <v>SWE.4-BSW</v>
      </c>
      <c r="C110" s="142" t="str">
        <f>WP_상세!F107</f>
        <v>Verification Measure Selection Set / 단위검증 방안 선정목록</v>
      </c>
      <c r="D110" s="142" t="str">
        <f>WP_상세!G107</f>
        <v>Proto</v>
      </c>
      <c r="E110" s="142" t="str">
        <f>WP_상세!H107</f>
        <v>Discrete</v>
      </c>
      <c r="F110" s="142" t="str">
        <f>WP_상세!I107</f>
        <v>N</v>
      </c>
      <c r="G110" s="143">
        <f>WP_상세!J107</f>
        <v>1</v>
      </c>
      <c r="H110" s="144">
        <f t="shared" si="15"/>
        <v>0</v>
      </c>
      <c r="I110" s="144">
        <f t="shared" si="16"/>
        <v>1</v>
      </c>
      <c r="J110" s="144">
        <f t="shared" si="17"/>
        <v>0</v>
      </c>
      <c r="K110" s="144">
        <f t="shared" si="18"/>
        <v>0</v>
      </c>
      <c r="L110" s="144">
        <f t="shared" si="19"/>
        <v>0</v>
      </c>
    </row>
    <row r="111" spans="1:12" ht="14.25" customHeight="1">
      <c r="A111" s="142">
        <f>WP_상세!A108</f>
        <v>104</v>
      </c>
      <c r="B111" s="142" t="str">
        <f>WP_상세!B108</f>
        <v>SWE.4-ASW</v>
      </c>
      <c r="C111" s="142" t="str">
        <f>WP_상세!F108</f>
        <v>Verification Results / 소프트웨어 단위검증 결과서</v>
      </c>
      <c r="D111" s="142" t="str">
        <f>WP_상세!G108</f>
        <v>Proto</v>
      </c>
      <c r="E111" s="142" t="str">
        <f>WP_상세!H108</f>
        <v>Discrete</v>
      </c>
      <c r="F111" s="142" t="str">
        <f>WP_상세!I108</f>
        <v>N</v>
      </c>
      <c r="G111" s="143">
        <f>WP_상세!J108</f>
        <v>1</v>
      </c>
      <c r="H111" s="144">
        <f t="shared" si="15"/>
        <v>0</v>
      </c>
      <c r="I111" s="144">
        <f t="shared" si="16"/>
        <v>1</v>
      </c>
      <c r="J111" s="144">
        <f t="shared" si="17"/>
        <v>0</v>
      </c>
      <c r="K111" s="144">
        <f t="shared" si="18"/>
        <v>0</v>
      </c>
      <c r="L111" s="144">
        <f t="shared" si="19"/>
        <v>0</v>
      </c>
    </row>
    <row r="112" spans="1:12" ht="14.25" customHeight="1">
      <c r="A112" s="142">
        <f>WP_상세!A109</f>
        <v>105</v>
      </c>
      <c r="B112" s="142" t="str">
        <f>WP_상세!B109</f>
        <v>SWE.4-BSW</v>
      </c>
      <c r="C112" s="142" t="str">
        <f>WP_상세!F109</f>
        <v>Verification Results / 소프트웨어 단위검증 결과서</v>
      </c>
      <c r="D112" s="142" t="str">
        <f>WP_상세!G109</f>
        <v>Proto</v>
      </c>
      <c r="E112" s="142" t="str">
        <f>WP_상세!H109</f>
        <v>Discrete</v>
      </c>
      <c r="F112" s="142" t="str">
        <f>WP_상세!I109</f>
        <v>N</v>
      </c>
      <c r="G112" s="143">
        <f>WP_상세!J109</f>
        <v>1</v>
      </c>
      <c r="H112" s="144">
        <f t="shared" si="15"/>
        <v>0</v>
      </c>
      <c r="I112" s="144">
        <f t="shared" si="16"/>
        <v>1</v>
      </c>
      <c r="J112" s="144">
        <f t="shared" si="17"/>
        <v>0</v>
      </c>
      <c r="K112" s="144">
        <f t="shared" si="18"/>
        <v>0</v>
      </c>
      <c r="L112" s="144">
        <f t="shared" si="19"/>
        <v>0</v>
      </c>
    </row>
    <row r="113" spans="1:12" ht="14.25" customHeight="1">
      <c r="A113" s="142">
        <f>WP_상세!A110</f>
        <v>106</v>
      </c>
      <c r="B113" s="142" t="str">
        <f>WP_상세!B110</f>
        <v>SWE.4-ASW</v>
      </c>
      <c r="C113" s="142" t="str">
        <f>WP_상세!F110</f>
        <v>Consistency Evidence / 검증방안-SW단위/검증결과 추적성 매트릭스</v>
      </c>
      <c r="D113" s="142" t="str">
        <f>WP_상세!G110</f>
        <v>Proto</v>
      </c>
      <c r="E113" s="142" t="str">
        <f>WP_상세!H110</f>
        <v>Discrete</v>
      </c>
      <c r="F113" s="142" t="str">
        <f>WP_상세!I110</f>
        <v>N</v>
      </c>
      <c r="G113" s="143">
        <f>WP_상세!J110</f>
        <v>1</v>
      </c>
      <c r="H113" s="144">
        <f t="shared" si="15"/>
        <v>0</v>
      </c>
      <c r="I113" s="144">
        <f t="shared" si="16"/>
        <v>1</v>
      </c>
      <c r="J113" s="144">
        <f t="shared" si="17"/>
        <v>0</v>
      </c>
      <c r="K113" s="144">
        <f t="shared" si="18"/>
        <v>0</v>
      </c>
      <c r="L113" s="144">
        <f t="shared" si="19"/>
        <v>0</v>
      </c>
    </row>
    <row r="114" spans="1:12" ht="14.25" customHeight="1">
      <c r="A114" s="142">
        <f>WP_상세!A111</f>
        <v>107</v>
      </c>
      <c r="B114" s="142" t="str">
        <f>WP_상세!B111</f>
        <v>SWE.4-BSW</v>
      </c>
      <c r="C114" s="142" t="str">
        <f>WP_상세!F111</f>
        <v>Consistency Evidence / 검증방안-SW단위/검증결과 추적성 매트릭스</v>
      </c>
      <c r="D114" s="142" t="str">
        <f>WP_상세!G111</f>
        <v>Proto</v>
      </c>
      <c r="E114" s="142" t="str">
        <f>WP_상세!H111</f>
        <v>Discrete</v>
      </c>
      <c r="F114" s="142" t="str">
        <f>WP_상세!I111</f>
        <v>N</v>
      </c>
      <c r="G114" s="143">
        <f>WP_상세!J111</f>
        <v>1</v>
      </c>
      <c r="H114" s="144">
        <f t="shared" si="15"/>
        <v>0</v>
      </c>
      <c r="I114" s="144">
        <f t="shared" si="16"/>
        <v>1</v>
      </c>
      <c r="J114" s="144">
        <f t="shared" si="17"/>
        <v>0</v>
      </c>
      <c r="K114" s="144">
        <f t="shared" si="18"/>
        <v>0</v>
      </c>
      <c r="L114" s="144">
        <f t="shared" si="19"/>
        <v>0</v>
      </c>
    </row>
    <row r="115" spans="1:12" ht="14.25" customHeight="1">
      <c r="A115" s="142">
        <f>WP_상세!A112</f>
        <v>108</v>
      </c>
      <c r="B115" s="142" t="str">
        <f>WP_상세!B112</f>
        <v>SWE.4-ASW</v>
      </c>
      <c r="C115" s="142" t="str">
        <f>WP_상세!F112</f>
        <v>Communication Evidence / SW단위검증 결과 요약보고서</v>
      </c>
      <c r="D115" s="142" t="str">
        <f>WP_상세!G112</f>
        <v>Proto</v>
      </c>
      <c r="E115" s="142" t="str">
        <f>WP_상세!H112</f>
        <v>Discrete</v>
      </c>
      <c r="F115" s="142" t="str">
        <f>WP_상세!I112</f>
        <v>N</v>
      </c>
      <c r="G115" s="143">
        <f>WP_상세!J112</f>
        <v>1</v>
      </c>
      <c r="H115" s="144">
        <f t="shared" si="15"/>
        <v>0</v>
      </c>
      <c r="I115" s="144">
        <f t="shared" si="16"/>
        <v>1</v>
      </c>
      <c r="J115" s="144">
        <f t="shared" si="17"/>
        <v>0</v>
      </c>
      <c r="K115" s="144">
        <f t="shared" si="18"/>
        <v>0</v>
      </c>
      <c r="L115" s="144">
        <f t="shared" si="19"/>
        <v>0</v>
      </c>
    </row>
    <row r="116" spans="1:12" ht="14.25" customHeight="1">
      <c r="A116" s="142">
        <f>WP_상세!A113</f>
        <v>109</v>
      </c>
      <c r="B116" s="142" t="str">
        <f>WP_상세!B113</f>
        <v>SWE.4-BSW</v>
      </c>
      <c r="C116" s="142" t="str">
        <f>WP_상세!F113</f>
        <v>Communication Evidence / SW단위검증 결과 요약보고서</v>
      </c>
      <c r="D116" s="142" t="str">
        <f>WP_상세!G113</f>
        <v>Proto</v>
      </c>
      <c r="E116" s="142" t="str">
        <f>WP_상세!H113</f>
        <v>Discrete</v>
      </c>
      <c r="F116" s="142" t="str">
        <f>WP_상세!I113</f>
        <v>N</v>
      </c>
      <c r="G116" s="143">
        <f>WP_상세!J113</f>
        <v>1</v>
      </c>
      <c r="H116" s="144">
        <f t="shared" si="15"/>
        <v>0</v>
      </c>
      <c r="I116" s="144">
        <f t="shared" si="16"/>
        <v>1</v>
      </c>
      <c r="J116" s="144">
        <f t="shared" si="17"/>
        <v>0</v>
      </c>
      <c r="K116" s="144">
        <f t="shared" si="18"/>
        <v>0</v>
      </c>
      <c r="L116" s="144">
        <f t="shared" si="19"/>
        <v>0</v>
      </c>
    </row>
    <row r="117" spans="1:12" ht="14.25" customHeight="1">
      <c r="A117" s="142">
        <f>WP_상세!A114</f>
        <v>110</v>
      </c>
      <c r="B117" s="142" t="str">
        <f>WP_상세!B114</f>
        <v>SWE.5</v>
      </c>
      <c r="C117" s="142" t="str">
        <f>WP_상세!F114</f>
        <v>Verification Measure / 소프트웨어 통합검증 방안서</v>
      </c>
      <c r="D117" s="142" t="str">
        <f>WP_상세!G114</f>
        <v>Proto</v>
      </c>
      <c r="E117" s="142" t="str">
        <f>WP_상세!H114</f>
        <v>Discrete</v>
      </c>
      <c r="F117" s="142" t="str">
        <f>WP_상세!I114</f>
        <v>N</v>
      </c>
      <c r="G117" s="143">
        <f>WP_상세!J114</f>
        <v>1</v>
      </c>
      <c r="H117" s="144">
        <f t="shared" si="15"/>
        <v>0</v>
      </c>
      <c r="I117" s="144">
        <f t="shared" si="16"/>
        <v>1</v>
      </c>
      <c r="J117" s="144">
        <f t="shared" si="17"/>
        <v>0</v>
      </c>
      <c r="K117" s="144">
        <f t="shared" si="18"/>
        <v>0</v>
      </c>
      <c r="L117" s="144">
        <f t="shared" si="19"/>
        <v>0</v>
      </c>
    </row>
    <row r="118" spans="1:12" ht="14.25" customHeight="1">
      <c r="A118" s="142">
        <f>WP_상세!A115</f>
        <v>111</v>
      </c>
      <c r="B118" s="142" t="str">
        <f>WP_상세!B115</f>
        <v>SWE.5</v>
      </c>
      <c r="C118" s="142" t="str">
        <f>WP_상세!F115</f>
        <v>Verification Measure / 소프트웨어 컴포넌트 검증방안서</v>
      </c>
      <c r="D118" s="142" t="str">
        <f>WP_상세!G115</f>
        <v>Proto</v>
      </c>
      <c r="E118" s="142" t="str">
        <f>WP_상세!H115</f>
        <v>Discrete</v>
      </c>
      <c r="F118" s="142" t="str">
        <f>WP_상세!I115</f>
        <v>N</v>
      </c>
      <c r="G118" s="143">
        <f>WP_상세!J115</f>
        <v>1</v>
      </c>
      <c r="H118" s="144">
        <f t="shared" si="15"/>
        <v>0</v>
      </c>
      <c r="I118" s="144">
        <f t="shared" si="16"/>
        <v>1</v>
      </c>
      <c r="J118" s="144">
        <f t="shared" si="17"/>
        <v>0</v>
      </c>
      <c r="K118" s="144">
        <f t="shared" si="18"/>
        <v>0</v>
      </c>
      <c r="L118" s="144">
        <f t="shared" si="19"/>
        <v>0</v>
      </c>
    </row>
    <row r="119" spans="1:12" ht="14.25" customHeight="1">
      <c r="A119" s="142">
        <f>WP_상세!A116</f>
        <v>112</v>
      </c>
      <c r="B119" s="142" t="str">
        <f>WP_상세!B116</f>
        <v>SWE.5</v>
      </c>
      <c r="C119" s="142" t="str">
        <f>WP_상세!F116</f>
        <v>Verification Measure Selection Set / 검증방안 선정목록</v>
      </c>
      <c r="D119" s="142" t="str">
        <f>WP_상세!G116</f>
        <v>Proto</v>
      </c>
      <c r="E119" s="142" t="str">
        <f>WP_상세!H116</f>
        <v>Discrete</v>
      </c>
      <c r="F119" s="142" t="str">
        <f>WP_상세!I116</f>
        <v>N</v>
      </c>
      <c r="G119" s="143">
        <f>WP_상세!J116</f>
        <v>1</v>
      </c>
      <c r="H119" s="144">
        <f t="shared" si="15"/>
        <v>0</v>
      </c>
      <c r="I119" s="144">
        <f t="shared" si="16"/>
        <v>1</v>
      </c>
      <c r="J119" s="144">
        <f t="shared" si="17"/>
        <v>0</v>
      </c>
      <c r="K119" s="144">
        <f t="shared" si="18"/>
        <v>0</v>
      </c>
      <c r="L119" s="144">
        <f t="shared" si="19"/>
        <v>0</v>
      </c>
    </row>
    <row r="120" spans="1:12" ht="14.25" customHeight="1">
      <c r="A120" s="142">
        <f>WP_상세!A117</f>
        <v>113</v>
      </c>
      <c r="B120" s="142" t="str">
        <f>WP_상세!B117</f>
        <v>SWE.5</v>
      </c>
      <c r="C120" s="142" t="str">
        <f>WP_상세!F117</f>
        <v>Verification Results / 소프트웨어 통합/통합검증 결과서</v>
      </c>
      <c r="D120" s="142" t="str">
        <f>WP_상세!G117</f>
        <v>P1</v>
      </c>
      <c r="E120" s="142" t="str">
        <f>WP_상세!H117</f>
        <v>Discrete</v>
      </c>
      <c r="F120" s="142" t="str">
        <f>WP_상세!I117</f>
        <v>N</v>
      </c>
      <c r="G120" s="143">
        <f>WP_상세!J117</f>
        <v>1</v>
      </c>
      <c r="H120" s="144">
        <f t="shared" si="15"/>
        <v>0</v>
      </c>
      <c r="I120" s="144">
        <f t="shared" si="16"/>
        <v>0</v>
      </c>
      <c r="J120" s="144">
        <f t="shared" si="17"/>
        <v>1</v>
      </c>
      <c r="K120" s="144">
        <f t="shared" si="18"/>
        <v>0</v>
      </c>
      <c r="L120" s="144">
        <f t="shared" si="19"/>
        <v>0</v>
      </c>
    </row>
    <row r="121" spans="1:12" ht="14.25" customHeight="1">
      <c r="A121" s="142">
        <f>WP_상세!A118</f>
        <v>114</v>
      </c>
      <c r="B121" s="142" t="str">
        <f>WP_상세!B118</f>
        <v>SWE.5</v>
      </c>
      <c r="C121" s="142" t="str">
        <f>WP_상세!F118</f>
        <v>Verification Results / 소프트웨어 컴포넌트 검증결과서</v>
      </c>
      <c r="D121" s="142" t="str">
        <f>WP_상세!G118</f>
        <v>P1</v>
      </c>
      <c r="E121" s="142" t="str">
        <f>WP_상세!H118</f>
        <v>Discrete</v>
      </c>
      <c r="F121" s="142" t="str">
        <f>WP_상세!I118</f>
        <v>N</v>
      </c>
      <c r="G121" s="143">
        <f>WP_상세!J118</f>
        <v>1</v>
      </c>
      <c r="H121" s="144">
        <f t="shared" si="15"/>
        <v>0</v>
      </c>
      <c r="I121" s="144">
        <f t="shared" si="16"/>
        <v>0</v>
      </c>
      <c r="J121" s="144">
        <f t="shared" si="17"/>
        <v>1</v>
      </c>
      <c r="K121" s="144">
        <f t="shared" si="18"/>
        <v>0</v>
      </c>
      <c r="L121" s="144">
        <f t="shared" si="19"/>
        <v>0</v>
      </c>
    </row>
    <row r="122" spans="1:12" ht="14.25" customHeight="1">
      <c r="A122" s="142">
        <f>WP_상세!A119</f>
        <v>115</v>
      </c>
      <c r="B122" s="142" t="str">
        <f>WP_상세!B119</f>
        <v>SWE.5</v>
      </c>
      <c r="C122" s="142" t="str">
        <f>WP_상세!F119</f>
        <v>Consistency Evidence / 검증방안-아키텍처/상세설계/검증결과 추적성 매트릭스</v>
      </c>
      <c r="D122" s="142" t="str">
        <f>WP_상세!G119</f>
        <v>P1</v>
      </c>
      <c r="E122" s="142" t="str">
        <f>WP_상세!H119</f>
        <v>Discrete</v>
      </c>
      <c r="F122" s="142" t="str">
        <f>WP_상세!I119</f>
        <v>N</v>
      </c>
      <c r="G122" s="143">
        <f>WP_상세!J119</f>
        <v>1</v>
      </c>
      <c r="H122" s="144">
        <f t="shared" si="15"/>
        <v>0</v>
      </c>
      <c r="I122" s="144">
        <f t="shared" si="16"/>
        <v>0</v>
      </c>
      <c r="J122" s="144">
        <f t="shared" si="17"/>
        <v>1</v>
      </c>
      <c r="K122" s="144">
        <f t="shared" si="18"/>
        <v>0</v>
      </c>
      <c r="L122" s="144">
        <f t="shared" si="19"/>
        <v>0</v>
      </c>
    </row>
    <row r="123" spans="1:12" ht="14.25" customHeight="1">
      <c r="A123" s="142">
        <f>WP_상세!A120</f>
        <v>116</v>
      </c>
      <c r="B123" s="142" t="str">
        <f>WP_상세!B120</f>
        <v>SWE.5</v>
      </c>
      <c r="C123" s="142" t="str">
        <f>WP_상세!F120</f>
        <v>Communication Evidence / 컴포넌트/통합검증 결과 요약보고서</v>
      </c>
      <c r="D123" s="142" t="str">
        <f>WP_상세!G120</f>
        <v>P1</v>
      </c>
      <c r="E123" s="142" t="str">
        <f>WP_상세!H120</f>
        <v>Discrete</v>
      </c>
      <c r="F123" s="142" t="str">
        <f>WP_상세!I120</f>
        <v>N</v>
      </c>
      <c r="G123" s="143">
        <f>WP_상세!J120</f>
        <v>1</v>
      </c>
      <c r="H123" s="144">
        <f t="shared" si="15"/>
        <v>0</v>
      </c>
      <c r="I123" s="144">
        <f t="shared" si="16"/>
        <v>0</v>
      </c>
      <c r="J123" s="144">
        <f t="shared" si="17"/>
        <v>1</v>
      </c>
      <c r="K123" s="144">
        <f t="shared" si="18"/>
        <v>0</v>
      </c>
      <c r="L123" s="144">
        <f t="shared" si="19"/>
        <v>0</v>
      </c>
    </row>
    <row r="124" spans="1:12" ht="14.25" customHeight="1">
      <c r="A124" s="142">
        <f>WP_상세!A121</f>
        <v>117</v>
      </c>
      <c r="B124" s="142" t="str">
        <f>WP_상세!B121</f>
        <v>SWE.6</v>
      </c>
      <c r="C124" s="142" t="str">
        <f>WP_상세!F121</f>
        <v>Verification Measure / 소프트웨어 검증방안서</v>
      </c>
      <c r="D124" s="142" t="str">
        <f>WP_상세!G121</f>
        <v>P1</v>
      </c>
      <c r="E124" s="142" t="str">
        <f>WP_상세!H121</f>
        <v>Discrete</v>
      </c>
      <c r="F124" s="142" t="str">
        <f>WP_상세!I121</f>
        <v>N</v>
      </c>
      <c r="G124" s="143">
        <f>WP_상세!J121</f>
        <v>1</v>
      </c>
      <c r="H124" s="144">
        <f t="shared" si="15"/>
        <v>0</v>
      </c>
      <c r="I124" s="144">
        <f t="shared" si="16"/>
        <v>0</v>
      </c>
      <c r="J124" s="144">
        <f t="shared" si="17"/>
        <v>1</v>
      </c>
      <c r="K124" s="144">
        <f t="shared" si="18"/>
        <v>0</v>
      </c>
      <c r="L124" s="144">
        <f t="shared" si="19"/>
        <v>0</v>
      </c>
    </row>
    <row r="125" spans="1:12" ht="14.25" customHeight="1">
      <c r="A125" s="142">
        <f>WP_상세!A122</f>
        <v>118</v>
      </c>
      <c r="B125" s="142" t="str">
        <f>WP_상세!B122</f>
        <v>SWE.6</v>
      </c>
      <c r="C125" s="142" t="str">
        <f>WP_상세!F122</f>
        <v>Verification Measure Selection Set / SW검증 방안 선정목록</v>
      </c>
      <c r="D125" s="142" t="str">
        <f>WP_상세!G122</f>
        <v>P1</v>
      </c>
      <c r="E125" s="142" t="str">
        <f>WP_상세!H122</f>
        <v>Discrete</v>
      </c>
      <c r="F125" s="142" t="str">
        <f>WP_상세!I122</f>
        <v>N</v>
      </c>
      <c r="G125" s="143">
        <f>WP_상세!J122</f>
        <v>1</v>
      </c>
      <c r="H125" s="144">
        <f t="shared" si="15"/>
        <v>0</v>
      </c>
      <c r="I125" s="144">
        <f t="shared" si="16"/>
        <v>0</v>
      </c>
      <c r="J125" s="144">
        <f t="shared" si="17"/>
        <v>1</v>
      </c>
      <c r="K125" s="144">
        <f t="shared" si="18"/>
        <v>0</v>
      </c>
      <c r="L125" s="144">
        <f t="shared" si="19"/>
        <v>0</v>
      </c>
    </row>
    <row r="126" spans="1:12" ht="14.25" customHeight="1">
      <c r="A126" s="142">
        <f>WP_상세!A123</f>
        <v>119</v>
      </c>
      <c r="B126" s="142" t="str">
        <f>WP_상세!B123</f>
        <v>SWE.6</v>
      </c>
      <c r="C126" s="142" t="str">
        <f>WP_상세!F123</f>
        <v>Verification Results / 통합 소프트웨어 검증결과서</v>
      </c>
      <c r="D126" s="142" t="str">
        <f>WP_상세!G123</f>
        <v>P2</v>
      </c>
      <c r="E126" s="142" t="str">
        <f>WP_상세!H123</f>
        <v>Discrete</v>
      </c>
      <c r="F126" s="142" t="str">
        <f>WP_상세!I123</f>
        <v>N</v>
      </c>
      <c r="G126" s="143">
        <f>WP_상세!J123</f>
        <v>1</v>
      </c>
      <c r="H126" s="144">
        <f t="shared" si="15"/>
        <v>0</v>
      </c>
      <c r="I126" s="144">
        <f t="shared" si="16"/>
        <v>0</v>
      </c>
      <c r="J126" s="144">
        <f t="shared" si="17"/>
        <v>0</v>
      </c>
      <c r="K126" s="144">
        <f t="shared" si="18"/>
        <v>1</v>
      </c>
      <c r="L126" s="144">
        <f t="shared" si="19"/>
        <v>0</v>
      </c>
    </row>
    <row r="127" spans="1:12" ht="14.25" customHeight="1">
      <c r="A127" s="142">
        <f>WP_상세!A124</f>
        <v>120</v>
      </c>
      <c r="B127" s="142" t="str">
        <f>WP_상세!B124</f>
        <v>SWE.6</v>
      </c>
      <c r="C127" s="142" t="str">
        <f>WP_상세!F124</f>
        <v>Consistency Evidence / 검증방안-SW요구사항/검증결과 추적성 매트릭스</v>
      </c>
      <c r="D127" s="142" t="str">
        <f>WP_상세!G124</f>
        <v>P2</v>
      </c>
      <c r="E127" s="142" t="str">
        <f>WP_상세!H124</f>
        <v>Discrete</v>
      </c>
      <c r="F127" s="142" t="str">
        <f>WP_상세!I124</f>
        <v>N</v>
      </c>
      <c r="G127" s="143">
        <f>WP_상세!J124</f>
        <v>1</v>
      </c>
      <c r="H127" s="144">
        <f t="shared" si="15"/>
        <v>0</v>
      </c>
      <c r="I127" s="144">
        <f t="shared" si="16"/>
        <v>0</v>
      </c>
      <c r="J127" s="144">
        <f t="shared" si="17"/>
        <v>0</v>
      </c>
      <c r="K127" s="144">
        <f t="shared" si="18"/>
        <v>1</v>
      </c>
      <c r="L127" s="144">
        <f t="shared" si="19"/>
        <v>0</v>
      </c>
    </row>
    <row r="128" spans="1:12" ht="14.25" customHeight="1">
      <c r="A128" s="142">
        <f>WP_상세!A125</f>
        <v>121</v>
      </c>
      <c r="B128" s="142" t="str">
        <f>WP_상세!B125</f>
        <v>SWE.6</v>
      </c>
      <c r="C128" s="142" t="str">
        <f>WP_상세!F125</f>
        <v>Communication Evidence / SW검증결과 요약보고서</v>
      </c>
      <c r="D128" s="142" t="str">
        <f>WP_상세!G125</f>
        <v>P2</v>
      </c>
      <c r="E128" s="142" t="str">
        <f>WP_상세!H125</f>
        <v>Discrete</v>
      </c>
      <c r="F128" s="142" t="str">
        <f>WP_상세!I125</f>
        <v>N</v>
      </c>
      <c r="G128" s="143">
        <f>WP_상세!J125</f>
        <v>1</v>
      </c>
      <c r="H128" s="144">
        <f t="shared" si="15"/>
        <v>0</v>
      </c>
      <c r="I128" s="144">
        <f t="shared" si="16"/>
        <v>0</v>
      </c>
      <c r="J128" s="144">
        <f t="shared" si="17"/>
        <v>0</v>
      </c>
      <c r="K128" s="144">
        <f t="shared" si="18"/>
        <v>1</v>
      </c>
      <c r="L128" s="144">
        <f t="shared" si="19"/>
        <v>0</v>
      </c>
    </row>
    <row r="129" spans="1:12" ht="14.25" customHeight="1">
      <c r="A129" s="142">
        <f>WP_상세!A126</f>
        <v>122</v>
      </c>
      <c r="B129" s="142" t="str">
        <f>WP_상세!B126</f>
        <v>VAL.1</v>
      </c>
      <c r="C129" s="142" t="str">
        <f>WP_상세!F126</f>
        <v>Validation Measure / 제품확인 방안서</v>
      </c>
      <c r="D129" s="142" t="str">
        <f>WP_상세!G126</f>
        <v>P2</v>
      </c>
      <c r="E129" s="142" t="str">
        <f>WP_상세!H126</f>
        <v>Discrete</v>
      </c>
      <c r="F129" s="142" t="str">
        <f>WP_상세!I126</f>
        <v>N</v>
      </c>
      <c r="G129" s="143">
        <f>WP_상세!J126</f>
        <v>1</v>
      </c>
      <c r="H129" s="144">
        <f t="shared" si="15"/>
        <v>0</v>
      </c>
      <c r="I129" s="144">
        <f t="shared" si="16"/>
        <v>0</v>
      </c>
      <c r="J129" s="144">
        <f t="shared" si="17"/>
        <v>0</v>
      </c>
      <c r="K129" s="144">
        <f t="shared" si="18"/>
        <v>1</v>
      </c>
      <c r="L129" s="144">
        <f t="shared" si="19"/>
        <v>0</v>
      </c>
    </row>
    <row r="130" spans="1:12" ht="14.25" customHeight="1">
      <c r="A130" s="142">
        <f>WP_상세!A127</f>
        <v>123</v>
      </c>
      <c r="B130" s="142" t="str">
        <f>WP_상세!B127</f>
        <v>VAL.1</v>
      </c>
      <c r="C130" s="142" t="str">
        <f>WP_상세!F127</f>
        <v>Validation Measure Selection Set / 확인 방안 선정목록</v>
      </c>
      <c r="D130" s="142" t="str">
        <f>WP_상세!G127</f>
        <v>P2</v>
      </c>
      <c r="E130" s="142" t="str">
        <f>WP_상세!H127</f>
        <v>Discrete</v>
      </c>
      <c r="F130" s="142" t="str">
        <f>WP_상세!I127</f>
        <v>N</v>
      </c>
      <c r="G130" s="143">
        <f>WP_상세!J127</f>
        <v>1</v>
      </c>
      <c r="H130" s="144">
        <f t="shared" si="15"/>
        <v>0</v>
      </c>
      <c r="I130" s="144">
        <f t="shared" si="16"/>
        <v>0</v>
      </c>
      <c r="J130" s="144">
        <f t="shared" si="17"/>
        <v>0</v>
      </c>
      <c r="K130" s="144">
        <f t="shared" si="18"/>
        <v>1</v>
      </c>
      <c r="L130" s="144">
        <f t="shared" si="19"/>
        <v>0</v>
      </c>
    </row>
    <row r="131" spans="1:12" ht="14.25" customHeight="1">
      <c r="A131" s="142">
        <f>WP_상세!A128</f>
        <v>124</v>
      </c>
      <c r="B131" s="142" t="str">
        <f>WP_상세!B128</f>
        <v>VAL.1</v>
      </c>
      <c r="C131" s="142" t="str">
        <f>WP_상세!F128</f>
        <v>Validation Results / 제품확인 결과서</v>
      </c>
      <c r="D131" s="142" t="str">
        <f>WP_상세!G128</f>
        <v>P2</v>
      </c>
      <c r="E131" s="142" t="str">
        <f>WP_상세!H128</f>
        <v>Discrete</v>
      </c>
      <c r="F131" s="142" t="str">
        <f>WP_상세!I128</f>
        <v>N</v>
      </c>
      <c r="G131" s="143">
        <f>WP_상세!J128</f>
        <v>1</v>
      </c>
      <c r="H131" s="144">
        <f t="shared" si="15"/>
        <v>0</v>
      </c>
      <c r="I131" s="144">
        <f t="shared" si="16"/>
        <v>0</v>
      </c>
      <c r="J131" s="144">
        <f t="shared" si="17"/>
        <v>0</v>
      </c>
      <c r="K131" s="144">
        <f t="shared" si="18"/>
        <v>1</v>
      </c>
      <c r="L131" s="144">
        <f t="shared" si="19"/>
        <v>0</v>
      </c>
    </row>
    <row r="132" spans="1:12" ht="14.25" customHeight="1">
      <c r="A132" s="142">
        <f>WP_상세!A129</f>
        <v>125</v>
      </c>
      <c r="B132" s="142" t="str">
        <f>WP_상세!B129</f>
        <v>VAL.1</v>
      </c>
      <c r="C132" s="142" t="str">
        <f>WP_상세!F129</f>
        <v>Consistency Evidence / 확인방안-요구사항/확인결과 추적성 매트릭스</v>
      </c>
      <c r="D132" s="142" t="str">
        <f>WP_상세!G129</f>
        <v>P2</v>
      </c>
      <c r="E132" s="142" t="str">
        <f>WP_상세!H129</f>
        <v>Discrete</v>
      </c>
      <c r="F132" s="142" t="str">
        <f>WP_상세!I129</f>
        <v>N</v>
      </c>
      <c r="G132" s="143">
        <f>WP_상세!J129</f>
        <v>1</v>
      </c>
      <c r="H132" s="144">
        <f t="shared" si="15"/>
        <v>0</v>
      </c>
      <c r="I132" s="144">
        <f t="shared" si="16"/>
        <v>0</v>
      </c>
      <c r="J132" s="144">
        <f t="shared" si="17"/>
        <v>0</v>
      </c>
      <c r="K132" s="144">
        <f t="shared" si="18"/>
        <v>1</v>
      </c>
      <c r="L132" s="144">
        <f t="shared" si="19"/>
        <v>0</v>
      </c>
    </row>
    <row r="133" spans="1:12" ht="14.25" customHeight="1">
      <c r="A133" s="142">
        <f>WP_상세!A130</f>
        <v>126</v>
      </c>
      <c r="B133" s="142" t="str">
        <f>WP_상세!B130</f>
        <v>VAL.1</v>
      </c>
      <c r="C133" s="142" t="str">
        <f>WP_상세!F130</f>
        <v>Communication Evidence / 제품확인 결과 요약보고서</v>
      </c>
      <c r="D133" s="142" t="str">
        <f>WP_상세!G130</f>
        <v>P2</v>
      </c>
      <c r="E133" s="142" t="str">
        <f>WP_상세!H130</f>
        <v>Discrete</v>
      </c>
      <c r="F133" s="142" t="str">
        <f>WP_상세!I130</f>
        <v>N</v>
      </c>
      <c r="G133" s="143">
        <f>WP_상세!J130</f>
        <v>1</v>
      </c>
      <c r="H133" s="144">
        <f t="shared" si="15"/>
        <v>0</v>
      </c>
      <c r="I133" s="144">
        <f t="shared" si="16"/>
        <v>0</v>
      </c>
      <c r="J133" s="144">
        <f t="shared" si="17"/>
        <v>0</v>
      </c>
      <c r="K133" s="144">
        <f t="shared" si="18"/>
        <v>1</v>
      </c>
      <c r="L133" s="144">
        <f t="shared" si="19"/>
        <v>0</v>
      </c>
    </row>
    <row r="134" spans="1:12" ht="14.25" customHeight="1">
      <c r="A134" s="142">
        <f>WP_상세!A131</f>
        <v>127</v>
      </c>
      <c r="B134" s="142" t="str">
        <f>WP_상세!B131</f>
        <v>MLE.1</v>
      </c>
      <c r="C134" s="142" t="str">
        <f>WP_상세!F131</f>
        <v>Requirement / ML 요구사항 명세서</v>
      </c>
      <c r="D134" s="142" t="str">
        <f>WP_상세!G131</f>
        <v>M-Car</v>
      </c>
      <c r="E134" s="142" t="str">
        <f>WP_상세!H131</f>
        <v>Discrete</v>
      </c>
      <c r="F134" s="142" t="str">
        <f>WP_상세!I131</f>
        <v>Y</v>
      </c>
      <c r="G134" s="143">
        <f>WP_상세!J131</f>
        <v>0.4</v>
      </c>
      <c r="H134" s="144">
        <f t="shared" si="15"/>
        <v>0.52</v>
      </c>
      <c r="I134" s="144">
        <f t="shared" si="16"/>
        <v>0.12</v>
      </c>
      <c r="J134" s="144">
        <f t="shared" si="17"/>
        <v>0.12</v>
      </c>
      <c r="K134" s="144">
        <f t="shared" si="18"/>
        <v>0.12</v>
      </c>
      <c r="L134" s="144">
        <f t="shared" si="19"/>
        <v>0.12</v>
      </c>
    </row>
    <row r="135" spans="1:12" ht="14.25" customHeight="1">
      <c r="A135" s="142">
        <f>WP_상세!A132</f>
        <v>128</v>
      </c>
      <c r="B135" s="142" t="str">
        <f>WP_상세!B132</f>
        <v>MLE.1</v>
      </c>
      <c r="C135" s="142" t="str">
        <f>WP_상세!F132</f>
        <v>Requirement Attribute / ML 요구사항 구조화 문서</v>
      </c>
      <c r="D135" s="142" t="str">
        <f>WP_상세!G132</f>
        <v>M-Car</v>
      </c>
      <c r="E135" s="142" t="str">
        <f>WP_상세!H132</f>
        <v>Discrete</v>
      </c>
      <c r="F135" s="142" t="str">
        <f>WP_상세!I132</f>
        <v>Y</v>
      </c>
      <c r="G135" s="143">
        <f>WP_상세!J132</f>
        <v>0.4</v>
      </c>
      <c r="H135" s="144">
        <f t="shared" si="15"/>
        <v>0.52</v>
      </c>
      <c r="I135" s="144">
        <f t="shared" si="16"/>
        <v>0.12</v>
      </c>
      <c r="J135" s="144">
        <f t="shared" si="17"/>
        <v>0.12</v>
      </c>
      <c r="K135" s="144">
        <f t="shared" si="18"/>
        <v>0.12</v>
      </c>
      <c r="L135" s="144">
        <f t="shared" si="19"/>
        <v>0.12</v>
      </c>
    </row>
    <row r="136" spans="1:12" ht="14.25" customHeight="1">
      <c r="A136" s="142">
        <f>WP_상세!A133</f>
        <v>129</v>
      </c>
      <c r="B136" s="142" t="str">
        <f>WP_상세!B133</f>
        <v>MLE.1</v>
      </c>
      <c r="C136" s="142" t="str">
        <f>WP_상세!F133</f>
        <v>Analysis Results / ML 요구사항 분석서</v>
      </c>
      <c r="D136" s="142" t="str">
        <f>WP_상세!G133</f>
        <v>M-Car</v>
      </c>
      <c r="E136" s="142" t="str">
        <f>WP_상세!H133</f>
        <v>Discrete</v>
      </c>
      <c r="F136" s="142" t="str">
        <f>WP_상세!I133</f>
        <v>N</v>
      </c>
      <c r="G136" s="143">
        <f>WP_상세!J133</f>
        <v>1</v>
      </c>
      <c r="H136" s="144">
        <f t="shared" ref="H136:H167" si="20">IFERROR(IF($E136&lt;&gt;"Discrete",0,IF(1&lt;MATCH($D136,$B$4:$F$4,0),0,IF($F136&lt;&gt;"Y",IF(1=MATCH($D136,$B$4:$F$4,0),1,0),IF(1=MATCH($D136,$B$4:$F$4,0),$G136+(1-$G136)/(5-MATCH($D136,$B$4:$F$4,0)+1),(1-$G136)/(5-MATCH($D136,$B$4:$F$4,0)+1))))),0)</f>
        <v>1</v>
      </c>
      <c r="I136" s="144">
        <f t="shared" ref="I136:I167" si="21">IFERROR(IF($E136&lt;&gt;"Discrete",0,IF(2&lt;MATCH($D136,$B$4:$F$4,0),0,IF($F136&lt;&gt;"Y",IF(2=MATCH($D136,$B$4:$F$4,0),1,0),IF(2=MATCH($D136,$B$4:$F$4,0),$G136+(1-$G136)/(5-MATCH($D136,$B$4:$F$4,0)+1),(1-$G136)/(5-MATCH($D136,$B$4:$F$4,0)+1))))),0)</f>
        <v>0</v>
      </c>
      <c r="J136" s="144">
        <f t="shared" ref="J136:J167" si="22">IFERROR(IF($E136&lt;&gt;"Discrete",0,IF(3&lt;MATCH($D136,$B$4:$F$4,0),0,IF($F136&lt;&gt;"Y",IF(3=MATCH($D136,$B$4:$F$4,0),1,0),IF(3=MATCH($D136,$B$4:$F$4,0),$G136+(1-$G136)/(5-MATCH($D136,$B$4:$F$4,0)+1),(1-$G136)/(5-MATCH($D136,$B$4:$F$4,0)+1))))),0)</f>
        <v>0</v>
      </c>
      <c r="K136" s="144">
        <f t="shared" ref="K136:K167" si="23">IFERROR(IF($E136&lt;&gt;"Discrete",0,IF(4&lt;MATCH($D136,$B$4:$F$4,0),0,IF($F136&lt;&gt;"Y",IF(4=MATCH($D136,$B$4:$F$4,0),1,0),IF(4=MATCH($D136,$B$4:$F$4,0),$G136+(1-$G136)/(5-MATCH($D136,$B$4:$F$4,0)+1),(1-$G136)/(5-MATCH($D136,$B$4:$F$4,0)+1))))),0)</f>
        <v>0</v>
      </c>
      <c r="L136" s="144">
        <f t="shared" ref="L136:L167" si="24">IFERROR(IF($E136&lt;&gt;"Discrete",0,IF(5&lt;MATCH($D136,$B$4:$F$4,0),0,IF($F136&lt;&gt;"Y",IF(5=MATCH($D136,$B$4:$F$4,0),1,0),IF(5=MATCH($D136,$B$4:$F$4,0),$G136+(1-$G136)/(5-MATCH($D136,$B$4:$F$4,0)+1),(1-$G136)/(5-MATCH($D136,$B$4:$F$4,0)+1))))),0)</f>
        <v>0</v>
      </c>
    </row>
    <row r="137" spans="1:12" ht="14.25" customHeight="1">
      <c r="A137" s="142">
        <f>WP_상세!A134</f>
        <v>130</v>
      </c>
      <c r="B137" s="142" t="str">
        <f>WP_상세!B134</f>
        <v>MLE.1</v>
      </c>
      <c r="C137" s="142" t="str">
        <f>WP_상세!F134</f>
        <v>Analysis Results / ML 운영환경 영향분석서</v>
      </c>
      <c r="D137" s="142" t="str">
        <f>WP_상세!G134</f>
        <v>M-Car</v>
      </c>
      <c r="E137" s="142" t="str">
        <f>WP_상세!H134</f>
        <v>Discrete</v>
      </c>
      <c r="F137" s="142" t="str">
        <f>WP_상세!I134</f>
        <v>N</v>
      </c>
      <c r="G137" s="143">
        <f>WP_상세!J134</f>
        <v>1</v>
      </c>
      <c r="H137" s="144">
        <f t="shared" si="20"/>
        <v>1</v>
      </c>
      <c r="I137" s="144">
        <f t="shared" si="21"/>
        <v>0</v>
      </c>
      <c r="J137" s="144">
        <f t="shared" si="22"/>
        <v>0</v>
      </c>
      <c r="K137" s="144">
        <f t="shared" si="23"/>
        <v>0</v>
      </c>
      <c r="L137" s="144">
        <f t="shared" si="24"/>
        <v>0</v>
      </c>
    </row>
    <row r="138" spans="1:12" ht="14.25" customHeight="1">
      <c r="A138" s="142">
        <f>WP_상세!A135</f>
        <v>131</v>
      </c>
      <c r="B138" s="142" t="str">
        <f>WP_상세!B135</f>
        <v>MLE.1</v>
      </c>
      <c r="C138" s="142" t="str">
        <f>WP_상세!F135</f>
        <v>Consistency Evidence / ML요구사항-SW요구사항 추적성 매트릭스</v>
      </c>
      <c r="D138" s="142" t="str">
        <f>WP_상세!G135</f>
        <v>M-Car</v>
      </c>
      <c r="E138" s="142" t="str">
        <f>WP_상세!H135</f>
        <v>Discrete</v>
      </c>
      <c r="F138" s="142" t="str">
        <f>WP_상세!I135</f>
        <v>N</v>
      </c>
      <c r="G138" s="143">
        <f>WP_상세!J135</f>
        <v>1</v>
      </c>
      <c r="H138" s="144">
        <f t="shared" si="20"/>
        <v>1</v>
      </c>
      <c r="I138" s="144">
        <f t="shared" si="21"/>
        <v>0</v>
      </c>
      <c r="J138" s="144">
        <f t="shared" si="22"/>
        <v>0</v>
      </c>
      <c r="K138" s="144">
        <f t="shared" si="23"/>
        <v>0</v>
      </c>
      <c r="L138" s="144">
        <f t="shared" si="24"/>
        <v>0</v>
      </c>
    </row>
    <row r="139" spans="1:12" ht="14.25" customHeight="1">
      <c r="A139" s="142">
        <f>WP_상세!A136</f>
        <v>132</v>
      </c>
      <c r="B139" s="142" t="str">
        <f>WP_상세!B136</f>
        <v>MLE.1</v>
      </c>
      <c r="C139" s="142" t="str">
        <f>WP_상세!F136</f>
        <v>Communication Evidence / 합의된 ML 요구사항 공유기록</v>
      </c>
      <c r="D139" s="142" t="str">
        <f>WP_상세!G136</f>
        <v>M-Car</v>
      </c>
      <c r="E139" s="142" t="str">
        <f>WP_상세!H136</f>
        <v>Discrete</v>
      </c>
      <c r="F139" s="142" t="str">
        <f>WP_상세!I136</f>
        <v>N</v>
      </c>
      <c r="G139" s="143">
        <f>WP_상세!J136</f>
        <v>1</v>
      </c>
      <c r="H139" s="144">
        <f t="shared" si="20"/>
        <v>1</v>
      </c>
      <c r="I139" s="144">
        <f t="shared" si="21"/>
        <v>0</v>
      </c>
      <c r="J139" s="144">
        <f t="shared" si="22"/>
        <v>0</v>
      </c>
      <c r="K139" s="144">
        <f t="shared" si="23"/>
        <v>0</v>
      </c>
      <c r="L139" s="144">
        <f t="shared" si="24"/>
        <v>0</v>
      </c>
    </row>
    <row r="140" spans="1:12" ht="14.25" customHeight="1">
      <c r="A140" s="142">
        <f>WP_상세!A137</f>
        <v>133</v>
      </c>
      <c r="B140" s="142" t="str">
        <f>WP_상세!B137</f>
        <v>MLE.2</v>
      </c>
      <c r="C140" s="142" t="str">
        <f>WP_상세!F137</f>
        <v>ML Architecture / ML 아키텍처 설계서</v>
      </c>
      <c r="D140" s="142" t="str">
        <f>WP_상세!G137</f>
        <v>M-Car</v>
      </c>
      <c r="E140" s="142" t="str">
        <f>WP_상세!H137</f>
        <v>Discrete</v>
      </c>
      <c r="F140" s="142" t="str">
        <f>WP_상세!I137</f>
        <v>Y</v>
      </c>
      <c r="G140" s="143">
        <f>WP_상세!J137</f>
        <v>0.4</v>
      </c>
      <c r="H140" s="144">
        <f t="shared" si="20"/>
        <v>0.52</v>
      </c>
      <c r="I140" s="144">
        <f t="shared" si="21"/>
        <v>0.12</v>
      </c>
      <c r="J140" s="144">
        <f t="shared" si="22"/>
        <v>0.12</v>
      </c>
      <c r="K140" s="144">
        <f t="shared" si="23"/>
        <v>0.12</v>
      </c>
      <c r="L140" s="144">
        <f t="shared" si="24"/>
        <v>0.12</v>
      </c>
    </row>
    <row r="141" spans="1:12" ht="14.25" customHeight="1">
      <c r="A141" s="142">
        <f>WP_상세!A138</f>
        <v>134</v>
      </c>
      <c r="B141" s="142" t="str">
        <f>WP_상세!B138</f>
        <v>MLE.2</v>
      </c>
      <c r="C141" s="142" t="str">
        <f>WP_상세!F138</f>
        <v>ML Architecture / 하이퍼파라미터 범위/초기값 정의서</v>
      </c>
      <c r="D141" s="142" t="str">
        <f>WP_상세!G138</f>
        <v>M-Car</v>
      </c>
      <c r="E141" s="142" t="str">
        <f>WP_상세!H138</f>
        <v>Discrete</v>
      </c>
      <c r="F141" s="142" t="str">
        <f>WP_상세!I138</f>
        <v>Y</v>
      </c>
      <c r="G141" s="143">
        <f>WP_상세!J138</f>
        <v>0.4</v>
      </c>
      <c r="H141" s="144">
        <f t="shared" si="20"/>
        <v>0.52</v>
      </c>
      <c r="I141" s="144">
        <f t="shared" si="21"/>
        <v>0.12</v>
      </c>
      <c r="J141" s="144">
        <f t="shared" si="22"/>
        <v>0.12</v>
      </c>
      <c r="K141" s="144">
        <f t="shared" si="23"/>
        <v>0.12</v>
      </c>
      <c r="L141" s="144">
        <f t="shared" si="24"/>
        <v>0.12</v>
      </c>
    </row>
    <row r="142" spans="1:12" ht="14.25" customHeight="1">
      <c r="A142" s="142">
        <f>WP_상세!A139</f>
        <v>135</v>
      </c>
      <c r="B142" s="142" t="str">
        <f>WP_상세!B139</f>
        <v>MLE.2</v>
      </c>
      <c r="C142" s="142" t="str">
        <f>WP_상세!F139</f>
        <v>Analysis Results / ML 아키텍처 요소 분석서</v>
      </c>
      <c r="D142" s="142" t="str">
        <f>WP_상세!G139</f>
        <v>M-Car</v>
      </c>
      <c r="E142" s="142" t="str">
        <f>WP_상세!H139</f>
        <v>Discrete</v>
      </c>
      <c r="F142" s="142" t="str">
        <f>WP_상세!I139</f>
        <v>N</v>
      </c>
      <c r="G142" s="143">
        <f>WP_상세!J139</f>
        <v>1</v>
      </c>
      <c r="H142" s="144">
        <f t="shared" si="20"/>
        <v>1</v>
      </c>
      <c r="I142" s="144">
        <f t="shared" si="21"/>
        <v>0</v>
      </c>
      <c r="J142" s="144">
        <f t="shared" si="22"/>
        <v>0</v>
      </c>
      <c r="K142" s="144">
        <f t="shared" si="23"/>
        <v>0</v>
      </c>
      <c r="L142" s="144">
        <f t="shared" si="24"/>
        <v>0</v>
      </c>
    </row>
    <row r="143" spans="1:12" ht="14.25" customHeight="1">
      <c r="A143" s="142">
        <f>WP_상세!A140</f>
        <v>136</v>
      </c>
      <c r="B143" s="142" t="str">
        <f>WP_상세!B140</f>
        <v>MLE.2</v>
      </c>
      <c r="C143" s="142" t="str">
        <f>WP_상세!F140</f>
        <v>ML Architecture / ML 아키텍처 요소 인터페이스 정의서</v>
      </c>
      <c r="D143" s="142" t="str">
        <f>WP_상세!G140</f>
        <v>M-Car</v>
      </c>
      <c r="E143" s="142" t="str">
        <f>WP_상세!H140</f>
        <v>Discrete</v>
      </c>
      <c r="F143" s="142" t="str">
        <f>WP_상세!I140</f>
        <v>Y</v>
      </c>
      <c r="G143" s="143">
        <f>WP_상세!J140</f>
        <v>0.4</v>
      </c>
      <c r="H143" s="144">
        <f t="shared" si="20"/>
        <v>0.52</v>
      </c>
      <c r="I143" s="144">
        <f t="shared" si="21"/>
        <v>0.12</v>
      </c>
      <c r="J143" s="144">
        <f t="shared" si="22"/>
        <v>0.12</v>
      </c>
      <c r="K143" s="144">
        <f t="shared" si="23"/>
        <v>0.12</v>
      </c>
      <c r="L143" s="144">
        <f t="shared" si="24"/>
        <v>0.12</v>
      </c>
    </row>
    <row r="144" spans="1:12" ht="14.25" customHeight="1">
      <c r="A144" s="142">
        <f>WP_상세!A141</f>
        <v>137</v>
      </c>
      <c r="B144" s="142" t="str">
        <f>WP_상세!B141</f>
        <v>MLE.2</v>
      </c>
      <c r="C144" s="142" t="str">
        <f>WP_상세!F141</f>
        <v>ML Architecture / ML 아키텍처 자원소비 목표 정의서</v>
      </c>
      <c r="D144" s="142" t="str">
        <f>WP_상세!G141</f>
        <v>M-Car</v>
      </c>
      <c r="E144" s="142" t="str">
        <f>WP_상세!H141</f>
        <v>Discrete</v>
      </c>
      <c r="F144" s="142" t="str">
        <f>WP_상세!I141</f>
        <v>Y</v>
      </c>
      <c r="G144" s="143">
        <f>WP_상세!J141</f>
        <v>0.4</v>
      </c>
      <c r="H144" s="144">
        <f t="shared" si="20"/>
        <v>0.52</v>
      </c>
      <c r="I144" s="144">
        <f t="shared" si="21"/>
        <v>0.12</v>
      </c>
      <c r="J144" s="144">
        <f t="shared" si="22"/>
        <v>0.12</v>
      </c>
      <c r="K144" s="144">
        <f t="shared" si="23"/>
        <v>0.12</v>
      </c>
      <c r="L144" s="144">
        <f t="shared" si="24"/>
        <v>0.12</v>
      </c>
    </row>
    <row r="145" spans="1:12" ht="14.25" customHeight="1">
      <c r="A145" s="142">
        <f>WP_상세!A142</f>
        <v>138</v>
      </c>
      <c r="B145" s="142" t="str">
        <f>WP_상세!B142</f>
        <v>MLE.2</v>
      </c>
      <c r="C145" s="142" t="str">
        <f>WP_상세!F142</f>
        <v>Consistency Evidence / ML아키텍처-ML요구사항 추적성 매트릭스</v>
      </c>
      <c r="D145" s="142" t="str">
        <f>WP_상세!G142</f>
        <v>M-Car</v>
      </c>
      <c r="E145" s="142" t="str">
        <f>WP_상세!H142</f>
        <v>Discrete</v>
      </c>
      <c r="F145" s="142" t="str">
        <f>WP_상세!I142</f>
        <v>N</v>
      </c>
      <c r="G145" s="143">
        <f>WP_상세!J142</f>
        <v>1</v>
      </c>
      <c r="H145" s="144">
        <f t="shared" si="20"/>
        <v>1</v>
      </c>
      <c r="I145" s="144">
        <f t="shared" si="21"/>
        <v>0</v>
      </c>
      <c r="J145" s="144">
        <f t="shared" si="22"/>
        <v>0</v>
      </c>
      <c r="K145" s="144">
        <f t="shared" si="23"/>
        <v>0</v>
      </c>
      <c r="L145" s="144">
        <f t="shared" si="24"/>
        <v>0</v>
      </c>
    </row>
    <row r="146" spans="1:12" ht="14.25" customHeight="1">
      <c r="A146" s="142">
        <f>WP_상세!A143</f>
        <v>139</v>
      </c>
      <c r="B146" s="142" t="str">
        <f>WP_상세!B143</f>
        <v>MLE.2</v>
      </c>
      <c r="C146" s="142" t="str">
        <f>WP_상세!F143</f>
        <v>Communication Evidence / 합의된 ML 아키텍처 공유기록</v>
      </c>
      <c r="D146" s="142" t="str">
        <f>WP_상세!G143</f>
        <v>M-Car</v>
      </c>
      <c r="E146" s="142" t="str">
        <f>WP_상세!H143</f>
        <v>Discrete</v>
      </c>
      <c r="F146" s="142" t="str">
        <f>WP_상세!I143</f>
        <v>N</v>
      </c>
      <c r="G146" s="143">
        <f>WP_상세!J143</f>
        <v>1</v>
      </c>
      <c r="H146" s="144">
        <f t="shared" si="20"/>
        <v>1</v>
      </c>
      <c r="I146" s="144">
        <f t="shared" si="21"/>
        <v>0</v>
      </c>
      <c r="J146" s="144">
        <f t="shared" si="22"/>
        <v>0</v>
      </c>
      <c r="K146" s="144">
        <f t="shared" si="23"/>
        <v>0</v>
      </c>
      <c r="L146" s="144">
        <f t="shared" si="24"/>
        <v>0</v>
      </c>
    </row>
    <row r="147" spans="1:12" ht="14.25" customHeight="1">
      <c r="A147" s="142">
        <f>WP_상세!A144</f>
        <v>140</v>
      </c>
      <c r="B147" s="142" t="str">
        <f>WP_상세!B144</f>
        <v>MLE.3</v>
      </c>
      <c r="C147" s="142" t="str">
        <f>WP_상세!F144</f>
        <v>ML Training Approach / ML 훈련/검증 접근방식서</v>
      </c>
      <c r="D147" s="142" t="str">
        <f>WP_상세!G144</f>
        <v>Proto</v>
      </c>
      <c r="E147" s="142" t="str">
        <f>WP_상세!H144</f>
        <v>Discrete</v>
      </c>
      <c r="F147" s="142" t="str">
        <f>WP_상세!I144</f>
        <v>N</v>
      </c>
      <c r="G147" s="143">
        <f>WP_상세!J144</f>
        <v>1</v>
      </c>
      <c r="H147" s="144">
        <f t="shared" si="20"/>
        <v>0</v>
      </c>
      <c r="I147" s="144">
        <f t="shared" si="21"/>
        <v>1</v>
      </c>
      <c r="J147" s="144">
        <f t="shared" si="22"/>
        <v>0</v>
      </c>
      <c r="K147" s="144">
        <f t="shared" si="23"/>
        <v>0</v>
      </c>
      <c r="L147" s="144">
        <f t="shared" si="24"/>
        <v>0</v>
      </c>
    </row>
    <row r="148" spans="1:12" ht="14.25" customHeight="1">
      <c r="A148" s="142">
        <f>WP_상세!A145</f>
        <v>141</v>
      </c>
      <c r="B148" s="142" t="str">
        <f>WP_상세!B145</f>
        <v>MLE.3</v>
      </c>
      <c r="C148" s="142" t="str">
        <f>WP_상세!F145</f>
        <v>ML Training/Validation Data Set / ML 훈련/검증 데이터셋</v>
      </c>
      <c r="D148" s="142" t="str">
        <f>WP_상세!G145</f>
        <v>Proto</v>
      </c>
      <c r="E148" s="142" t="str">
        <f>WP_상세!H145</f>
        <v>Discrete</v>
      </c>
      <c r="F148" s="142" t="str">
        <f>WP_상세!I145</f>
        <v>N</v>
      </c>
      <c r="G148" s="143">
        <f>WP_상세!J145</f>
        <v>1</v>
      </c>
      <c r="H148" s="144">
        <f t="shared" si="20"/>
        <v>0</v>
      </c>
      <c r="I148" s="144">
        <f t="shared" si="21"/>
        <v>1</v>
      </c>
      <c r="J148" s="144">
        <f t="shared" si="22"/>
        <v>0</v>
      </c>
      <c r="K148" s="144">
        <f t="shared" si="23"/>
        <v>0</v>
      </c>
      <c r="L148" s="144">
        <f t="shared" si="24"/>
        <v>0</v>
      </c>
    </row>
    <row r="149" spans="1:12" ht="14.25" customHeight="1">
      <c r="A149" s="142">
        <f>WP_상세!A146</f>
        <v>142</v>
      </c>
      <c r="B149" s="142" t="str">
        <f>WP_상세!B146</f>
        <v>MLE.3</v>
      </c>
      <c r="C149" s="142" t="str">
        <f>WP_상세!F146</f>
        <v>ML Model / ML 모델(생성/최적화)</v>
      </c>
      <c r="D149" s="142" t="str">
        <f>WP_상세!G146</f>
        <v>P1</v>
      </c>
      <c r="E149" s="142" t="str">
        <f>WP_상세!H146</f>
        <v>Discrete</v>
      </c>
      <c r="F149" s="142" t="str">
        <f>WP_상세!I146</f>
        <v>N</v>
      </c>
      <c r="G149" s="143">
        <f>WP_상세!J146</f>
        <v>1</v>
      </c>
      <c r="H149" s="144">
        <f t="shared" si="20"/>
        <v>0</v>
      </c>
      <c r="I149" s="144">
        <f t="shared" si="21"/>
        <v>0</v>
      </c>
      <c r="J149" s="144">
        <f t="shared" si="22"/>
        <v>1</v>
      </c>
      <c r="K149" s="144">
        <f t="shared" si="23"/>
        <v>0</v>
      </c>
      <c r="L149" s="144">
        <f t="shared" si="24"/>
        <v>0</v>
      </c>
    </row>
    <row r="150" spans="1:12" ht="14.25" customHeight="1">
      <c r="A150" s="142">
        <f>WP_상세!A147</f>
        <v>143</v>
      </c>
      <c r="B150" s="142" t="str">
        <f>WP_상세!B147</f>
        <v>MLE.3</v>
      </c>
      <c r="C150" s="142" t="str">
        <f>WP_상세!F147</f>
        <v>Consistency Evidence / ML모델-요구사항/아키텍처 추적성 매트릭스</v>
      </c>
      <c r="D150" s="142" t="str">
        <f>WP_상세!G147</f>
        <v>P1</v>
      </c>
      <c r="E150" s="142" t="str">
        <f>WP_상세!H147</f>
        <v>Discrete</v>
      </c>
      <c r="F150" s="142" t="str">
        <f>WP_상세!I147</f>
        <v>N</v>
      </c>
      <c r="G150" s="143">
        <f>WP_상세!J147</f>
        <v>1</v>
      </c>
      <c r="H150" s="144">
        <f t="shared" si="20"/>
        <v>0</v>
      </c>
      <c r="I150" s="144">
        <f t="shared" si="21"/>
        <v>0</v>
      </c>
      <c r="J150" s="144">
        <f t="shared" si="22"/>
        <v>1</v>
      </c>
      <c r="K150" s="144">
        <f t="shared" si="23"/>
        <v>0</v>
      </c>
      <c r="L150" s="144">
        <f t="shared" si="24"/>
        <v>0</v>
      </c>
    </row>
    <row r="151" spans="1:12" ht="14.25" customHeight="1">
      <c r="A151" s="142">
        <f>WP_상세!A148</f>
        <v>144</v>
      </c>
      <c r="B151" s="142" t="str">
        <f>WP_상세!B148</f>
        <v>MLE.3</v>
      </c>
      <c r="C151" s="142" t="str">
        <f>WP_상세!F148</f>
        <v>Communication Evidence / 합의된 훈련완료 ML모델 요약공유기록</v>
      </c>
      <c r="D151" s="142" t="str">
        <f>WP_상세!G148</f>
        <v>P1</v>
      </c>
      <c r="E151" s="142" t="str">
        <f>WP_상세!H148</f>
        <v>Discrete</v>
      </c>
      <c r="F151" s="142" t="str">
        <f>WP_상세!I148</f>
        <v>N</v>
      </c>
      <c r="G151" s="143">
        <f>WP_상세!J148</f>
        <v>1</v>
      </c>
      <c r="H151" s="144">
        <f t="shared" si="20"/>
        <v>0</v>
      </c>
      <c r="I151" s="144">
        <f t="shared" si="21"/>
        <v>0</v>
      </c>
      <c r="J151" s="144">
        <f t="shared" si="22"/>
        <v>1</v>
      </c>
      <c r="K151" s="144">
        <f t="shared" si="23"/>
        <v>0</v>
      </c>
      <c r="L151" s="144">
        <f t="shared" si="24"/>
        <v>0</v>
      </c>
    </row>
    <row r="152" spans="1:12" ht="14.25" customHeight="1">
      <c r="A152" s="142">
        <f>WP_상세!A149</f>
        <v>145</v>
      </c>
      <c r="B152" s="142" t="str">
        <f>WP_상세!B149</f>
        <v>MLE.4</v>
      </c>
      <c r="C152" s="142" t="str">
        <f>WP_상세!F149</f>
        <v>ML Test Approach / ML 테스트 접근방식서</v>
      </c>
      <c r="D152" s="142" t="str">
        <f>WP_상세!G149</f>
        <v>P1</v>
      </c>
      <c r="E152" s="142" t="str">
        <f>WP_상세!H149</f>
        <v>Discrete</v>
      </c>
      <c r="F152" s="142" t="str">
        <f>WP_상세!I149</f>
        <v>N</v>
      </c>
      <c r="G152" s="143">
        <f>WP_상세!J149</f>
        <v>1</v>
      </c>
      <c r="H152" s="144">
        <f t="shared" si="20"/>
        <v>0</v>
      </c>
      <c r="I152" s="144">
        <f t="shared" si="21"/>
        <v>0</v>
      </c>
      <c r="J152" s="144">
        <f t="shared" si="22"/>
        <v>1</v>
      </c>
      <c r="K152" s="144">
        <f t="shared" si="23"/>
        <v>0</v>
      </c>
      <c r="L152" s="144">
        <f t="shared" si="24"/>
        <v>0</v>
      </c>
    </row>
    <row r="153" spans="1:12" ht="14.25" customHeight="1">
      <c r="A153" s="142">
        <f>WP_상세!A150</f>
        <v>146</v>
      </c>
      <c r="B153" s="142" t="str">
        <f>WP_상세!B150</f>
        <v>MLE.4</v>
      </c>
      <c r="C153" s="142" t="str">
        <f>WP_상세!F150</f>
        <v>ML Test Data Set / ML 테스트 데이터셋</v>
      </c>
      <c r="D153" s="142" t="str">
        <f>WP_상세!G150</f>
        <v>P1</v>
      </c>
      <c r="E153" s="142" t="str">
        <f>WP_상세!H150</f>
        <v>Discrete</v>
      </c>
      <c r="F153" s="142" t="str">
        <f>WP_상세!I150</f>
        <v>N</v>
      </c>
      <c r="G153" s="143">
        <f>WP_상세!J150</f>
        <v>1</v>
      </c>
      <c r="H153" s="144">
        <f t="shared" si="20"/>
        <v>0</v>
      </c>
      <c r="I153" s="144">
        <f t="shared" si="21"/>
        <v>0</v>
      </c>
      <c r="J153" s="144">
        <f t="shared" si="22"/>
        <v>1</v>
      </c>
      <c r="K153" s="144">
        <f t="shared" si="23"/>
        <v>0</v>
      </c>
      <c r="L153" s="144">
        <f t="shared" si="24"/>
        <v>0</v>
      </c>
    </row>
    <row r="154" spans="1:12" ht="14.25" customHeight="1">
      <c r="A154" s="142">
        <f>WP_상세!A151</f>
        <v>147</v>
      </c>
      <c r="B154" s="142" t="str">
        <f>WP_상세!B151</f>
        <v>MLE.4</v>
      </c>
      <c r="C154" s="142" t="str">
        <f>WP_상세!F151</f>
        <v>Verification Results / 훈련된 ML모델 테스트 결과서</v>
      </c>
      <c r="D154" s="142" t="str">
        <f>WP_상세!G151</f>
        <v>P1</v>
      </c>
      <c r="E154" s="142" t="str">
        <f>WP_상세!H151</f>
        <v>Discrete</v>
      </c>
      <c r="F154" s="142" t="str">
        <f>WP_상세!I151</f>
        <v>N</v>
      </c>
      <c r="G154" s="143">
        <f>WP_상세!J151</f>
        <v>1</v>
      </c>
      <c r="H154" s="144">
        <f t="shared" si="20"/>
        <v>0</v>
      </c>
      <c r="I154" s="144">
        <f t="shared" si="21"/>
        <v>0</v>
      </c>
      <c r="J154" s="144">
        <f t="shared" si="22"/>
        <v>1</v>
      </c>
      <c r="K154" s="144">
        <f t="shared" si="23"/>
        <v>0</v>
      </c>
      <c r="L154" s="144">
        <f t="shared" si="24"/>
        <v>0</v>
      </c>
    </row>
    <row r="155" spans="1:12" ht="14.25" customHeight="1">
      <c r="A155" s="142">
        <f>WP_상세!A152</f>
        <v>148</v>
      </c>
      <c r="B155" s="142" t="str">
        <f>WP_상세!B152</f>
        <v>MLE.4</v>
      </c>
      <c r="C155" s="142" t="str">
        <f>WP_상세!F152</f>
        <v>ML Model / 배포용 ML모델</v>
      </c>
      <c r="D155" s="142" t="str">
        <f>WP_상세!G152</f>
        <v>P2</v>
      </c>
      <c r="E155" s="142" t="str">
        <f>WP_상세!H152</f>
        <v>Discrete</v>
      </c>
      <c r="F155" s="142" t="str">
        <f>WP_상세!I152</f>
        <v>N</v>
      </c>
      <c r="G155" s="143">
        <f>WP_상세!J152</f>
        <v>1</v>
      </c>
      <c r="H155" s="144">
        <f t="shared" si="20"/>
        <v>0</v>
      </c>
      <c r="I155" s="144">
        <f t="shared" si="21"/>
        <v>0</v>
      </c>
      <c r="J155" s="144">
        <f t="shared" si="22"/>
        <v>0</v>
      </c>
      <c r="K155" s="144">
        <f t="shared" si="23"/>
        <v>1</v>
      </c>
      <c r="L155" s="144">
        <f t="shared" si="24"/>
        <v>0</v>
      </c>
    </row>
    <row r="156" spans="1:12" ht="14.25" customHeight="1">
      <c r="A156" s="142">
        <f>WP_상세!A153</f>
        <v>149</v>
      </c>
      <c r="B156" s="142" t="str">
        <f>WP_상세!B153</f>
        <v>MLE.4</v>
      </c>
      <c r="C156" s="142" t="str">
        <f>WP_상세!F153</f>
        <v>Verification Results / 배포된 ML모델 테스트 결과서</v>
      </c>
      <c r="D156" s="142" t="str">
        <f>WP_상세!G153</f>
        <v>P2</v>
      </c>
      <c r="E156" s="142" t="str">
        <f>WP_상세!H153</f>
        <v>Discrete</v>
      </c>
      <c r="F156" s="142" t="str">
        <f>WP_상세!I153</f>
        <v>N</v>
      </c>
      <c r="G156" s="143">
        <f>WP_상세!J153</f>
        <v>1</v>
      </c>
      <c r="H156" s="144">
        <f t="shared" si="20"/>
        <v>0</v>
      </c>
      <c r="I156" s="144">
        <f t="shared" si="21"/>
        <v>0</v>
      </c>
      <c r="J156" s="144">
        <f t="shared" si="22"/>
        <v>0</v>
      </c>
      <c r="K156" s="144">
        <f t="shared" si="23"/>
        <v>1</v>
      </c>
      <c r="L156" s="144">
        <f t="shared" si="24"/>
        <v>0</v>
      </c>
    </row>
    <row r="157" spans="1:12" ht="14.25" customHeight="1">
      <c r="A157" s="142">
        <f>WP_상세!A154</f>
        <v>150</v>
      </c>
      <c r="B157" s="142" t="str">
        <f>WP_상세!B154</f>
        <v>MLE.4</v>
      </c>
      <c r="C157" s="142" t="str">
        <f>WP_상세!F154</f>
        <v>Consistency Evidence / ML테스트-요구사항/결과 추적성 매트릭스</v>
      </c>
      <c r="D157" s="142" t="str">
        <f>WP_상세!G154</f>
        <v>P2</v>
      </c>
      <c r="E157" s="142" t="str">
        <f>WP_상세!H154</f>
        <v>Discrete</v>
      </c>
      <c r="F157" s="142" t="str">
        <f>WP_상세!I154</f>
        <v>N</v>
      </c>
      <c r="G157" s="143">
        <f>WP_상세!J154</f>
        <v>1</v>
      </c>
      <c r="H157" s="144">
        <f t="shared" si="20"/>
        <v>0</v>
      </c>
      <c r="I157" s="144">
        <f t="shared" si="21"/>
        <v>0</v>
      </c>
      <c r="J157" s="144">
        <f t="shared" si="22"/>
        <v>0</v>
      </c>
      <c r="K157" s="144">
        <f t="shared" si="23"/>
        <v>1</v>
      </c>
      <c r="L157" s="144">
        <f t="shared" si="24"/>
        <v>0</v>
      </c>
    </row>
    <row r="158" spans="1:12" ht="14.25" customHeight="1">
      <c r="A158" s="142">
        <f>WP_상세!A155</f>
        <v>151</v>
      </c>
      <c r="B158" s="142" t="str">
        <f>WP_상세!B155</f>
        <v>MLE.4</v>
      </c>
      <c r="C158" s="142" t="str">
        <f>WP_상세!F155</f>
        <v>Communication Evidence / ML모델 테스트결과 요약보고서</v>
      </c>
      <c r="D158" s="142" t="str">
        <f>WP_상세!G155</f>
        <v>P2</v>
      </c>
      <c r="E158" s="142" t="str">
        <f>WP_상세!H155</f>
        <v>Discrete</v>
      </c>
      <c r="F158" s="142" t="str">
        <f>WP_상세!I155</f>
        <v>N</v>
      </c>
      <c r="G158" s="143">
        <f>WP_상세!J155</f>
        <v>1</v>
      </c>
      <c r="H158" s="144">
        <f t="shared" si="20"/>
        <v>0</v>
      </c>
      <c r="I158" s="144">
        <f t="shared" si="21"/>
        <v>0</v>
      </c>
      <c r="J158" s="144">
        <f t="shared" si="22"/>
        <v>0</v>
      </c>
      <c r="K158" s="144">
        <f t="shared" si="23"/>
        <v>1</v>
      </c>
      <c r="L158" s="144">
        <f t="shared" si="24"/>
        <v>0</v>
      </c>
    </row>
    <row r="159" spans="1:12" ht="14.25" customHeight="1">
      <c r="A159" s="142">
        <f>WP_상세!A156</f>
        <v>152</v>
      </c>
      <c r="B159" s="142" t="str">
        <f>WP_상세!B156</f>
        <v>HWE.1</v>
      </c>
      <c r="C159" s="142" t="str">
        <f>WP_상세!F156</f>
        <v>Requirement / 하드웨어 요구사항 명세서</v>
      </c>
      <c r="D159" s="142" t="str">
        <f>WP_상세!G156</f>
        <v>M-Car</v>
      </c>
      <c r="E159" s="142" t="str">
        <f>WP_상세!H156</f>
        <v>Discrete</v>
      </c>
      <c r="F159" s="142" t="str">
        <f>WP_상세!I156</f>
        <v>Y</v>
      </c>
      <c r="G159" s="143">
        <f>WP_상세!J156</f>
        <v>0.4</v>
      </c>
      <c r="H159" s="144">
        <f t="shared" si="20"/>
        <v>0.52</v>
      </c>
      <c r="I159" s="144">
        <f t="shared" si="21"/>
        <v>0.12</v>
      </c>
      <c r="J159" s="144">
        <f t="shared" si="22"/>
        <v>0.12</v>
      </c>
      <c r="K159" s="144">
        <f t="shared" si="23"/>
        <v>0.12</v>
      </c>
      <c r="L159" s="144">
        <f t="shared" si="24"/>
        <v>0.12</v>
      </c>
    </row>
    <row r="160" spans="1:12" ht="14.25" customHeight="1">
      <c r="A160" s="142">
        <f>WP_상세!A157</f>
        <v>153</v>
      </c>
      <c r="B160" s="142" t="str">
        <f>WP_상세!B157</f>
        <v>HWE.1</v>
      </c>
      <c r="C160" s="142" t="str">
        <f>WP_상세!F157</f>
        <v>Requirement Attribute / 하드웨어 요구사항 구조화 문서</v>
      </c>
      <c r="D160" s="142" t="str">
        <f>WP_상세!G157</f>
        <v>M-Car</v>
      </c>
      <c r="E160" s="142" t="str">
        <f>WP_상세!H157</f>
        <v>Discrete</v>
      </c>
      <c r="F160" s="142" t="str">
        <f>WP_상세!I157</f>
        <v>Y</v>
      </c>
      <c r="G160" s="143">
        <f>WP_상세!J157</f>
        <v>0.4</v>
      </c>
      <c r="H160" s="144">
        <f t="shared" si="20"/>
        <v>0.52</v>
      </c>
      <c r="I160" s="144">
        <f t="shared" si="21"/>
        <v>0.12</v>
      </c>
      <c r="J160" s="144">
        <f t="shared" si="22"/>
        <v>0.12</v>
      </c>
      <c r="K160" s="144">
        <f t="shared" si="23"/>
        <v>0.12</v>
      </c>
      <c r="L160" s="144">
        <f t="shared" si="24"/>
        <v>0.12</v>
      </c>
    </row>
    <row r="161" spans="1:12" ht="14.25" customHeight="1">
      <c r="A161" s="142">
        <f>WP_상세!A158</f>
        <v>154</v>
      </c>
      <c r="B161" s="142" t="str">
        <f>WP_상세!B158</f>
        <v>HWE.1</v>
      </c>
      <c r="C161" s="142" t="str">
        <f>WP_상세!F158</f>
        <v>Analysis Results / 하드웨어 요구사항 분석서</v>
      </c>
      <c r="D161" s="142" t="str">
        <f>WP_상세!G158</f>
        <v>M-Car</v>
      </c>
      <c r="E161" s="142" t="str">
        <f>WP_상세!H158</f>
        <v>Discrete</v>
      </c>
      <c r="F161" s="142" t="str">
        <f>WP_상세!I158</f>
        <v>N</v>
      </c>
      <c r="G161" s="143">
        <f>WP_상세!J158</f>
        <v>1</v>
      </c>
      <c r="H161" s="144">
        <f t="shared" si="20"/>
        <v>1</v>
      </c>
      <c r="I161" s="144">
        <f t="shared" si="21"/>
        <v>0</v>
      </c>
      <c r="J161" s="144">
        <f t="shared" si="22"/>
        <v>0</v>
      </c>
      <c r="K161" s="144">
        <f t="shared" si="23"/>
        <v>0</v>
      </c>
      <c r="L161" s="144">
        <f t="shared" si="24"/>
        <v>0</v>
      </c>
    </row>
    <row r="162" spans="1:12" ht="14.25" customHeight="1">
      <c r="A162" s="142">
        <f>WP_상세!A159</f>
        <v>155</v>
      </c>
      <c r="B162" s="142" t="str">
        <f>WP_상세!B159</f>
        <v>HWE.1</v>
      </c>
      <c r="C162" s="142" t="str">
        <f>WP_상세!F159</f>
        <v>Analysis Results / 운영환경 영향분석서</v>
      </c>
      <c r="D162" s="142" t="str">
        <f>WP_상세!G159</f>
        <v>M-Car</v>
      </c>
      <c r="E162" s="142" t="str">
        <f>WP_상세!H159</f>
        <v>Discrete</v>
      </c>
      <c r="F162" s="142" t="str">
        <f>WP_상세!I159</f>
        <v>N</v>
      </c>
      <c r="G162" s="143">
        <f>WP_상세!J159</f>
        <v>1</v>
      </c>
      <c r="H162" s="144">
        <f t="shared" si="20"/>
        <v>1</v>
      </c>
      <c r="I162" s="144">
        <f t="shared" si="21"/>
        <v>0</v>
      </c>
      <c r="J162" s="144">
        <f t="shared" si="22"/>
        <v>0</v>
      </c>
      <c r="K162" s="144">
        <f t="shared" si="23"/>
        <v>0</v>
      </c>
      <c r="L162" s="144">
        <f t="shared" si="24"/>
        <v>0</v>
      </c>
    </row>
    <row r="163" spans="1:12" ht="14.25" customHeight="1">
      <c r="A163" s="142">
        <f>WP_상세!A160</f>
        <v>156</v>
      </c>
      <c r="B163" s="142" t="str">
        <f>WP_상세!B160</f>
        <v>HWE.1</v>
      </c>
      <c r="C163" s="142" t="str">
        <f>WP_상세!F160</f>
        <v>Consistency Evidence / HW요구사항-시스템요구사항 추적성 매트릭스</v>
      </c>
      <c r="D163" s="142" t="str">
        <f>WP_상세!G160</f>
        <v>M-Car</v>
      </c>
      <c r="E163" s="142" t="str">
        <f>WP_상세!H160</f>
        <v>Discrete</v>
      </c>
      <c r="F163" s="142" t="str">
        <f>WP_상세!I160</f>
        <v>N</v>
      </c>
      <c r="G163" s="143">
        <f>WP_상세!J160</f>
        <v>1</v>
      </c>
      <c r="H163" s="144">
        <f t="shared" si="20"/>
        <v>1</v>
      </c>
      <c r="I163" s="144">
        <f t="shared" si="21"/>
        <v>0</v>
      </c>
      <c r="J163" s="144">
        <f t="shared" si="22"/>
        <v>0</v>
      </c>
      <c r="K163" s="144">
        <f t="shared" si="23"/>
        <v>0</v>
      </c>
      <c r="L163" s="144">
        <f t="shared" si="24"/>
        <v>0</v>
      </c>
    </row>
    <row r="164" spans="1:12" ht="14.25" customHeight="1">
      <c r="A164" s="142">
        <f>WP_상세!A161</f>
        <v>157</v>
      </c>
      <c r="B164" s="142" t="str">
        <f>WP_상세!B161</f>
        <v>HWE.1</v>
      </c>
      <c r="C164" s="142" t="str">
        <f>WP_상세!F161</f>
        <v>Communication Evidence / 합의된 하드웨어 요구사항 공유기록</v>
      </c>
      <c r="D164" s="142" t="str">
        <f>WP_상세!G161</f>
        <v>M-Car</v>
      </c>
      <c r="E164" s="142" t="str">
        <f>WP_상세!H161</f>
        <v>Discrete</v>
      </c>
      <c r="F164" s="142" t="str">
        <f>WP_상세!I161</f>
        <v>N</v>
      </c>
      <c r="G164" s="143">
        <f>WP_상세!J161</f>
        <v>1</v>
      </c>
      <c r="H164" s="144">
        <f t="shared" si="20"/>
        <v>1</v>
      </c>
      <c r="I164" s="144">
        <f t="shared" si="21"/>
        <v>0</v>
      </c>
      <c r="J164" s="144">
        <f t="shared" si="22"/>
        <v>0</v>
      </c>
      <c r="K164" s="144">
        <f t="shared" si="23"/>
        <v>0</v>
      </c>
      <c r="L164" s="144">
        <f t="shared" si="24"/>
        <v>0</v>
      </c>
    </row>
    <row r="165" spans="1:12" ht="14.25" customHeight="1">
      <c r="A165" s="142">
        <f>WP_상세!A162</f>
        <v>158</v>
      </c>
      <c r="B165" s="142" t="str">
        <f>WP_상세!B162</f>
        <v>HWE.2</v>
      </c>
      <c r="C165" s="142" t="str">
        <f>WP_상세!F162</f>
        <v>Hardware Architecture / 하드웨어 아키텍처 설계서</v>
      </c>
      <c r="D165" s="142" t="str">
        <f>WP_상세!G162</f>
        <v>M-Car</v>
      </c>
      <c r="E165" s="142" t="str">
        <f>WP_상세!H162</f>
        <v>Discrete</v>
      </c>
      <c r="F165" s="142" t="str">
        <f>WP_상세!I162</f>
        <v>Y</v>
      </c>
      <c r="G165" s="143">
        <f>WP_상세!J162</f>
        <v>0.4</v>
      </c>
      <c r="H165" s="144">
        <f t="shared" si="20"/>
        <v>0.52</v>
      </c>
      <c r="I165" s="144">
        <f t="shared" si="21"/>
        <v>0.12</v>
      </c>
      <c r="J165" s="144">
        <f t="shared" si="22"/>
        <v>0.12</v>
      </c>
      <c r="K165" s="144">
        <f t="shared" si="23"/>
        <v>0.12</v>
      </c>
      <c r="L165" s="144">
        <f t="shared" si="24"/>
        <v>0.12</v>
      </c>
    </row>
    <row r="166" spans="1:12" ht="14.25" customHeight="1">
      <c r="A166" s="142">
        <f>WP_상세!A163</f>
        <v>159</v>
      </c>
      <c r="B166" s="142" t="str">
        <f>WP_상세!B163</f>
        <v>HWE.2</v>
      </c>
      <c r="C166" s="142" t="str">
        <f>WP_상세!F163</f>
        <v>Hardware Detailed Design / 하드웨어 상세설계서</v>
      </c>
      <c r="D166" s="142" t="str">
        <f>WP_상세!G163</f>
        <v>M-Car</v>
      </c>
      <c r="E166" s="142" t="str">
        <f>WP_상세!H163</f>
        <v>Discrete</v>
      </c>
      <c r="F166" s="142" t="str">
        <f>WP_상세!I163</f>
        <v>Y</v>
      </c>
      <c r="G166" s="143">
        <f>WP_상세!J163</f>
        <v>0.4</v>
      </c>
      <c r="H166" s="144">
        <f t="shared" si="20"/>
        <v>0.52</v>
      </c>
      <c r="I166" s="144">
        <f t="shared" si="21"/>
        <v>0.12</v>
      </c>
      <c r="J166" s="144">
        <f t="shared" si="22"/>
        <v>0.12</v>
      </c>
      <c r="K166" s="144">
        <f t="shared" si="23"/>
        <v>0.12</v>
      </c>
      <c r="L166" s="144">
        <f t="shared" si="24"/>
        <v>0.12</v>
      </c>
    </row>
    <row r="167" spans="1:12" ht="14.25" customHeight="1">
      <c r="A167" s="142">
        <f>WP_상세!A164</f>
        <v>160</v>
      </c>
      <c r="B167" s="142" t="str">
        <f>WP_상세!B164</f>
        <v>HWE.2</v>
      </c>
      <c r="C167" s="142" t="str">
        <f>WP_상세!F164</f>
        <v>Hardware Architecture / 하드웨어 동적측면 설계서</v>
      </c>
      <c r="D167" s="142" t="str">
        <f>WP_상세!G164</f>
        <v>M-Car</v>
      </c>
      <c r="E167" s="142" t="str">
        <f>WP_상세!H164</f>
        <v>Discrete</v>
      </c>
      <c r="F167" s="142" t="str">
        <f>WP_상세!I164</f>
        <v>Y</v>
      </c>
      <c r="G167" s="143">
        <f>WP_상세!J164</f>
        <v>0.4</v>
      </c>
      <c r="H167" s="144">
        <f t="shared" si="20"/>
        <v>0.52</v>
      </c>
      <c r="I167" s="144">
        <f t="shared" si="21"/>
        <v>0.12</v>
      </c>
      <c r="J167" s="144">
        <f t="shared" si="22"/>
        <v>0.12</v>
      </c>
      <c r="K167" s="144">
        <f t="shared" si="23"/>
        <v>0.12</v>
      </c>
      <c r="L167" s="144">
        <f t="shared" si="24"/>
        <v>0.12</v>
      </c>
    </row>
    <row r="168" spans="1:12" ht="14.25" customHeight="1">
      <c r="A168" s="142">
        <f>WP_상세!A165</f>
        <v>161</v>
      </c>
      <c r="B168" s="142" t="str">
        <f>WP_상세!B165</f>
        <v>HWE.2</v>
      </c>
      <c r="C168" s="142" t="str">
        <f>WP_상세!F165</f>
        <v>Analysis Results / 하드웨어 아키텍처/상세설계 분석서</v>
      </c>
      <c r="D168" s="142" t="str">
        <f>WP_상세!G165</f>
        <v>M-Car</v>
      </c>
      <c r="E168" s="142" t="str">
        <f>WP_상세!H165</f>
        <v>Discrete</v>
      </c>
      <c r="F168" s="142" t="str">
        <f>WP_상세!I165</f>
        <v>N</v>
      </c>
      <c r="G168" s="143">
        <f>WP_상세!J165</f>
        <v>1</v>
      </c>
      <c r="H168" s="144">
        <f t="shared" ref="H168:H182" si="25">IFERROR(IF($E168&lt;&gt;"Discrete",0,IF(1&lt;MATCH($D168,$B$4:$F$4,0),0,IF($F168&lt;&gt;"Y",IF(1=MATCH($D168,$B$4:$F$4,0),1,0),IF(1=MATCH($D168,$B$4:$F$4,0),$G168+(1-$G168)/(5-MATCH($D168,$B$4:$F$4,0)+1),(1-$G168)/(5-MATCH($D168,$B$4:$F$4,0)+1))))),0)</f>
        <v>1</v>
      </c>
      <c r="I168" s="144">
        <f t="shared" ref="I168:I182" si="26">IFERROR(IF($E168&lt;&gt;"Discrete",0,IF(2&lt;MATCH($D168,$B$4:$F$4,0),0,IF($F168&lt;&gt;"Y",IF(2=MATCH($D168,$B$4:$F$4,0),1,0),IF(2=MATCH($D168,$B$4:$F$4,0),$G168+(1-$G168)/(5-MATCH($D168,$B$4:$F$4,0)+1),(1-$G168)/(5-MATCH($D168,$B$4:$F$4,0)+1))))),0)</f>
        <v>0</v>
      </c>
      <c r="J168" s="144">
        <f t="shared" ref="J168:J182" si="27">IFERROR(IF($E168&lt;&gt;"Discrete",0,IF(3&lt;MATCH($D168,$B$4:$F$4,0),0,IF($F168&lt;&gt;"Y",IF(3=MATCH($D168,$B$4:$F$4,0),1,0),IF(3=MATCH($D168,$B$4:$F$4,0),$G168+(1-$G168)/(5-MATCH($D168,$B$4:$F$4,0)+1),(1-$G168)/(5-MATCH($D168,$B$4:$F$4,0)+1))))),0)</f>
        <v>0</v>
      </c>
      <c r="K168" s="144">
        <f t="shared" ref="K168:K182" si="28">IFERROR(IF($E168&lt;&gt;"Discrete",0,IF(4&lt;MATCH($D168,$B$4:$F$4,0),0,IF($F168&lt;&gt;"Y",IF(4=MATCH($D168,$B$4:$F$4,0),1,0),IF(4=MATCH($D168,$B$4:$F$4,0),$G168+(1-$G168)/(5-MATCH($D168,$B$4:$F$4,0)+1),(1-$G168)/(5-MATCH($D168,$B$4:$F$4,0)+1))))),0)</f>
        <v>0</v>
      </c>
      <c r="L168" s="144">
        <f t="shared" ref="L168:L182" si="29">IFERROR(IF($E168&lt;&gt;"Discrete",0,IF(5&lt;MATCH($D168,$B$4:$F$4,0),0,IF($F168&lt;&gt;"Y",IF(5=MATCH($D168,$B$4:$F$4,0),1,0),IF(5=MATCH($D168,$B$4:$F$4,0),$G168+(1-$G168)/(5-MATCH($D168,$B$4:$F$4,0)+1),(1-$G168)/(5-MATCH($D168,$B$4:$F$4,0)+1))))),0)</f>
        <v>0</v>
      </c>
    </row>
    <row r="169" spans="1:12" ht="14.25" customHeight="1">
      <c r="A169" s="142">
        <f>WP_상세!A166</f>
        <v>162</v>
      </c>
      <c r="B169" s="142" t="str">
        <f>WP_상세!B166</f>
        <v>HWE.2</v>
      </c>
      <c r="C169" s="142" t="str">
        <f>WP_상세!F166</f>
        <v>Consistency Evidence / HW설계-HW요구사항 추적성 매트릭스</v>
      </c>
      <c r="D169" s="142" t="str">
        <f>WP_상세!G166</f>
        <v>M-Car</v>
      </c>
      <c r="E169" s="142" t="str">
        <f>WP_상세!H166</f>
        <v>Discrete</v>
      </c>
      <c r="F169" s="142" t="str">
        <f>WP_상세!I166</f>
        <v>N</v>
      </c>
      <c r="G169" s="143">
        <f>WP_상세!J166</f>
        <v>1</v>
      </c>
      <c r="H169" s="144">
        <f t="shared" si="25"/>
        <v>1</v>
      </c>
      <c r="I169" s="144">
        <f t="shared" si="26"/>
        <v>0</v>
      </c>
      <c r="J169" s="144">
        <f t="shared" si="27"/>
        <v>0</v>
      </c>
      <c r="K169" s="144">
        <f t="shared" si="28"/>
        <v>0</v>
      </c>
      <c r="L169" s="144">
        <f t="shared" si="29"/>
        <v>0</v>
      </c>
    </row>
    <row r="170" spans="1:12" ht="14.25" customHeight="1">
      <c r="A170" s="142">
        <f>WP_상세!A167</f>
        <v>163</v>
      </c>
      <c r="B170" s="142" t="str">
        <f>WP_상세!B167</f>
        <v>HWE.2</v>
      </c>
      <c r="C170" s="142" t="str">
        <f>WP_상세!F167</f>
        <v>Communication Evidence / 합의된 HW아키텍처/상세설계 공유기록</v>
      </c>
      <c r="D170" s="142" t="str">
        <f>WP_상세!G167</f>
        <v>M-Car</v>
      </c>
      <c r="E170" s="142" t="str">
        <f>WP_상세!H167</f>
        <v>Discrete</v>
      </c>
      <c r="F170" s="142" t="str">
        <f>WP_상세!I167</f>
        <v>N</v>
      </c>
      <c r="G170" s="143">
        <f>WP_상세!J167</f>
        <v>1</v>
      </c>
      <c r="H170" s="144">
        <f t="shared" si="25"/>
        <v>1</v>
      </c>
      <c r="I170" s="144">
        <f t="shared" si="26"/>
        <v>0</v>
      </c>
      <c r="J170" s="144">
        <f t="shared" si="27"/>
        <v>0</v>
      </c>
      <c r="K170" s="144">
        <f t="shared" si="28"/>
        <v>0</v>
      </c>
      <c r="L170" s="144">
        <f t="shared" si="29"/>
        <v>0</v>
      </c>
    </row>
    <row r="171" spans="1:12" ht="14.25" customHeight="1">
      <c r="A171" s="142">
        <f>WP_상세!A168</f>
        <v>164</v>
      </c>
      <c r="B171" s="142" t="str">
        <f>WP_상세!B168</f>
        <v>HWE.3</v>
      </c>
      <c r="C171" s="142" t="str">
        <f>WP_상세!F168</f>
        <v>Verification Measure / HW설계 검증방안서</v>
      </c>
      <c r="D171" s="142" t="str">
        <f>WP_상세!G168</f>
        <v>Proto</v>
      </c>
      <c r="E171" s="142" t="str">
        <f>WP_상세!H168</f>
        <v>Discrete</v>
      </c>
      <c r="F171" s="142" t="str">
        <f>WP_상세!I168</f>
        <v>N</v>
      </c>
      <c r="G171" s="143">
        <f>WP_상세!J168</f>
        <v>1</v>
      </c>
      <c r="H171" s="144">
        <f t="shared" si="25"/>
        <v>0</v>
      </c>
      <c r="I171" s="144">
        <f t="shared" si="26"/>
        <v>1</v>
      </c>
      <c r="J171" s="144">
        <f t="shared" si="27"/>
        <v>0</v>
      </c>
      <c r="K171" s="144">
        <f t="shared" si="28"/>
        <v>0</v>
      </c>
      <c r="L171" s="144">
        <f t="shared" si="29"/>
        <v>0</v>
      </c>
    </row>
    <row r="172" spans="1:12" ht="14.25" customHeight="1">
      <c r="A172" s="142">
        <f>WP_상세!A169</f>
        <v>165</v>
      </c>
      <c r="B172" s="142" t="str">
        <f>WP_상세!B169</f>
        <v>HWE.3</v>
      </c>
      <c r="C172" s="142" t="str">
        <f>WP_상세!F169</f>
        <v>Verification Measure / 적합샘플 사용 확인기록</v>
      </c>
      <c r="D172" s="142" t="str">
        <f>WP_상세!G169</f>
        <v>Proto</v>
      </c>
      <c r="E172" s="142" t="str">
        <f>WP_상세!H169</f>
        <v>Discrete</v>
      </c>
      <c r="F172" s="142" t="str">
        <f>WP_상세!I169</f>
        <v>N</v>
      </c>
      <c r="G172" s="143">
        <f>WP_상세!J169</f>
        <v>1</v>
      </c>
      <c r="H172" s="144">
        <f t="shared" si="25"/>
        <v>0</v>
      </c>
      <c r="I172" s="144">
        <f t="shared" si="26"/>
        <v>1</v>
      </c>
      <c r="J172" s="144">
        <f t="shared" si="27"/>
        <v>0</v>
      </c>
      <c r="K172" s="144">
        <f t="shared" si="28"/>
        <v>0</v>
      </c>
      <c r="L172" s="144">
        <f t="shared" si="29"/>
        <v>0</v>
      </c>
    </row>
    <row r="173" spans="1:12" ht="14.25" customHeight="1">
      <c r="A173" s="142">
        <f>WP_상세!A170</f>
        <v>166</v>
      </c>
      <c r="B173" s="142" t="str">
        <f>WP_상세!B170</f>
        <v>HWE.3</v>
      </c>
      <c r="C173" s="142" t="str">
        <f>WP_상세!F170</f>
        <v>Verification Measure Selection Set / HW설계 검증방안 선정목록</v>
      </c>
      <c r="D173" s="142" t="str">
        <f>WP_상세!G170</f>
        <v>Proto</v>
      </c>
      <c r="E173" s="142" t="str">
        <f>WP_상세!H170</f>
        <v>Discrete</v>
      </c>
      <c r="F173" s="142" t="str">
        <f>WP_상세!I170</f>
        <v>N</v>
      </c>
      <c r="G173" s="143">
        <f>WP_상세!J170</f>
        <v>1</v>
      </c>
      <c r="H173" s="144">
        <f t="shared" si="25"/>
        <v>0</v>
      </c>
      <c r="I173" s="144">
        <f t="shared" si="26"/>
        <v>1</v>
      </c>
      <c r="J173" s="144">
        <f t="shared" si="27"/>
        <v>0</v>
      </c>
      <c r="K173" s="144">
        <f t="shared" si="28"/>
        <v>0</v>
      </c>
      <c r="L173" s="144">
        <f t="shared" si="29"/>
        <v>0</v>
      </c>
    </row>
    <row r="174" spans="1:12" ht="14.25" customHeight="1">
      <c r="A174" s="142">
        <f>WP_상세!A171</f>
        <v>167</v>
      </c>
      <c r="B174" s="142" t="str">
        <f>WP_상세!B171</f>
        <v>HWE.3</v>
      </c>
      <c r="C174" s="142" t="str">
        <f>WP_상세!F171</f>
        <v>Verification Results / 하드웨어 설계검증 결과서</v>
      </c>
      <c r="D174" s="142" t="str">
        <f>WP_상세!G171</f>
        <v>P1</v>
      </c>
      <c r="E174" s="142" t="str">
        <f>WP_상세!H171</f>
        <v>Discrete</v>
      </c>
      <c r="F174" s="142" t="str">
        <f>WP_상세!I171</f>
        <v>N</v>
      </c>
      <c r="G174" s="143">
        <f>WP_상세!J171</f>
        <v>1</v>
      </c>
      <c r="H174" s="144">
        <f t="shared" si="25"/>
        <v>0</v>
      </c>
      <c r="I174" s="144">
        <f t="shared" si="26"/>
        <v>0</v>
      </c>
      <c r="J174" s="144">
        <f t="shared" si="27"/>
        <v>1</v>
      </c>
      <c r="K174" s="144">
        <f t="shared" si="28"/>
        <v>0</v>
      </c>
      <c r="L174" s="144">
        <f t="shared" si="29"/>
        <v>0</v>
      </c>
    </row>
    <row r="175" spans="1:12" ht="14.25" customHeight="1">
      <c r="A175" s="142">
        <f>WP_상세!A172</f>
        <v>168</v>
      </c>
      <c r="B175" s="142" t="str">
        <f>WP_상세!B172</f>
        <v>HWE.3</v>
      </c>
      <c r="C175" s="142" t="str">
        <f>WP_상세!F172</f>
        <v>Consistency Evidence / 검증방안-HW설계/검증결과 추적성 매트릭스</v>
      </c>
      <c r="D175" s="142" t="str">
        <f>WP_상세!G172</f>
        <v>P1</v>
      </c>
      <c r="E175" s="142" t="str">
        <f>WP_상세!H172</f>
        <v>Discrete</v>
      </c>
      <c r="F175" s="142" t="str">
        <f>WP_상세!I172</f>
        <v>N</v>
      </c>
      <c r="G175" s="143">
        <f>WP_상세!J172</f>
        <v>1</v>
      </c>
      <c r="H175" s="144">
        <f t="shared" si="25"/>
        <v>0</v>
      </c>
      <c r="I175" s="144">
        <f t="shared" si="26"/>
        <v>0</v>
      </c>
      <c r="J175" s="144">
        <f t="shared" si="27"/>
        <v>1</v>
      </c>
      <c r="K175" s="144">
        <f t="shared" si="28"/>
        <v>0</v>
      </c>
      <c r="L175" s="144">
        <f t="shared" si="29"/>
        <v>0</v>
      </c>
    </row>
    <row r="176" spans="1:12" ht="14.25" customHeight="1">
      <c r="A176" s="142">
        <f>WP_상세!A173</f>
        <v>169</v>
      </c>
      <c r="B176" s="142" t="str">
        <f>WP_상세!B173</f>
        <v>HWE.3</v>
      </c>
      <c r="C176" s="142" t="str">
        <f>WP_상세!F173</f>
        <v>Communication Evidence / HW설계검증 결과 요약보고서</v>
      </c>
      <c r="D176" s="142" t="str">
        <f>WP_상세!G173</f>
        <v>P1</v>
      </c>
      <c r="E176" s="142" t="str">
        <f>WP_상세!H173</f>
        <v>Discrete</v>
      </c>
      <c r="F176" s="142" t="str">
        <f>WP_상세!I173</f>
        <v>N</v>
      </c>
      <c r="G176" s="143">
        <f>WP_상세!J173</f>
        <v>1</v>
      </c>
      <c r="H176" s="144">
        <f t="shared" si="25"/>
        <v>0</v>
      </c>
      <c r="I176" s="144">
        <f t="shared" si="26"/>
        <v>0</v>
      </c>
      <c r="J176" s="144">
        <f t="shared" si="27"/>
        <v>1</v>
      </c>
      <c r="K176" s="144">
        <f t="shared" si="28"/>
        <v>0</v>
      </c>
      <c r="L176" s="144">
        <f t="shared" si="29"/>
        <v>0</v>
      </c>
    </row>
    <row r="177" spans="1:12" ht="14.25" customHeight="1">
      <c r="A177" s="142">
        <f>WP_상세!A174</f>
        <v>170</v>
      </c>
      <c r="B177" s="142" t="str">
        <f>WP_상세!B174</f>
        <v>HWE.4</v>
      </c>
      <c r="C177" s="142" t="str">
        <f>WP_상세!F174</f>
        <v>Verification Measure / HW요구사항 검증방안서</v>
      </c>
      <c r="D177" s="142" t="str">
        <f>WP_상세!G174</f>
        <v>P1</v>
      </c>
      <c r="E177" s="142" t="str">
        <f>WP_상세!H174</f>
        <v>Discrete</v>
      </c>
      <c r="F177" s="142" t="str">
        <f>WP_상세!I174</f>
        <v>N</v>
      </c>
      <c r="G177" s="143">
        <f>WP_상세!J174</f>
        <v>1</v>
      </c>
      <c r="H177" s="144">
        <f t="shared" si="25"/>
        <v>0</v>
      </c>
      <c r="I177" s="144">
        <f t="shared" si="26"/>
        <v>0</v>
      </c>
      <c r="J177" s="144">
        <f t="shared" si="27"/>
        <v>1</v>
      </c>
      <c r="K177" s="144">
        <f t="shared" si="28"/>
        <v>0</v>
      </c>
      <c r="L177" s="144">
        <f t="shared" si="29"/>
        <v>0</v>
      </c>
    </row>
    <row r="178" spans="1:12" ht="14.25" customHeight="1">
      <c r="A178" s="142">
        <f>WP_상세!A175</f>
        <v>171</v>
      </c>
      <c r="B178" s="142" t="str">
        <f>WP_상세!B175</f>
        <v>HWE.4</v>
      </c>
      <c r="C178" s="142" t="str">
        <f>WP_상세!F175</f>
        <v>Verification Measure / 적합샘플 사용 확인기록</v>
      </c>
      <c r="D178" s="142" t="str">
        <f>WP_상세!G175</f>
        <v>P1</v>
      </c>
      <c r="E178" s="142" t="str">
        <f>WP_상세!H175</f>
        <v>Discrete</v>
      </c>
      <c r="F178" s="142" t="str">
        <f>WP_상세!I175</f>
        <v>N</v>
      </c>
      <c r="G178" s="143">
        <f>WP_상세!J175</f>
        <v>1</v>
      </c>
      <c r="H178" s="144">
        <f t="shared" si="25"/>
        <v>0</v>
      </c>
      <c r="I178" s="144">
        <f t="shared" si="26"/>
        <v>0</v>
      </c>
      <c r="J178" s="144">
        <f t="shared" si="27"/>
        <v>1</v>
      </c>
      <c r="K178" s="144">
        <f t="shared" si="28"/>
        <v>0</v>
      </c>
      <c r="L178" s="144">
        <f t="shared" si="29"/>
        <v>0</v>
      </c>
    </row>
    <row r="179" spans="1:12" ht="14.25" customHeight="1">
      <c r="A179" s="142">
        <f>WP_상세!A176</f>
        <v>172</v>
      </c>
      <c r="B179" s="142" t="str">
        <f>WP_상세!B176</f>
        <v>HWE.4</v>
      </c>
      <c r="C179" s="142" t="str">
        <f>WP_상세!F176</f>
        <v>Verification Measure Selection Set / HW요구사항 검증방안 선정목록</v>
      </c>
      <c r="D179" s="142" t="str">
        <f>WP_상세!G176</f>
        <v>P1</v>
      </c>
      <c r="E179" s="142" t="str">
        <f>WP_상세!H176</f>
        <v>Discrete</v>
      </c>
      <c r="F179" s="142" t="str">
        <f>WP_상세!I176</f>
        <v>N</v>
      </c>
      <c r="G179" s="143">
        <f>WP_상세!J176</f>
        <v>1</v>
      </c>
      <c r="H179" s="144">
        <f t="shared" si="25"/>
        <v>0</v>
      </c>
      <c r="I179" s="144">
        <f t="shared" si="26"/>
        <v>0</v>
      </c>
      <c r="J179" s="144">
        <f t="shared" si="27"/>
        <v>1</v>
      </c>
      <c r="K179" s="144">
        <f t="shared" si="28"/>
        <v>0</v>
      </c>
      <c r="L179" s="144">
        <f t="shared" si="29"/>
        <v>0</v>
      </c>
    </row>
    <row r="180" spans="1:12" ht="14.25" customHeight="1">
      <c r="A180" s="142">
        <f>WP_상세!A177</f>
        <v>173</v>
      </c>
      <c r="B180" s="142" t="str">
        <f>WP_상세!B177</f>
        <v>HWE.4</v>
      </c>
      <c r="C180" s="142" t="str">
        <f>WP_상세!F177</f>
        <v>Verification Results / 적합 하드웨어 샘플 검증결과서</v>
      </c>
      <c r="D180" s="142" t="str">
        <f>WP_상세!G177</f>
        <v>P2</v>
      </c>
      <c r="E180" s="142" t="str">
        <f>WP_상세!H177</f>
        <v>Discrete</v>
      </c>
      <c r="F180" s="142" t="str">
        <f>WP_상세!I177</f>
        <v>N</v>
      </c>
      <c r="G180" s="143">
        <f>WP_상세!J177</f>
        <v>1</v>
      </c>
      <c r="H180" s="144">
        <f t="shared" si="25"/>
        <v>0</v>
      </c>
      <c r="I180" s="144">
        <f t="shared" si="26"/>
        <v>0</v>
      </c>
      <c r="J180" s="144">
        <f t="shared" si="27"/>
        <v>0</v>
      </c>
      <c r="K180" s="144">
        <f t="shared" si="28"/>
        <v>1</v>
      </c>
      <c r="L180" s="144">
        <f t="shared" si="29"/>
        <v>0</v>
      </c>
    </row>
    <row r="181" spans="1:12" ht="14.25" customHeight="1">
      <c r="A181" s="142">
        <f>WP_상세!A178</f>
        <v>174</v>
      </c>
      <c r="B181" s="142" t="str">
        <f>WP_상세!B178</f>
        <v>HWE.4</v>
      </c>
      <c r="C181" s="142" t="str">
        <f>WP_상세!F178</f>
        <v>Consistency Evidence / 검증방안-HW요구사항/검증결과 추적성 매트릭스</v>
      </c>
      <c r="D181" s="142" t="str">
        <f>WP_상세!G178</f>
        <v>P2</v>
      </c>
      <c r="E181" s="142" t="str">
        <f>WP_상세!H178</f>
        <v>Discrete</v>
      </c>
      <c r="F181" s="142" t="str">
        <f>WP_상세!I178</f>
        <v>N</v>
      </c>
      <c r="G181" s="143">
        <f>WP_상세!J178</f>
        <v>1</v>
      </c>
      <c r="H181" s="144">
        <f t="shared" si="25"/>
        <v>0</v>
      </c>
      <c r="I181" s="144">
        <f t="shared" si="26"/>
        <v>0</v>
      </c>
      <c r="J181" s="144">
        <f t="shared" si="27"/>
        <v>0</v>
      </c>
      <c r="K181" s="144">
        <f t="shared" si="28"/>
        <v>1</v>
      </c>
      <c r="L181" s="144">
        <f t="shared" si="29"/>
        <v>0</v>
      </c>
    </row>
    <row r="182" spans="1:12" ht="14.25" customHeight="1">
      <c r="A182" s="142">
        <f>WP_상세!A179</f>
        <v>175</v>
      </c>
      <c r="B182" s="142" t="str">
        <f>WP_상세!B179</f>
        <v>HWE.4</v>
      </c>
      <c r="C182" s="142" t="str">
        <f>WP_상세!F179</f>
        <v>Communication Evidence / HW요구사항검증 결과 요약보고서</v>
      </c>
      <c r="D182" s="142" t="str">
        <f>WP_상세!G179</f>
        <v>P2</v>
      </c>
      <c r="E182" s="142" t="str">
        <f>WP_상세!H179</f>
        <v>Discrete</v>
      </c>
      <c r="F182" s="142" t="str">
        <f>WP_상세!I179</f>
        <v>N</v>
      </c>
      <c r="G182" s="143">
        <f>WP_상세!J179</f>
        <v>1</v>
      </c>
      <c r="H182" s="144">
        <f t="shared" si="25"/>
        <v>0</v>
      </c>
      <c r="I182" s="144">
        <f t="shared" si="26"/>
        <v>0</v>
      </c>
      <c r="J182" s="144">
        <f t="shared" si="27"/>
        <v>0</v>
      </c>
      <c r="K182" s="144">
        <f t="shared" si="28"/>
        <v>1</v>
      </c>
      <c r="L182" s="144">
        <f t="shared" si="29"/>
        <v>0</v>
      </c>
    </row>
    <row r="183" spans="1:12" ht="14.25" customHeight="1">
      <c r="A183" s="23"/>
      <c r="B183" s="23"/>
      <c r="C183" s="23"/>
      <c r="D183" s="23"/>
      <c r="E183" s="23"/>
      <c r="F183" s="23"/>
      <c r="G183" s="23"/>
      <c r="H183" s="23"/>
      <c r="I183" s="23"/>
      <c r="J183" s="23"/>
      <c r="K183" s="23"/>
      <c r="L183" s="23"/>
    </row>
    <row r="184" spans="1:12" ht="14.25" customHeight="1">
      <c r="A184" s="23"/>
      <c r="B184" s="23"/>
      <c r="C184" s="98" t="s">
        <v>661</v>
      </c>
      <c r="D184" s="23"/>
      <c r="E184" s="23"/>
      <c r="F184" s="23"/>
      <c r="G184" s="23"/>
      <c r="H184" s="145">
        <f>SUM(H8:H182)</f>
        <v>48.120000000000026</v>
      </c>
      <c r="I184" s="145">
        <f>SUM(I8:I182)</f>
        <v>36.019999999999996</v>
      </c>
      <c r="J184" s="145">
        <f>SUM(J8:J182)</f>
        <v>33.620000000000012</v>
      </c>
      <c r="K184" s="145">
        <f>SUM(K8:K182)</f>
        <v>22.620000000000005</v>
      </c>
      <c r="L184" s="145">
        <f>SUM(L8:L182)</f>
        <v>4.6200000000000019</v>
      </c>
    </row>
    <row r="185" spans="1:12" ht="16.5" customHeight="1">
      <c r="A185" s="23"/>
      <c r="B185" s="23"/>
      <c r="C185" s="98" t="s">
        <v>662</v>
      </c>
      <c r="D185" s="23"/>
      <c r="E185" s="23"/>
      <c r="F185" s="23"/>
      <c r="G185" s="23"/>
      <c r="H185" s="146">
        <f>SUM($H$184:H184)/SUM($H$184:$L$184)</f>
        <v>0.33186206896551734</v>
      </c>
      <c r="I185" s="146">
        <f>SUM($H$184:I184)/SUM($H$184:$L$184)</f>
        <v>0.58027586206896553</v>
      </c>
      <c r="J185" s="146">
        <f>SUM($H$184:J184)/SUM($H$184:$L$184)</f>
        <v>0.81213793103448273</v>
      </c>
      <c r="K185" s="146">
        <f>SUM($H$184:K184)/SUM($H$184:$L$184)</f>
        <v>0.96813793103448276</v>
      </c>
      <c r="L185" s="146">
        <f>SUM($H$184:L184)/SUM($H$184:$L$184)</f>
        <v>1</v>
      </c>
    </row>
    <row r="186" spans="1:12" ht="14.25" customHeight="1">
      <c r="A186" s="23"/>
      <c r="B186" s="23"/>
      <c r="C186" s="147" t="s">
        <v>663</v>
      </c>
      <c r="D186" s="23"/>
      <c r="E186" s="23"/>
      <c r="F186" s="23"/>
      <c r="G186" s="23"/>
      <c r="H186" s="148">
        <v>0.45985401459853997</v>
      </c>
      <c r="I186" s="148">
        <v>0.64963503649635002</v>
      </c>
      <c r="J186" s="148">
        <v>0.86861313868613099</v>
      </c>
      <c r="K186" s="148">
        <v>1</v>
      </c>
      <c r="L186" s="148">
        <v>1</v>
      </c>
    </row>
  </sheetData>
  <phoneticPr fontId="50" type="noConversion"/>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4:AE35"/>
  <sheetViews>
    <sheetView zoomScaleNormal="100" workbookViewId="0">
      <pane xSplit="5" ySplit="4" topLeftCell="F5" activePane="bottomRight" state="frozen"/>
      <selection pane="topRight" activeCell="F1" sqref="F1"/>
      <selection pane="bottomLeft" activeCell="A5" sqref="A5"/>
      <selection pane="bottomRight"/>
    </sheetView>
  </sheetViews>
  <sheetFormatPr defaultColWidth="8.6328125" defaultRowHeight="14.5"/>
  <cols>
    <col min="1" max="1" width="5" style="42" customWidth="1"/>
    <col min="2" max="2" width="10" style="42" customWidth="1"/>
    <col min="3" max="3" width="20" style="42" customWidth="1"/>
    <col min="4" max="4" width="12" style="42" customWidth="1"/>
    <col min="5" max="5" width="10" style="42" customWidth="1"/>
    <col min="6" max="29" width="6" style="42" customWidth="1"/>
    <col min="30" max="31" width="10" style="42" customWidth="1"/>
  </cols>
  <sheetData>
    <row r="4" spans="1:31" ht="25.5" customHeight="1">
      <c r="A4" s="71" t="s">
        <v>197</v>
      </c>
      <c r="B4" s="71" t="s">
        <v>664</v>
      </c>
      <c r="C4" s="71" t="s">
        <v>186</v>
      </c>
      <c r="D4" s="64" t="s">
        <v>191</v>
      </c>
      <c r="E4" s="64" t="s">
        <v>665</v>
      </c>
      <c r="F4" s="71" t="s">
        <v>666</v>
      </c>
      <c r="G4" s="71" t="s">
        <v>667</v>
      </c>
      <c r="H4" s="71" t="s">
        <v>668</v>
      </c>
      <c r="I4" s="71" t="s">
        <v>669</v>
      </c>
      <c r="J4" s="71" t="s">
        <v>670</v>
      </c>
      <c r="K4" s="71" t="s">
        <v>671</v>
      </c>
      <c r="L4" s="71" t="s">
        <v>672</v>
      </c>
      <c r="M4" s="71" t="s">
        <v>673</v>
      </c>
      <c r="N4" s="71" t="s">
        <v>674</v>
      </c>
      <c r="O4" s="71" t="s">
        <v>675</v>
      </c>
      <c r="P4" s="71" t="s">
        <v>676</v>
      </c>
      <c r="Q4" s="71" t="s">
        <v>677</v>
      </c>
      <c r="R4" s="71" t="s">
        <v>678</v>
      </c>
      <c r="S4" s="71" t="s">
        <v>679</v>
      </c>
      <c r="T4" s="71" t="s">
        <v>680</v>
      </c>
      <c r="U4" s="71" t="s">
        <v>681</v>
      </c>
      <c r="V4" s="71" t="s">
        <v>682</v>
      </c>
      <c r="W4" s="71" t="s">
        <v>683</v>
      </c>
      <c r="X4" s="71" t="s">
        <v>684</v>
      </c>
      <c r="Y4" s="71" t="s">
        <v>685</v>
      </c>
      <c r="Z4" s="71" t="s">
        <v>686</v>
      </c>
      <c r="AA4" s="71" t="s">
        <v>687</v>
      </c>
      <c r="AB4" s="71" t="s">
        <v>688</v>
      </c>
      <c r="AC4" s="71" t="s">
        <v>689</v>
      </c>
      <c r="AD4" s="64" t="s">
        <v>690</v>
      </c>
      <c r="AE4" s="64" t="s">
        <v>691</v>
      </c>
    </row>
    <row r="5" spans="1:31" ht="14.25" customHeight="1">
      <c r="A5" s="142">
        <v>1</v>
      </c>
      <c r="B5" s="142" t="s">
        <v>206</v>
      </c>
      <c r="C5" s="142" t="str">
        <f>CA_개요!C5</f>
        <v>협약/공급자 모니터링</v>
      </c>
      <c r="D5" s="142" t="str">
        <f>CA_개요!E5</f>
        <v>조달</v>
      </c>
      <c r="E5" s="144">
        <f>가정!$C$32*CA_개요!H5</f>
        <v>8</v>
      </c>
      <c r="F5" s="144">
        <f>$E5/가정!$C$31</f>
        <v>0.66666666666666663</v>
      </c>
      <c r="G5" s="144">
        <f>$E5/가정!$C$31</f>
        <v>0.66666666666666663</v>
      </c>
      <c r="H5" s="144">
        <f>$E5/가정!$C$31</f>
        <v>0.66666666666666663</v>
      </c>
      <c r="I5" s="144">
        <f>$E5/가정!$C$31</f>
        <v>0.66666666666666663</v>
      </c>
      <c r="J5" s="144">
        <f>$E5/가정!$C$31</f>
        <v>0.66666666666666663</v>
      </c>
      <c r="K5" s="144">
        <f>$E5/가정!$C$31</f>
        <v>0.66666666666666663</v>
      </c>
      <c r="L5" s="144">
        <f>$E5/가정!$C$31</f>
        <v>0.66666666666666663</v>
      </c>
      <c r="M5" s="144">
        <f>$E5/가정!$C$31</f>
        <v>0.66666666666666663</v>
      </c>
      <c r="N5" s="144">
        <f>$E5/가정!$C$31</f>
        <v>0.66666666666666663</v>
      </c>
      <c r="O5" s="144">
        <f>$E5/가정!$C$31</f>
        <v>0.66666666666666663</v>
      </c>
      <c r="P5" s="144">
        <f>$E5/가정!$C$31</f>
        <v>0.66666666666666663</v>
      </c>
      <c r="Q5" s="144">
        <f>$E5/가정!$C$31</f>
        <v>0.66666666666666663</v>
      </c>
      <c r="R5" s="149">
        <f t="shared" ref="R5:X6" si="0">F5*1</f>
        <v>0.66666666666666663</v>
      </c>
      <c r="S5" s="149">
        <f t="shared" si="0"/>
        <v>0.66666666666666663</v>
      </c>
      <c r="T5" s="149">
        <f t="shared" si="0"/>
        <v>0.66666666666666663</v>
      </c>
      <c r="U5" s="149">
        <f t="shared" si="0"/>
        <v>0.66666666666666663</v>
      </c>
      <c r="V5" s="149">
        <f t="shared" si="0"/>
        <v>0.66666666666666663</v>
      </c>
      <c r="W5" s="149">
        <f t="shared" si="0"/>
        <v>0.66666666666666663</v>
      </c>
      <c r="X5" s="149">
        <f t="shared" si="0"/>
        <v>0.66666666666666663</v>
      </c>
      <c r="Y5" s="149"/>
      <c r="Z5" s="149"/>
      <c r="AA5" s="149"/>
      <c r="AB5" s="149"/>
      <c r="AC5" s="149"/>
      <c r="AD5" s="144">
        <f t="shared" ref="AD5:AD33" si="1">SUM(R5:AC5)</f>
        <v>4.6666666666666661</v>
      </c>
      <c r="AE5" s="143">
        <f t="shared" ref="AE5:AE33" si="2">IFERROR(AD5/$E5,0)</f>
        <v>0.58333333333333326</v>
      </c>
    </row>
    <row r="6" spans="1:31" ht="14.25" customHeight="1">
      <c r="A6" s="142">
        <v>2</v>
      </c>
      <c r="B6" s="142" t="s">
        <v>212</v>
      </c>
      <c r="C6" s="142" t="str">
        <f>CA_개요!C6</f>
        <v>제품 릴리스 관리</v>
      </c>
      <c r="D6" s="142" t="str">
        <f>CA_개요!E6</f>
        <v>릴리스</v>
      </c>
      <c r="E6" s="144">
        <f>가정!$C$32*CA_개요!H6</f>
        <v>4</v>
      </c>
      <c r="F6" s="144">
        <f>$E6/가정!$C$31</f>
        <v>0.33333333333333331</v>
      </c>
      <c r="G6" s="144">
        <f>$E6/가정!$C$31</f>
        <v>0.33333333333333331</v>
      </c>
      <c r="H6" s="144">
        <f>$E6/가정!$C$31</f>
        <v>0.33333333333333331</v>
      </c>
      <c r="I6" s="144">
        <f>$E6/가정!$C$31</f>
        <v>0.33333333333333331</v>
      </c>
      <c r="J6" s="144">
        <f>$E6/가정!$C$31</f>
        <v>0.33333333333333331</v>
      </c>
      <c r="K6" s="144">
        <f>$E6/가정!$C$31</f>
        <v>0.33333333333333331</v>
      </c>
      <c r="L6" s="144">
        <f>$E6/가정!$C$31</f>
        <v>0.33333333333333331</v>
      </c>
      <c r="M6" s="144">
        <f>$E6/가정!$C$31</f>
        <v>0.33333333333333331</v>
      </c>
      <c r="N6" s="144">
        <f>$E6/가정!$C$31</f>
        <v>0.33333333333333331</v>
      </c>
      <c r="O6" s="144">
        <f>$E6/가정!$C$31</f>
        <v>0.33333333333333331</v>
      </c>
      <c r="P6" s="144">
        <f>$E6/가정!$C$31</f>
        <v>0.33333333333333331</v>
      </c>
      <c r="Q6" s="144">
        <f>$E6/가정!$C$31</f>
        <v>0.33333333333333331</v>
      </c>
      <c r="R6" s="149">
        <f t="shared" si="0"/>
        <v>0.33333333333333331</v>
      </c>
      <c r="S6" s="149">
        <f t="shared" si="0"/>
        <v>0.33333333333333331</v>
      </c>
      <c r="T6" s="149">
        <f t="shared" si="0"/>
        <v>0.33333333333333331</v>
      </c>
      <c r="U6" s="149">
        <f t="shared" si="0"/>
        <v>0.33333333333333331</v>
      </c>
      <c r="V6" s="149">
        <f t="shared" si="0"/>
        <v>0.33333333333333331</v>
      </c>
      <c r="W6" s="149">
        <f t="shared" si="0"/>
        <v>0.33333333333333331</v>
      </c>
      <c r="X6" s="149">
        <f t="shared" si="0"/>
        <v>0.33333333333333331</v>
      </c>
      <c r="Y6" s="149"/>
      <c r="Z6" s="149"/>
      <c r="AA6" s="149"/>
      <c r="AB6" s="149"/>
      <c r="AC6" s="149"/>
      <c r="AD6" s="144">
        <f t="shared" si="1"/>
        <v>2.333333333333333</v>
      </c>
      <c r="AE6" s="143">
        <f t="shared" si="2"/>
        <v>0.58333333333333326</v>
      </c>
    </row>
    <row r="7" spans="1:31" ht="14.25" customHeight="1">
      <c r="A7" s="142">
        <v>3</v>
      </c>
      <c r="B7" s="142" t="s">
        <v>218</v>
      </c>
      <c r="C7" s="142" t="str">
        <f>CA_개요!C7</f>
        <v>프로젝트 관리</v>
      </c>
      <c r="D7" s="142" t="str">
        <f>CA_개요!E7</f>
        <v>관리/LOE</v>
      </c>
      <c r="E7" s="144">
        <f>가정!$C$32*CA_개요!H7</f>
        <v>4.7368421052631575</v>
      </c>
      <c r="F7" s="144">
        <f>$E7/가정!$C$31</f>
        <v>0.39473684210526311</v>
      </c>
      <c r="G7" s="144">
        <f>$E7/가정!$C$31</f>
        <v>0.39473684210526311</v>
      </c>
      <c r="H7" s="144">
        <f>$E7/가정!$C$31</f>
        <v>0.39473684210526311</v>
      </c>
      <c r="I7" s="144">
        <f>$E7/가정!$C$31</f>
        <v>0.39473684210526311</v>
      </c>
      <c r="J7" s="144">
        <f>$E7/가정!$C$31</f>
        <v>0.39473684210526311</v>
      </c>
      <c r="K7" s="144">
        <f>$E7/가정!$C$31</f>
        <v>0.39473684210526311</v>
      </c>
      <c r="L7" s="144">
        <f>$E7/가정!$C$31</f>
        <v>0.39473684210526311</v>
      </c>
      <c r="M7" s="144">
        <f>$E7/가정!$C$31</f>
        <v>0.39473684210526311</v>
      </c>
      <c r="N7" s="144">
        <f>$E7/가정!$C$31</f>
        <v>0.39473684210526311</v>
      </c>
      <c r="O7" s="144">
        <f>$E7/가정!$C$31</f>
        <v>0.39473684210526311</v>
      </c>
      <c r="P7" s="144">
        <f>$E7/가정!$C$31</f>
        <v>0.39473684210526311</v>
      </c>
      <c r="Q7" s="144">
        <f>$E7/가정!$C$31</f>
        <v>0.39473684210526311</v>
      </c>
      <c r="R7" s="149">
        <f t="shared" ref="R7:X7" si="3">F7*1.05</f>
        <v>0.41447368421052627</v>
      </c>
      <c r="S7" s="149">
        <f t="shared" si="3"/>
        <v>0.41447368421052627</v>
      </c>
      <c r="T7" s="149">
        <f t="shared" si="3"/>
        <v>0.41447368421052627</v>
      </c>
      <c r="U7" s="149">
        <f t="shared" si="3"/>
        <v>0.41447368421052627</v>
      </c>
      <c r="V7" s="149">
        <f t="shared" si="3"/>
        <v>0.41447368421052627</v>
      </c>
      <c r="W7" s="149">
        <f t="shared" si="3"/>
        <v>0.41447368421052627</v>
      </c>
      <c r="X7" s="149">
        <f t="shared" si="3"/>
        <v>0.41447368421052627</v>
      </c>
      <c r="Y7" s="149"/>
      <c r="Z7" s="149"/>
      <c r="AA7" s="149"/>
      <c r="AB7" s="149"/>
      <c r="AC7" s="149"/>
      <c r="AD7" s="144">
        <f t="shared" si="1"/>
        <v>2.9013157894736836</v>
      </c>
      <c r="AE7" s="143">
        <f t="shared" si="2"/>
        <v>0.61249999999999993</v>
      </c>
    </row>
    <row r="8" spans="1:31" ht="14.25" customHeight="1">
      <c r="A8" s="142">
        <v>4</v>
      </c>
      <c r="B8" s="142" t="s">
        <v>223</v>
      </c>
      <c r="C8" s="142" t="str">
        <f>CA_개요!C8</f>
        <v>품질보증(QA)</v>
      </c>
      <c r="D8" s="142" t="str">
        <f>CA_개요!E8</f>
        <v>관리/LOE</v>
      </c>
      <c r="E8" s="144">
        <f>가정!$C$32*CA_개요!H8</f>
        <v>3.3157894736842102</v>
      </c>
      <c r="F8" s="144">
        <f>$E8/가정!$C$31</f>
        <v>0.27631578947368418</v>
      </c>
      <c r="G8" s="144">
        <f>$E8/가정!$C$31</f>
        <v>0.27631578947368418</v>
      </c>
      <c r="H8" s="144">
        <f>$E8/가정!$C$31</f>
        <v>0.27631578947368418</v>
      </c>
      <c r="I8" s="144">
        <f>$E8/가정!$C$31</f>
        <v>0.27631578947368418</v>
      </c>
      <c r="J8" s="144">
        <f>$E8/가정!$C$31</f>
        <v>0.27631578947368418</v>
      </c>
      <c r="K8" s="144">
        <f>$E8/가정!$C$31</f>
        <v>0.27631578947368418</v>
      </c>
      <c r="L8" s="144">
        <f>$E8/가정!$C$31</f>
        <v>0.27631578947368418</v>
      </c>
      <c r="M8" s="144">
        <f>$E8/가정!$C$31</f>
        <v>0.27631578947368418</v>
      </c>
      <c r="N8" s="144">
        <f>$E8/가정!$C$31</f>
        <v>0.27631578947368418</v>
      </c>
      <c r="O8" s="144">
        <f>$E8/가정!$C$31</f>
        <v>0.27631578947368418</v>
      </c>
      <c r="P8" s="144">
        <f>$E8/가정!$C$31</f>
        <v>0.27631578947368418</v>
      </c>
      <c r="Q8" s="144">
        <f>$E8/가정!$C$31</f>
        <v>0.27631578947368418</v>
      </c>
      <c r="R8" s="149">
        <f t="shared" ref="R8:X10" si="4">F8*1</f>
        <v>0.27631578947368418</v>
      </c>
      <c r="S8" s="149">
        <f t="shared" si="4"/>
        <v>0.27631578947368418</v>
      </c>
      <c r="T8" s="149">
        <f t="shared" si="4"/>
        <v>0.27631578947368418</v>
      </c>
      <c r="U8" s="149">
        <f t="shared" si="4"/>
        <v>0.27631578947368418</v>
      </c>
      <c r="V8" s="149">
        <f t="shared" si="4"/>
        <v>0.27631578947368418</v>
      </c>
      <c r="W8" s="149">
        <f t="shared" si="4"/>
        <v>0.27631578947368418</v>
      </c>
      <c r="X8" s="149">
        <f t="shared" si="4"/>
        <v>0.27631578947368418</v>
      </c>
      <c r="Y8" s="149"/>
      <c r="Z8" s="149"/>
      <c r="AA8" s="149"/>
      <c r="AB8" s="149"/>
      <c r="AC8" s="149"/>
      <c r="AD8" s="144">
        <f t="shared" si="1"/>
        <v>1.9342105263157889</v>
      </c>
      <c r="AE8" s="143">
        <f t="shared" si="2"/>
        <v>0.58333333333333326</v>
      </c>
    </row>
    <row r="9" spans="1:31" ht="14.25" customHeight="1">
      <c r="A9" s="142">
        <v>5</v>
      </c>
      <c r="B9" s="142" t="s">
        <v>226</v>
      </c>
      <c r="C9" s="142" t="str">
        <f>CA_개요!C9</f>
        <v>형상관리(CM)</v>
      </c>
      <c r="D9" s="142" t="str">
        <f>CA_개요!E9</f>
        <v>관리/LOE</v>
      </c>
      <c r="E9" s="144">
        <f>가정!$C$32*CA_개요!H9</f>
        <v>3.7894736842105257</v>
      </c>
      <c r="F9" s="144">
        <f>$E9/가정!$C$31</f>
        <v>0.31578947368421045</v>
      </c>
      <c r="G9" s="144">
        <f>$E9/가정!$C$31</f>
        <v>0.31578947368421045</v>
      </c>
      <c r="H9" s="144">
        <f>$E9/가정!$C$31</f>
        <v>0.31578947368421045</v>
      </c>
      <c r="I9" s="144">
        <f>$E9/가정!$C$31</f>
        <v>0.31578947368421045</v>
      </c>
      <c r="J9" s="144">
        <f>$E9/가정!$C$31</f>
        <v>0.31578947368421045</v>
      </c>
      <c r="K9" s="144">
        <f>$E9/가정!$C$31</f>
        <v>0.31578947368421045</v>
      </c>
      <c r="L9" s="144">
        <f>$E9/가정!$C$31</f>
        <v>0.31578947368421045</v>
      </c>
      <c r="M9" s="144">
        <f>$E9/가정!$C$31</f>
        <v>0.31578947368421045</v>
      </c>
      <c r="N9" s="144">
        <f>$E9/가정!$C$31</f>
        <v>0.31578947368421045</v>
      </c>
      <c r="O9" s="144">
        <f>$E9/가정!$C$31</f>
        <v>0.31578947368421045</v>
      </c>
      <c r="P9" s="144">
        <f>$E9/가정!$C$31</f>
        <v>0.31578947368421045</v>
      </c>
      <c r="Q9" s="144">
        <f>$E9/가정!$C$31</f>
        <v>0.31578947368421045</v>
      </c>
      <c r="R9" s="149">
        <f t="shared" si="4"/>
        <v>0.31578947368421045</v>
      </c>
      <c r="S9" s="149">
        <f t="shared" si="4"/>
        <v>0.31578947368421045</v>
      </c>
      <c r="T9" s="149">
        <f t="shared" si="4"/>
        <v>0.31578947368421045</v>
      </c>
      <c r="U9" s="149">
        <f t="shared" si="4"/>
        <v>0.31578947368421045</v>
      </c>
      <c r="V9" s="149">
        <f t="shared" si="4"/>
        <v>0.31578947368421045</v>
      </c>
      <c r="W9" s="149">
        <f t="shared" si="4"/>
        <v>0.31578947368421045</v>
      </c>
      <c r="X9" s="149">
        <f t="shared" si="4"/>
        <v>0.31578947368421045</v>
      </c>
      <c r="Y9" s="149"/>
      <c r="Z9" s="149"/>
      <c r="AA9" s="149"/>
      <c r="AB9" s="149"/>
      <c r="AC9" s="149"/>
      <c r="AD9" s="144">
        <f t="shared" si="1"/>
        <v>2.210526315789473</v>
      </c>
      <c r="AE9" s="143">
        <f t="shared" si="2"/>
        <v>0.58333333333333326</v>
      </c>
    </row>
    <row r="10" spans="1:31" ht="14.25" customHeight="1">
      <c r="A10" s="142">
        <v>6</v>
      </c>
      <c r="B10" s="142" t="s">
        <v>229</v>
      </c>
      <c r="C10" s="142" t="str">
        <f>CA_개요!C10</f>
        <v>문제해결관리</v>
      </c>
      <c r="D10" s="142" t="str">
        <f>CA_개요!E10</f>
        <v>관리/LOE</v>
      </c>
      <c r="E10" s="144">
        <f>가정!$C$32*CA_개요!H10</f>
        <v>3.3157894736842102</v>
      </c>
      <c r="F10" s="144">
        <f>$E10/가정!$C$31</f>
        <v>0.27631578947368418</v>
      </c>
      <c r="G10" s="144">
        <f>$E10/가정!$C$31</f>
        <v>0.27631578947368418</v>
      </c>
      <c r="H10" s="144">
        <f>$E10/가정!$C$31</f>
        <v>0.27631578947368418</v>
      </c>
      <c r="I10" s="144">
        <f>$E10/가정!$C$31</f>
        <v>0.27631578947368418</v>
      </c>
      <c r="J10" s="144">
        <f>$E10/가정!$C$31</f>
        <v>0.27631578947368418</v>
      </c>
      <c r="K10" s="144">
        <f>$E10/가정!$C$31</f>
        <v>0.27631578947368418</v>
      </c>
      <c r="L10" s="144">
        <f>$E10/가정!$C$31</f>
        <v>0.27631578947368418</v>
      </c>
      <c r="M10" s="144">
        <f>$E10/가정!$C$31</f>
        <v>0.27631578947368418</v>
      </c>
      <c r="N10" s="144">
        <f>$E10/가정!$C$31</f>
        <v>0.27631578947368418</v>
      </c>
      <c r="O10" s="144">
        <f>$E10/가정!$C$31</f>
        <v>0.27631578947368418</v>
      </c>
      <c r="P10" s="144">
        <f>$E10/가정!$C$31</f>
        <v>0.27631578947368418</v>
      </c>
      <c r="Q10" s="144">
        <f>$E10/가정!$C$31</f>
        <v>0.27631578947368418</v>
      </c>
      <c r="R10" s="149">
        <f t="shared" si="4"/>
        <v>0.27631578947368418</v>
      </c>
      <c r="S10" s="149">
        <f t="shared" si="4"/>
        <v>0.27631578947368418</v>
      </c>
      <c r="T10" s="149">
        <f t="shared" si="4"/>
        <v>0.27631578947368418</v>
      </c>
      <c r="U10" s="149">
        <f t="shared" si="4"/>
        <v>0.27631578947368418</v>
      </c>
      <c r="V10" s="149">
        <f t="shared" si="4"/>
        <v>0.27631578947368418</v>
      </c>
      <c r="W10" s="149">
        <f t="shared" si="4"/>
        <v>0.27631578947368418</v>
      </c>
      <c r="X10" s="149">
        <f t="shared" si="4"/>
        <v>0.27631578947368418</v>
      </c>
      <c r="Y10" s="149"/>
      <c r="Z10" s="149"/>
      <c r="AA10" s="149"/>
      <c r="AB10" s="149"/>
      <c r="AC10" s="149"/>
      <c r="AD10" s="144">
        <f t="shared" si="1"/>
        <v>1.9342105263157889</v>
      </c>
      <c r="AE10" s="143">
        <f t="shared" si="2"/>
        <v>0.58333333333333326</v>
      </c>
    </row>
    <row r="11" spans="1:31" ht="14.25" customHeight="1">
      <c r="A11" s="142">
        <v>7</v>
      </c>
      <c r="B11" s="142" t="s">
        <v>234</v>
      </c>
      <c r="C11" s="142" t="str">
        <f>CA_개요!C11</f>
        <v>변경요청관리</v>
      </c>
      <c r="D11" s="142" t="str">
        <f>CA_개요!E11</f>
        <v>관리/LOE</v>
      </c>
      <c r="E11" s="144">
        <f>가정!$C$32*CA_개요!H11</f>
        <v>2.8421052631578942</v>
      </c>
      <c r="F11" s="144">
        <f>$E11/가정!$C$31</f>
        <v>0.23684210526315785</v>
      </c>
      <c r="G11" s="144">
        <f>$E11/가정!$C$31</f>
        <v>0.23684210526315785</v>
      </c>
      <c r="H11" s="144">
        <f>$E11/가정!$C$31</f>
        <v>0.23684210526315785</v>
      </c>
      <c r="I11" s="144">
        <f>$E11/가정!$C$31</f>
        <v>0.23684210526315785</v>
      </c>
      <c r="J11" s="144">
        <f>$E11/가정!$C$31</f>
        <v>0.23684210526315785</v>
      </c>
      <c r="K11" s="144">
        <f>$E11/가정!$C$31</f>
        <v>0.23684210526315785</v>
      </c>
      <c r="L11" s="144">
        <f>$E11/가정!$C$31</f>
        <v>0.23684210526315785</v>
      </c>
      <c r="M11" s="144">
        <f>$E11/가정!$C$31</f>
        <v>0.23684210526315785</v>
      </c>
      <c r="N11" s="144">
        <f>$E11/가정!$C$31</f>
        <v>0.23684210526315785</v>
      </c>
      <c r="O11" s="144">
        <f>$E11/가정!$C$31</f>
        <v>0.23684210526315785</v>
      </c>
      <c r="P11" s="144">
        <f>$E11/가정!$C$31</f>
        <v>0.23684210526315785</v>
      </c>
      <c r="Q11" s="144">
        <f>$E11/가정!$C$31</f>
        <v>0.23684210526315785</v>
      </c>
      <c r="R11" s="149">
        <f t="shared" ref="R11:X11" si="5">F11*1.35</f>
        <v>0.3197368421052631</v>
      </c>
      <c r="S11" s="149">
        <f t="shared" si="5"/>
        <v>0.3197368421052631</v>
      </c>
      <c r="T11" s="149">
        <f t="shared" si="5"/>
        <v>0.3197368421052631</v>
      </c>
      <c r="U11" s="149">
        <f t="shared" si="5"/>
        <v>0.3197368421052631</v>
      </c>
      <c r="V11" s="149">
        <f t="shared" si="5"/>
        <v>0.3197368421052631</v>
      </c>
      <c r="W11" s="149">
        <f t="shared" si="5"/>
        <v>0.3197368421052631</v>
      </c>
      <c r="X11" s="149">
        <f t="shared" si="5"/>
        <v>0.3197368421052631</v>
      </c>
      <c r="Y11" s="149"/>
      <c r="Z11" s="149"/>
      <c r="AA11" s="149"/>
      <c r="AB11" s="149"/>
      <c r="AC11" s="149"/>
      <c r="AD11" s="144">
        <f t="shared" si="1"/>
        <v>2.2381578947368417</v>
      </c>
      <c r="AE11" s="143">
        <f t="shared" si="2"/>
        <v>0.78749999999999998</v>
      </c>
    </row>
    <row r="12" spans="1:31" ht="14.25" customHeight="1">
      <c r="A12" s="142">
        <v>8</v>
      </c>
      <c r="B12" s="142" t="s">
        <v>238</v>
      </c>
      <c r="C12" s="142" t="str">
        <f>CA_개요!C12</f>
        <v>ML 데이터관리(ASW에 포함)</v>
      </c>
      <c r="D12" s="142" t="str">
        <f>CA_개요!E12</f>
        <v>ASW</v>
      </c>
      <c r="E12" s="144">
        <f>가정!$C$32*CA_개요!H12</f>
        <v>3.2195121951219514</v>
      </c>
      <c r="F12" s="144">
        <f>$E12/가정!$C$31</f>
        <v>0.26829268292682928</v>
      </c>
      <c r="G12" s="144">
        <f>$E12/가정!$C$31</f>
        <v>0.26829268292682928</v>
      </c>
      <c r="H12" s="144">
        <f>$E12/가정!$C$31</f>
        <v>0.26829268292682928</v>
      </c>
      <c r="I12" s="144">
        <f>$E12/가정!$C$31</f>
        <v>0.26829268292682928</v>
      </c>
      <c r="J12" s="144">
        <f>$E12/가정!$C$31</f>
        <v>0.26829268292682928</v>
      </c>
      <c r="K12" s="144">
        <f>$E12/가정!$C$31</f>
        <v>0.26829268292682928</v>
      </c>
      <c r="L12" s="144">
        <f>$E12/가정!$C$31</f>
        <v>0.26829268292682928</v>
      </c>
      <c r="M12" s="144">
        <f>$E12/가정!$C$31</f>
        <v>0.26829268292682928</v>
      </c>
      <c r="N12" s="144">
        <f>$E12/가정!$C$31</f>
        <v>0.26829268292682928</v>
      </c>
      <c r="O12" s="144">
        <f>$E12/가정!$C$31</f>
        <v>0.26829268292682928</v>
      </c>
      <c r="P12" s="144">
        <f>$E12/가정!$C$31</f>
        <v>0.26829268292682928</v>
      </c>
      <c r="Q12" s="144">
        <f>$E12/가정!$C$31</f>
        <v>0.26829268292682928</v>
      </c>
      <c r="R12" s="149">
        <f t="shared" ref="R12:X12" si="6">F12*1</f>
        <v>0.26829268292682928</v>
      </c>
      <c r="S12" s="149">
        <f t="shared" si="6"/>
        <v>0.26829268292682928</v>
      </c>
      <c r="T12" s="149">
        <f t="shared" si="6"/>
        <v>0.26829268292682928</v>
      </c>
      <c r="U12" s="149">
        <f t="shared" si="6"/>
        <v>0.26829268292682928</v>
      </c>
      <c r="V12" s="149">
        <f t="shared" si="6"/>
        <v>0.26829268292682928</v>
      </c>
      <c r="W12" s="149">
        <f t="shared" si="6"/>
        <v>0.26829268292682928</v>
      </c>
      <c r="X12" s="149">
        <f t="shared" si="6"/>
        <v>0.26829268292682928</v>
      </c>
      <c r="Y12" s="149"/>
      <c r="Z12" s="149"/>
      <c r="AA12" s="149"/>
      <c r="AB12" s="149"/>
      <c r="AC12" s="149"/>
      <c r="AD12" s="144">
        <f t="shared" si="1"/>
        <v>1.878048780487805</v>
      </c>
      <c r="AE12" s="143">
        <f t="shared" si="2"/>
        <v>0.58333333333333337</v>
      </c>
    </row>
    <row r="13" spans="1:31" ht="14.25" customHeight="1">
      <c r="A13" s="142">
        <v>9</v>
      </c>
      <c r="B13" s="142" t="s">
        <v>242</v>
      </c>
      <c r="C13" s="142" t="str">
        <f>CA_개요!C13</f>
        <v>시스템 요구사항분석</v>
      </c>
      <c r="D13" s="142" t="str">
        <f>CA_개요!E13</f>
        <v>시스템</v>
      </c>
      <c r="E13" s="144">
        <f>가정!$C$32*CA_개요!H13</f>
        <v>2.2857142857142856</v>
      </c>
      <c r="F13" s="144">
        <f>$E13/가정!$C$31</f>
        <v>0.19047619047619047</v>
      </c>
      <c r="G13" s="144">
        <f>$E13/가정!$C$31</f>
        <v>0.19047619047619047</v>
      </c>
      <c r="H13" s="144">
        <f>$E13/가정!$C$31</f>
        <v>0.19047619047619047</v>
      </c>
      <c r="I13" s="144">
        <f>$E13/가정!$C$31</f>
        <v>0.19047619047619047</v>
      </c>
      <c r="J13" s="144">
        <f>$E13/가정!$C$31</f>
        <v>0.19047619047619047</v>
      </c>
      <c r="K13" s="144">
        <f>$E13/가정!$C$31</f>
        <v>0.19047619047619047</v>
      </c>
      <c r="L13" s="144">
        <f>$E13/가정!$C$31</f>
        <v>0.19047619047619047</v>
      </c>
      <c r="M13" s="144">
        <f>$E13/가정!$C$31</f>
        <v>0.19047619047619047</v>
      </c>
      <c r="N13" s="144">
        <f>$E13/가정!$C$31</f>
        <v>0.19047619047619047</v>
      </c>
      <c r="O13" s="144">
        <f>$E13/가정!$C$31</f>
        <v>0.19047619047619047</v>
      </c>
      <c r="P13" s="144">
        <f>$E13/가정!$C$31</f>
        <v>0.19047619047619047</v>
      </c>
      <c r="Q13" s="144">
        <f>$E13/가정!$C$31</f>
        <v>0.19047619047619047</v>
      </c>
      <c r="R13" s="149">
        <f t="shared" ref="R13:X13" si="7">F13*1.15</f>
        <v>0.21904761904761902</v>
      </c>
      <c r="S13" s="149">
        <f t="shared" si="7"/>
        <v>0.21904761904761902</v>
      </c>
      <c r="T13" s="149">
        <f t="shared" si="7"/>
        <v>0.21904761904761902</v>
      </c>
      <c r="U13" s="149">
        <f t="shared" si="7"/>
        <v>0.21904761904761902</v>
      </c>
      <c r="V13" s="149">
        <f t="shared" si="7"/>
        <v>0.21904761904761902</v>
      </c>
      <c r="W13" s="149">
        <f t="shared" si="7"/>
        <v>0.21904761904761902</v>
      </c>
      <c r="X13" s="149">
        <f t="shared" si="7"/>
        <v>0.21904761904761902</v>
      </c>
      <c r="Y13" s="149"/>
      <c r="Z13" s="149"/>
      <c r="AA13" s="149"/>
      <c r="AB13" s="149"/>
      <c r="AC13" s="149"/>
      <c r="AD13" s="144">
        <f t="shared" si="1"/>
        <v>1.533333333333333</v>
      </c>
      <c r="AE13" s="143">
        <f t="shared" si="2"/>
        <v>0.67083333333333317</v>
      </c>
    </row>
    <row r="14" spans="1:31" ht="14.25" customHeight="1">
      <c r="A14" s="142">
        <v>10</v>
      </c>
      <c r="B14" s="142" t="s">
        <v>246</v>
      </c>
      <c r="C14" s="142" t="str">
        <f>CA_개요!C14</f>
        <v>시스템 아키텍처설계</v>
      </c>
      <c r="D14" s="142" t="str">
        <f>CA_개요!E14</f>
        <v>시스템</v>
      </c>
      <c r="E14" s="144">
        <f>가정!$C$32*CA_개요!H14</f>
        <v>1.9047619047619047</v>
      </c>
      <c r="F14" s="144">
        <f>$E14/가정!$C$31</f>
        <v>0.15873015873015872</v>
      </c>
      <c r="G14" s="144">
        <f>$E14/가정!$C$31</f>
        <v>0.15873015873015872</v>
      </c>
      <c r="H14" s="144">
        <f>$E14/가정!$C$31</f>
        <v>0.15873015873015872</v>
      </c>
      <c r="I14" s="144">
        <f>$E14/가정!$C$31</f>
        <v>0.15873015873015872</v>
      </c>
      <c r="J14" s="144">
        <f>$E14/가정!$C$31</f>
        <v>0.15873015873015872</v>
      </c>
      <c r="K14" s="144">
        <f>$E14/가정!$C$31</f>
        <v>0.15873015873015872</v>
      </c>
      <c r="L14" s="144">
        <f>$E14/가정!$C$31</f>
        <v>0.15873015873015872</v>
      </c>
      <c r="M14" s="144">
        <f>$E14/가정!$C$31</f>
        <v>0.15873015873015872</v>
      </c>
      <c r="N14" s="144">
        <f>$E14/가정!$C$31</f>
        <v>0.15873015873015872</v>
      </c>
      <c r="O14" s="144">
        <f>$E14/가정!$C$31</f>
        <v>0.15873015873015872</v>
      </c>
      <c r="P14" s="144">
        <f>$E14/가정!$C$31</f>
        <v>0.15873015873015872</v>
      </c>
      <c r="Q14" s="144">
        <f>$E14/가정!$C$31</f>
        <v>0.15873015873015872</v>
      </c>
      <c r="R14" s="149">
        <f t="shared" ref="R14:X16" si="8">F14*1</f>
        <v>0.15873015873015872</v>
      </c>
      <c r="S14" s="149">
        <f t="shared" si="8"/>
        <v>0.15873015873015872</v>
      </c>
      <c r="T14" s="149">
        <f t="shared" si="8"/>
        <v>0.15873015873015872</v>
      </c>
      <c r="U14" s="149">
        <f t="shared" si="8"/>
        <v>0.15873015873015872</v>
      </c>
      <c r="V14" s="149">
        <f t="shared" si="8"/>
        <v>0.15873015873015872</v>
      </c>
      <c r="W14" s="149">
        <f t="shared" si="8"/>
        <v>0.15873015873015872</v>
      </c>
      <c r="X14" s="149">
        <f t="shared" si="8"/>
        <v>0.15873015873015872</v>
      </c>
      <c r="Y14" s="149"/>
      <c r="Z14" s="149"/>
      <c r="AA14" s="149"/>
      <c r="AB14" s="149"/>
      <c r="AC14" s="149"/>
      <c r="AD14" s="144">
        <f t="shared" si="1"/>
        <v>1.1111111111111112</v>
      </c>
      <c r="AE14" s="143">
        <f t="shared" si="2"/>
        <v>0.58333333333333337</v>
      </c>
    </row>
    <row r="15" spans="1:31" ht="14.25" customHeight="1">
      <c r="A15" s="142">
        <v>11</v>
      </c>
      <c r="B15" s="142" t="s">
        <v>248</v>
      </c>
      <c r="C15" s="142" t="str">
        <f>CA_개요!C15</f>
        <v>시스템 통합/통합검증</v>
      </c>
      <c r="D15" s="142" t="str">
        <f>CA_개요!E15</f>
        <v>시스템</v>
      </c>
      <c r="E15" s="144">
        <f>가정!$C$32*CA_개요!H15</f>
        <v>1.9047619047619047</v>
      </c>
      <c r="F15" s="144">
        <f>$E15/가정!$C$31</f>
        <v>0.15873015873015872</v>
      </c>
      <c r="G15" s="144">
        <f>$E15/가정!$C$31</f>
        <v>0.15873015873015872</v>
      </c>
      <c r="H15" s="144">
        <f>$E15/가정!$C$31</f>
        <v>0.15873015873015872</v>
      </c>
      <c r="I15" s="144">
        <f>$E15/가정!$C$31</f>
        <v>0.15873015873015872</v>
      </c>
      <c r="J15" s="144">
        <f>$E15/가정!$C$31</f>
        <v>0.15873015873015872</v>
      </c>
      <c r="K15" s="144">
        <f>$E15/가정!$C$31</f>
        <v>0.15873015873015872</v>
      </c>
      <c r="L15" s="144">
        <f>$E15/가정!$C$31</f>
        <v>0.15873015873015872</v>
      </c>
      <c r="M15" s="144">
        <f>$E15/가정!$C$31</f>
        <v>0.15873015873015872</v>
      </c>
      <c r="N15" s="144">
        <f>$E15/가정!$C$31</f>
        <v>0.15873015873015872</v>
      </c>
      <c r="O15" s="144">
        <f>$E15/가정!$C$31</f>
        <v>0.15873015873015872</v>
      </c>
      <c r="P15" s="144">
        <f>$E15/가정!$C$31</f>
        <v>0.15873015873015872</v>
      </c>
      <c r="Q15" s="144">
        <f>$E15/가정!$C$31</f>
        <v>0.15873015873015872</v>
      </c>
      <c r="R15" s="149">
        <f t="shared" si="8"/>
        <v>0.15873015873015872</v>
      </c>
      <c r="S15" s="149">
        <f t="shared" si="8"/>
        <v>0.15873015873015872</v>
      </c>
      <c r="T15" s="149">
        <f t="shared" si="8"/>
        <v>0.15873015873015872</v>
      </c>
      <c r="U15" s="149">
        <f t="shared" si="8"/>
        <v>0.15873015873015872</v>
      </c>
      <c r="V15" s="149">
        <f t="shared" si="8"/>
        <v>0.15873015873015872</v>
      </c>
      <c r="W15" s="149">
        <f t="shared" si="8"/>
        <v>0.15873015873015872</v>
      </c>
      <c r="X15" s="149">
        <f t="shared" si="8"/>
        <v>0.15873015873015872</v>
      </c>
      <c r="Y15" s="149"/>
      <c r="Z15" s="149"/>
      <c r="AA15" s="149"/>
      <c r="AB15" s="149"/>
      <c r="AC15" s="149"/>
      <c r="AD15" s="144">
        <f t="shared" si="1"/>
        <v>1.1111111111111112</v>
      </c>
      <c r="AE15" s="143">
        <f t="shared" si="2"/>
        <v>0.58333333333333337</v>
      </c>
    </row>
    <row r="16" spans="1:31" ht="14.25" customHeight="1">
      <c r="A16" s="142">
        <v>12</v>
      </c>
      <c r="B16" s="142" t="s">
        <v>250</v>
      </c>
      <c r="C16" s="142" t="str">
        <f>CA_개요!C16</f>
        <v>시스템 검증</v>
      </c>
      <c r="D16" s="142" t="str">
        <f>CA_개요!E16</f>
        <v>시스템</v>
      </c>
      <c r="E16" s="144">
        <f>가정!$C$32*CA_개요!H16</f>
        <v>1.9047619047619047</v>
      </c>
      <c r="F16" s="144">
        <f>$E16/가정!$C$31</f>
        <v>0.15873015873015872</v>
      </c>
      <c r="G16" s="144">
        <f>$E16/가정!$C$31</f>
        <v>0.15873015873015872</v>
      </c>
      <c r="H16" s="144">
        <f>$E16/가정!$C$31</f>
        <v>0.15873015873015872</v>
      </c>
      <c r="I16" s="144">
        <f>$E16/가정!$C$31</f>
        <v>0.15873015873015872</v>
      </c>
      <c r="J16" s="144">
        <f>$E16/가정!$C$31</f>
        <v>0.15873015873015872</v>
      </c>
      <c r="K16" s="144">
        <f>$E16/가정!$C$31</f>
        <v>0.15873015873015872</v>
      </c>
      <c r="L16" s="144">
        <f>$E16/가정!$C$31</f>
        <v>0.15873015873015872</v>
      </c>
      <c r="M16" s="144">
        <f>$E16/가정!$C$31</f>
        <v>0.15873015873015872</v>
      </c>
      <c r="N16" s="144">
        <f>$E16/가정!$C$31</f>
        <v>0.15873015873015872</v>
      </c>
      <c r="O16" s="144">
        <f>$E16/가정!$C$31</f>
        <v>0.15873015873015872</v>
      </c>
      <c r="P16" s="144">
        <f>$E16/가정!$C$31</f>
        <v>0.15873015873015872</v>
      </c>
      <c r="Q16" s="144">
        <f>$E16/가정!$C$31</f>
        <v>0.15873015873015872</v>
      </c>
      <c r="R16" s="149">
        <f t="shared" si="8"/>
        <v>0.15873015873015872</v>
      </c>
      <c r="S16" s="149">
        <f t="shared" si="8"/>
        <v>0.15873015873015872</v>
      </c>
      <c r="T16" s="149">
        <f t="shared" si="8"/>
        <v>0.15873015873015872</v>
      </c>
      <c r="U16" s="149">
        <f t="shared" si="8"/>
        <v>0.15873015873015872</v>
      </c>
      <c r="V16" s="149">
        <f t="shared" si="8"/>
        <v>0.15873015873015872</v>
      </c>
      <c r="W16" s="149">
        <f t="shared" si="8"/>
        <v>0.15873015873015872</v>
      </c>
      <c r="X16" s="149">
        <f t="shared" si="8"/>
        <v>0.15873015873015872</v>
      </c>
      <c r="Y16" s="149"/>
      <c r="Z16" s="149"/>
      <c r="AA16" s="149"/>
      <c r="AB16" s="149"/>
      <c r="AC16" s="149"/>
      <c r="AD16" s="144">
        <f t="shared" si="1"/>
        <v>1.1111111111111112</v>
      </c>
      <c r="AE16" s="143">
        <f t="shared" si="2"/>
        <v>0.58333333333333337</v>
      </c>
    </row>
    <row r="17" spans="1:31" ht="14.25" customHeight="1">
      <c r="A17" s="142">
        <v>13</v>
      </c>
      <c r="B17" s="142" t="s">
        <v>253</v>
      </c>
      <c r="C17" s="142" t="str">
        <f>CA_개요!C17</f>
        <v>SW 요구사항분석</v>
      </c>
      <c r="D17" s="142" t="str">
        <f>CA_개요!E17</f>
        <v>공통(SW설계)</v>
      </c>
      <c r="E17" s="144">
        <f>가정!$C$32*CA_개요!H17</f>
        <v>3.2727272727272725</v>
      </c>
      <c r="F17" s="144">
        <f>$E17/가정!$C$31</f>
        <v>0.27272727272727271</v>
      </c>
      <c r="G17" s="144">
        <f>$E17/가정!$C$31</f>
        <v>0.27272727272727271</v>
      </c>
      <c r="H17" s="144">
        <f>$E17/가정!$C$31</f>
        <v>0.27272727272727271</v>
      </c>
      <c r="I17" s="144">
        <f>$E17/가정!$C$31</f>
        <v>0.27272727272727271</v>
      </c>
      <c r="J17" s="144">
        <f>$E17/가정!$C$31</f>
        <v>0.27272727272727271</v>
      </c>
      <c r="K17" s="144">
        <f>$E17/가정!$C$31</f>
        <v>0.27272727272727271</v>
      </c>
      <c r="L17" s="144">
        <f>$E17/가정!$C$31</f>
        <v>0.27272727272727271</v>
      </c>
      <c r="M17" s="144">
        <f>$E17/가정!$C$31</f>
        <v>0.27272727272727271</v>
      </c>
      <c r="N17" s="144">
        <f>$E17/가정!$C$31</f>
        <v>0.27272727272727271</v>
      </c>
      <c r="O17" s="144">
        <f>$E17/가정!$C$31</f>
        <v>0.27272727272727271</v>
      </c>
      <c r="P17" s="144">
        <f>$E17/가정!$C$31</f>
        <v>0.27272727272727271</v>
      </c>
      <c r="Q17" s="144">
        <f>$E17/가정!$C$31</f>
        <v>0.27272727272727271</v>
      </c>
      <c r="R17" s="149">
        <f t="shared" ref="R17:X17" si="9">F17*1.15</f>
        <v>0.3136363636363636</v>
      </c>
      <c r="S17" s="149">
        <f t="shared" si="9"/>
        <v>0.3136363636363636</v>
      </c>
      <c r="T17" s="149">
        <f t="shared" si="9"/>
        <v>0.3136363636363636</v>
      </c>
      <c r="U17" s="149">
        <f t="shared" si="9"/>
        <v>0.3136363636363636</v>
      </c>
      <c r="V17" s="149">
        <f t="shared" si="9"/>
        <v>0.3136363636363636</v>
      </c>
      <c r="W17" s="149">
        <f t="shared" si="9"/>
        <v>0.3136363636363636</v>
      </c>
      <c r="X17" s="149">
        <f t="shared" si="9"/>
        <v>0.3136363636363636</v>
      </c>
      <c r="Y17" s="149"/>
      <c r="Z17" s="149"/>
      <c r="AA17" s="149"/>
      <c r="AB17" s="149"/>
      <c r="AC17" s="149"/>
      <c r="AD17" s="144">
        <f t="shared" si="1"/>
        <v>2.1954545454545449</v>
      </c>
      <c r="AE17" s="143">
        <f t="shared" si="2"/>
        <v>0.67083333333333317</v>
      </c>
    </row>
    <row r="18" spans="1:31" ht="14.25" customHeight="1">
      <c r="A18" s="142">
        <v>14</v>
      </c>
      <c r="B18" s="142" t="s">
        <v>256</v>
      </c>
      <c r="C18" s="142" t="str">
        <f>CA_개요!C18</f>
        <v>SW 아키텍처설계</v>
      </c>
      <c r="D18" s="142" t="str">
        <f>CA_개요!E18</f>
        <v>공통(SW설계)</v>
      </c>
      <c r="E18" s="144">
        <f>가정!$C$32*CA_개요!H18</f>
        <v>2.7272727272727271</v>
      </c>
      <c r="F18" s="144">
        <f>$E18/가정!$C$31</f>
        <v>0.22727272727272727</v>
      </c>
      <c r="G18" s="144">
        <f>$E18/가정!$C$31</f>
        <v>0.22727272727272727</v>
      </c>
      <c r="H18" s="144">
        <f>$E18/가정!$C$31</f>
        <v>0.22727272727272727</v>
      </c>
      <c r="I18" s="144">
        <f>$E18/가정!$C$31</f>
        <v>0.22727272727272727</v>
      </c>
      <c r="J18" s="144">
        <f>$E18/가정!$C$31</f>
        <v>0.22727272727272727</v>
      </c>
      <c r="K18" s="144">
        <f>$E18/가정!$C$31</f>
        <v>0.22727272727272727</v>
      </c>
      <c r="L18" s="144">
        <f>$E18/가정!$C$31</f>
        <v>0.22727272727272727</v>
      </c>
      <c r="M18" s="144">
        <f>$E18/가정!$C$31</f>
        <v>0.22727272727272727</v>
      </c>
      <c r="N18" s="144">
        <f>$E18/가정!$C$31</f>
        <v>0.22727272727272727</v>
      </c>
      <c r="O18" s="144">
        <f>$E18/가정!$C$31</f>
        <v>0.22727272727272727</v>
      </c>
      <c r="P18" s="144">
        <f>$E18/가정!$C$31</f>
        <v>0.22727272727272727</v>
      </c>
      <c r="Q18" s="144">
        <f>$E18/가정!$C$31</f>
        <v>0.22727272727272727</v>
      </c>
      <c r="R18" s="149">
        <f t="shared" ref="R18:X18" si="10">F18*1</f>
        <v>0.22727272727272727</v>
      </c>
      <c r="S18" s="149">
        <f t="shared" si="10"/>
        <v>0.22727272727272727</v>
      </c>
      <c r="T18" s="149">
        <f t="shared" si="10"/>
        <v>0.22727272727272727</v>
      </c>
      <c r="U18" s="149">
        <f t="shared" si="10"/>
        <v>0.22727272727272727</v>
      </c>
      <c r="V18" s="149">
        <f t="shared" si="10"/>
        <v>0.22727272727272727</v>
      </c>
      <c r="W18" s="149">
        <f t="shared" si="10"/>
        <v>0.22727272727272727</v>
      </c>
      <c r="X18" s="149">
        <f t="shared" si="10"/>
        <v>0.22727272727272727</v>
      </c>
      <c r="Y18" s="149"/>
      <c r="Z18" s="149"/>
      <c r="AA18" s="149"/>
      <c r="AB18" s="149"/>
      <c r="AC18" s="149"/>
      <c r="AD18" s="144">
        <f t="shared" si="1"/>
        <v>1.5909090909090908</v>
      </c>
      <c r="AE18" s="143">
        <f t="shared" si="2"/>
        <v>0.58333333333333337</v>
      </c>
    </row>
    <row r="19" spans="1:31" ht="14.25" customHeight="1">
      <c r="A19" s="142">
        <v>15</v>
      </c>
      <c r="B19" s="142" t="s">
        <v>258</v>
      </c>
      <c r="C19" s="142" t="str">
        <f>CA_개요!C19</f>
        <v>SW 상세설계/단위구현(ASW)</v>
      </c>
      <c r="D19" s="142" t="str">
        <f>CA_개요!E19</f>
        <v>ASW</v>
      </c>
      <c r="E19" s="144">
        <f>가정!$C$32*CA_개요!H19</f>
        <v>2.6829268292682928</v>
      </c>
      <c r="F19" s="144">
        <f>$E19/가정!$C$31</f>
        <v>0.22357723577235775</v>
      </c>
      <c r="G19" s="144">
        <f>$E19/가정!$C$31</f>
        <v>0.22357723577235775</v>
      </c>
      <c r="H19" s="144">
        <f>$E19/가정!$C$31</f>
        <v>0.22357723577235775</v>
      </c>
      <c r="I19" s="144">
        <f>$E19/가정!$C$31</f>
        <v>0.22357723577235775</v>
      </c>
      <c r="J19" s="144">
        <f>$E19/가정!$C$31</f>
        <v>0.22357723577235775</v>
      </c>
      <c r="K19" s="144">
        <f>$E19/가정!$C$31</f>
        <v>0.22357723577235775</v>
      </c>
      <c r="L19" s="144">
        <f>$E19/가정!$C$31</f>
        <v>0.22357723577235775</v>
      </c>
      <c r="M19" s="144">
        <f>$E19/가정!$C$31</f>
        <v>0.22357723577235775</v>
      </c>
      <c r="N19" s="144">
        <f>$E19/가정!$C$31</f>
        <v>0.22357723577235775</v>
      </c>
      <c r="O19" s="144">
        <f>$E19/가정!$C$31</f>
        <v>0.22357723577235775</v>
      </c>
      <c r="P19" s="144">
        <f>$E19/가정!$C$31</f>
        <v>0.22357723577235775</v>
      </c>
      <c r="Q19" s="144">
        <f>$E19/가정!$C$31</f>
        <v>0.22357723577235775</v>
      </c>
      <c r="R19" s="149">
        <f t="shared" ref="R19:X19" si="11">F19*1.1</f>
        <v>0.24593495934959353</v>
      </c>
      <c r="S19" s="149">
        <f t="shared" si="11"/>
        <v>0.24593495934959353</v>
      </c>
      <c r="T19" s="149">
        <f t="shared" si="11"/>
        <v>0.24593495934959353</v>
      </c>
      <c r="U19" s="149">
        <f t="shared" si="11"/>
        <v>0.24593495934959353</v>
      </c>
      <c r="V19" s="149">
        <f t="shared" si="11"/>
        <v>0.24593495934959353</v>
      </c>
      <c r="W19" s="149">
        <f t="shared" si="11"/>
        <v>0.24593495934959353</v>
      </c>
      <c r="X19" s="149">
        <f t="shared" si="11"/>
        <v>0.24593495934959353</v>
      </c>
      <c r="Y19" s="149"/>
      <c r="Z19" s="149"/>
      <c r="AA19" s="149"/>
      <c r="AB19" s="149"/>
      <c r="AC19" s="149"/>
      <c r="AD19" s="144">
        <f t="shared" si="1"/>
        <v>1.721544715447155</v>
      </c>
      <c r="AE19" s="143">
        <f t="shared" si="2"/>
        <v>0.64166666666666683</v>
      </c>
    </row>
    <row r="20" spans="1:31" ht="14.25" customHeight="1">
      <c r="A20" s="142">
        <v>16</v>
      </c>
      <c r="B20" s="142" t="s">
        <v>262</v>
      </c>
      <c r="C20" s="142" t="str">
        <f>CA_개요!C20</f>
        <v>SW 상세설계/단위구현(BSW)</v>
      </c>
      <c r="D20" s="142" t="str">
        <f>CA_개요!E20</f>
        <v>BSW</v>
      </c>
      <c r="E20" s="144">
        <f>가정!$C$32*CA_개요!H20</f>
        <v>10</v>
      </c>
      <c r="F20" s="144">
        <f>$E20/가정!$C$31</f>
        <v>0.83333333333333337</v>
      </c>
      <c r="G20" s="144">
        <f>$E20/가정!$C$31</f>
        <v>0.83333333333333337</v>
      </c>
      <c r="H20" s="144">
        <f>$E20/가정!$C$31</f>
        <v>0.83333333333333337</v>
      </c>
      <c r="I20" s="144">
        <f>$E20/가정!$C$31</f>
        <v>0.83333333333333337</v>
      </c>
      <c r="J20" s="144">
        <f>$E20/가정!$C$31</f>
        <v>0.83333333333333337</v>
      </c>
      <c r="K20" s="144">
        <f>$E20/가정!$C$31</f>
        <v>0.83333333333333337</v>
      </c>
      <c r="L20" s="144">
        <f>$E20/가정!$C$31</f>
        <v>0.83333333333333337</v>
      </c>
      <c r="M20" s="144">
        <f>$E20/가정!$C$31</f>
        <v>0.83333333333333337</v>
      </c>
      <c r="N20" s="144">
        <f>$E20/가정!$C$31</f>
        <v>0.83333333333333337</v>
      </c>
      <c r="O20" s="144">
        <f>$E20/가정!$C$31</f>
        <v>0.83333333333333337</v>
      </c>
      <c r="P20" s="144">
        <f>$E20/가정!$C$31</f>
        <v>0.83333333333333337</v>
      </c>
      <c r="Q20" s="144">
        <f>$E20/가정!$C$31</f>
        <v>0.83333333333333337</v>
      </c>
      <c r="R20" s="149">
        <f t="shared" ref="R20:X20" si="12">F20*0.95</f>
        <v>0.79166666666666663</v>
      </c>
      <c r="S20" s="149">
        <f t="shared" si="12"/>
        <v>0.79166666666666663</v>
      </c>
      <c r="T20" s="149">
        <f t="shared" si="12"/>
        <v>0.79166666666666663</v>
      </c>
      <c r="U20" s="149">
        <f t="shared" si="12"/>
        <v>0.79166666666666663</v>
      </c>
      <c r="V20" s="149">
        <f t="shared" si="12"/>
        <v>0.79166666666666663</v>
      </c>
      <c r="W20" s="149">
        <f t="shared" si="12"/>
        <v>0.79166666666666663</v>
      </c>
      <c r="X20" s="149">
        <f t="shared" si="12"/>
        <v>0.79166666666666663</v>
      </c>
      <c r="Y20" s="149"/>
      <c r="Z20" s="149"/>
      <c r="AA20" s="149"/>
      <c r="AB20" s="149"/>
      <c r="AC20" s="149"/>
      <c r="AD20" s="144">
        <f t="shared" si="1"/>
        <v>5.541666666666667</v>
      </c>
      <c r="AE20" s="143">
        <f t="shared" si="2"/>
        <v>0.5541666666666667</v>
      </c>
    </row>
    <row r="21" spans="1:31" ht="14.25" customHeight="1">
      <c r="A21" s="142">
        <v>17</v>
      </c>
      <c r="B21" s="142" t="s">
        <v>266</v>
      </c>
      <c r="C21" s="142" t="str">
        <f>CA_개요!C21</f>
        <v>SW 단위검증(ASW)</v>
      </c>
      <c r="D21" s="142" t="str">
        <f>CA_개요!E21</f>
        <v>ASW</v>
      </c>
      <c r="E21" s="144">
        <f>가정!$C$32*CA_개요!H21</f>
        <v>2.6829268292682928</v>
      </c>
      <c r="F21" s="144">
        <f>$E21/가정!$C$31</f>
        <v>0.22357723577235775</v>
      </c>
      <c r="G21" s="144">
        <f>$E21/가정!$C$31</f>
        <v>0.22357723577235775</v>
      </c>
      <c r="H21" s="144">
        <f>$E21/가정!$C$31</f>
        <v>0.22357723577235775</v>
      </c>
      <c r="I21" s="144">
        <f>$E21/가정!$C$31</f>
        <v>0.22357723577235775</v>
      </c>
      <c r="J21" s="144">
        <f>$E21/가정!$C$31</f>
        <v>0.22357723577235775</v>
      </c>
      <c r="K21" s="144">
        <f>$E21/가정!$C$31</f>
        <v>0.22357723577235775</v>
      </c>
      <c r="L21" s="144">
        <f>$E21/가정!$C$31</f>
        <v>0.22357723577235775</v>
      </c>
      <c r="M21" s="144">
        <f>$E21/가정!$C$31</f>
        <v>0.22357723577235775</v>
      </c>
      <c r="N21" s="144">
        <f>$E21/가정!$C$31</f>
        <v>0.22357723577235775</v>
      </c>
      <c r="O21" s="144">
        <f>$E21/가정!$C$31</f>
        <v>0.22357723577235775</v>
      </c>
      <c r="P21" s="144">
        <f>$E21/가정!$C$31</f>
        <v>0.22357723577235775</v>
      </c>
      <c r="Q21" s="144">
        <f>$E21/가정!$C$31</f>
        <v>0.22357723577235775</v>
      </c>
      <c r="R21" s="149">
        <f t="shared" ref="R21:X21" si="13">F21*1.05</f>
        <v>0.23475609756097565</v>
      </c>
      <c r="S21" s="149">
        <f t="shared" si="13"/>
        <v>0.23475609756097565</v>
      </c>
      <c r="T21" s="149">
        <f t="shared" si="13"/>
        <v>0.23475609756097565</v>
      </c>
      <c r="U21" s="149">
        <f t="shared" si="13"/>
        <v>0.23475609756097565</v>
      </c>
      <c r="V21" s="149">
        <f t="shared" si="13"/>
        <v>0.23475609756097565</v>
      </c>
      <c r="W21" s="149">
        <f t="shared" si="13"/>
        <v>0.23475609756097565</v>
      </c>
      <c r="X21" s="149">
        <f t="shared" si="13"/>
        <v>0.23475609756097565</v>
      </c>
      <c r="Y21" s="149"/>
      <c r="Z21" s="149"/>
      <c r="AA21" s="149"/>
      <c r="AB21" s="149"/>
      <c r="AC21" s="149"/>
      <c r="AD21" s="144">
        <f t="shared" si="1"/>
        <v>1.6432926829268297</v>
      </c>
      <c r="AE21" s="143">
        <f t="shared" si="2"/>
        <v>0.61250000000000016</v>
      </c>
    </row>
    <row r="22" spans="1:31" ht="14.25" customHeight="1">
      <c r="A22" s="142">
        <v>18</v>
      </c>
      <c r="B22" s="142" t="s">
        <v>269</v>
      </c>
      <c r="C22" s="142" t="str">
        <f>CA_개요!C22</f>
        <v>SW 단위검증(BSW)</v>
      </c>
      <c r="D22" s="142" t="str">
        <f>CA_개요!E22</f>
        <v>BSW</v>
      </c>
      <c r="E22" s="144">
        <f>가정!$C$32*CA_개요!H22</f>
        <v>10</v>
      </c>
      <c r="F22" s="144">
        <f>$E22/가정!$C$31</f>
        <v>0.83333333333333337</v>
      </c>
      <c r="G22" s="144">
        <f>$E22/가정!$C$31</f>
        <v>0.83333333333333337</v>
      </c>
      <c r="H22" s="144">
        <f>$E22/가정!$C$31</f>
        <v>0.83333333333333337</v>
      </c>
      <c r="I22" s="144">
        <f>$E22/가정!$C$31</f>
        <v>0.83333333333333337</v>
      </c>
      <c r="J22" s="144">
        <f>$E22/가정!$C$31</f>
        <v>0.83333333333333337</v>
      </c>
      <c r="K22" s="144">
        <f>$E22/가정!$C$31</f>
        <v>0.83333333333333337</v>
      </c>
      <c r="L22" s="144">
        <f>$E22/가정!$C$31</f>
        <v>0.83333333333333337</v>
      </c>
      <c r="M22" s="144">
        <f>$E22/가정!$C$31</f>
        <v>0.83333333333333337</v>
      </c>
      <c r="N22" s="144">
        <f>$E22/가정!$C$31</f>
        <v>0.83333333333333337</v>
      </c>
      <c r="O22" s="144">
        <f>$E22/가정!$C$31</f>
        <v>0.83333333333333337</v>
      </c>
      <c r="P22" s="144">
        <f>$E22/가정!$C$31</f>
        <v>0.83333333333333337</v>
      </c>
      <c r="Q22" s="144">
        <f>$E22/가정!$C$31</f>
        <v>0.83333333333333337</v>
      </c>
      <c r="R22" s="149">
        <f t="shared" ref="R22:X22" si="14">F22*0.95</f>
        <v>0.79166666666666663</v>
      </c>
      <c r="S22" s="149">
        <f t="shared" si="14"/>
        <v>0.79166666666666663</v>
      </c>
      <c r="T22" s="149">
        <f t="shared" si="14"/>
        <v>0.79166666666666663</v>
      </c>
      <c r="U22" s="149">
        <f t="shared" si="14"/>
        <v>0.79166666666666663</v>
      </c>
      <c r="V22" s="149">
        <f t="shared" si="14"/>
        <v>0.79166666666666663</v>
      </c>
      <c r="W22" s="149">
        <f t="shared" si="14"/>
        <v>0.79166666666666663</v>
      </c>
      <c r="X22" s="149">
        <f t="shared" si="14"/>
        <v>0.79166666666666663</v>
      </c>
      <c r="Y22" s="149"/>
      <c r="Z22" s="149"/>
      <c r="AA22" s="149"/>
      <c r="AB22" s="149"/>
      <c r="AC22" s="149"/>
      <c r="AD22" s="144">
        <f t="shared" si="1"/>
        <v>5.541666666666667</v>
      </c>
      <c r="AE22" s="143">
        <f t="shared" si="2"/>
        <v>0.5541666666666667</v>
      </c>
    </row>
    <row r="23" spans="1:31" ht="14.25" customHeight="1">
      <c r="A23" s="142">
        <v>19</v>
      </c>
      <c r="B23" s="142" t="s">
        <v>272</v>
      </c>
      <c r="C23" s="142" t="str">
        <f>CA_개요!C23</f>
        <v>SW 통합/통합검증</v>
      </c>
      <c r="D23" s="142" t="str">
        <f>CA_개요!E23</f>
        <v>통합</v>
      </c>
      <c r="E23" s="144">
        <f>가정!$C$32*CA_개요!H23</f>
        <v>6</v>
      </c>
      <c r="F23" s="144">
        <f>$E23/가정!$C$31</f>
        <v>0.5</v>
      </c>
      <c r="G23" s="144">
        <f>$E23/가정!$C$31</f>
        <v>0.5</v>
      </c>
      <c r="H23" s="144">
        <f>$E23/가정!$C$31</f>
        <v>0.5</v>
      </c>
      <c r="I23" s="144">
        <f>$E23/가정!$C$31</f>
        <v>0.5</v>
      </c>
      <c r="J23" s="144">
        <f>$E23/가정!$C$31</f>
        <v>0.5</v>
      </c>
      <c r="K23" s="144">
        <f>$E23/가정!$C$31</f>
        <v>0.5</v>
      </c>
      <c r="L23" s="144">
        <f>$E23/가정!$C$31</f>
        <v>0.5</v>
      </c>
      <c r="M23" s="144">
        <f>$E23/가정!$C$31</f>
        <v>0.5</v>
      </c>
      <c r="N23" s="144">
        <f>$E23/가정!$C$31</f>
        <v>0.5</v>
      </c>
      <c r="O23" s="144">
        <f>$E23/가정!$C$31</f>
        <v>0.5</v>
      </c>
      <c r="P23" s="144">
        <f>$E23/가정!$C$31</f>
        <v>0.5</v>
      </c>
      <c r="Q23" s="144">
        <f>$E23/가정!$C$31</f>
        <v>0.5</v>
      </c>
      <c r="R23" s="149">
        <f t="shared" ref="R23:X29" si="15">F23*1</f>
        <v>0.5</v>
      </c>
      <c r="S23" s="149">
        <f t="shared" si="15"/>
        <v>0.5</v>
      </c>
      <c r="T23" s="149">
        <f t="shared" si="15"/>
        <v>0.5</v>
      </c>
      <c r="U23" s="149">
        <f t="shared" si="15"/>
        <v>0.5</v>
      </c>
      <c r="V23" s="149">
        <f t="shared" si="15"/>
        <v>0.5</v>
      </c>
      <c r="W23" s="149">
        <f t="shared" si="15"/>
        <v>0.5</v>
      </c>
      <c r="X23" s="149">
        <f t="shared" si="15"/>
        <v>0.5</v>
      </c>
      <c r="Y23" s="149"/>
      <c r="Z23" s="149"/>
      <c r="AA23" s="149"/>
      <c r="AB23" s="149"/>
      <c r="AC23" s="149"/>
      <c r="AD23" s="144">
        <f t="shared" si="1"/>
        <v>3.5</v>
      </c>
      <c r="AE23" s="143">
        <f t="shared" si="2"/>
        <v>0.58333333333333337</v>
      </c>
    </row>
    <row r="24" spans="1:31" ht="14.25" customHeight="1">
      <c r="A24" s="142">
        <v>20</v>
      </c>
      <c r="B24" s="142" t="s">
        <v>275</v>
      </c>
      <c r="C24" s="142" t="str">
        <f>CA_개요!C24</f>
        <v>SW 검증</v>
      </c>
      <c r="D24" s="142" t="str">
        <f>CA_개요!E24</f>
        <v>검증</v>
      </c>
      <c r="E24" s="144">
        <f>가정!$C$32*CA_개요!H24</f>
        <v>1</v>
      </c>
      <c r="F24" s="144">
        <f>$E24/가정!$C$31</f>
        <v>8.3333333333333329E-2</v>
      </c>
      <c r="G24" s="144">
        <f>$E24/가정!$C$31</f>
        <v>8.3333333333333329E-2</v>
      </c>
      <c r="H24" s="144">
        <f>$E24/가정!$C$31</f>
        <v>8.3333333333333329E-2</v>
      </c>
      <c r="I24" s="144">
        <f>$E24/가정!$C$31</f>
        <v>8.3333333333333329E-2</v>
      </c>
      <c r="J24" s="144">
        <f>$E24/가정!$C$31</f>
        <v>8.3333333333333329E-2</v>
      </c>
      <c r="K24" s="144">
        <f>$E24/가정!$C$31</f>
        <v>8.3333333333333329E-2</v>
      </c>
      <c r="L24" s="144">
        <f>$E24/가정!$C$31</f>
        <v>8.3333333333333329E-2</v>
      </c>
      <c r="M24" s="144">
        <f>$E24/가정!$C$31</f>
        <v>8.3333333333333329E-2</v>
      </c>
      <c r="N24" s="144">
        <f>$E24/가정!$C$31</f>
        <v>8.3333333333333329E-2</v>
      </c>
      <c r="O24" s="144">
        <f>$E24/가정!$C$31</f>
        <v>8.3333333333333329E-2</v>
      </c>
      <c r="P24" s="144">
        <f>$E24/가정!$C$31</f>
        <v>8.3333333333333329E-2</v>
      </c>
      <c r="Q24" s="144">
        <f>$E24/가정!$C$31</f>
        <v>8.3333333333333329E-2</v>
      </c>
      <c r="R24" s="149">
        <f t="shared" si="15"/>
        <v>8.3333333333333329E-2</v>
      </c>
      <c r="S24" s="149">
        <f t="shared" si="15"/>
        <v>8.3333333333333329E-2</v>
      </c>
      <c r="T24" s="149">
        <f t="shared" si="15"/>
        <v>8.3333333333333329E-2</v>
      </c>
      <c r="U24" s="149">
        <f t="shared" si="15"/>
        <v>8.3333333333333329E-2</v>
      </c>
      <c r="V24" s="149">
        <f t="shared" si="15"/>
        <v>8.3333333333333329E-2</v>
      </c>
      <c r="W24" s="149">
        <f t="shared" si="15"/>
        <v>8.3333333333333329E-2</v>
      </c>
      <c r="X24" s="149">
        <f t="shared" si="15"/>
        <v>8.3333333333333329E-2</v>
      </c>
      <c r="Y24" s="149"/>
      <c r="Z24" s="149"/>
      <c r="AA24" s="149"/>
      <c r="AB24" s="149"/>
      <c r="AC24" s="149"/>
      <c r="AD24" s="144">
        <f t="shared" si="1"/>
        <v>0.58333333333333326</v>
      </c>
      <c r="AE24" s="143">
        <f t="shared" si="2"/>
        <v>0.58333333333333326</v>
      </c>
    </row>
    <row r="25" spans="1:31" ht="14.25" customHeight="1">
      <c r="A25" s="142">
        <v>21</v>
      </c>
      <c r="B25" s="142" t="s">
        <v>278</v>
      </c>
      <c r="C25" s="142" t="str">
        <f>CA_개요!C25</f>
        <v>제품확인(Validation)</v>
      </c>
      <c r="D25" s="142" t="str">
        <f>CA_개요!E25</f>
        <v>검증</v>
      </c>
      <c r="E25" s="144">
        <f>가정!$C$32*CA_개요!H25</f>
        <v>1</v>
      </c>
      <c r="F25" s="144">
        <f>$E25/가정!$C$31</f>
        <v>8.3333333333333329E-2</v>
      </c>
      <c r="G25" s="144">
        <f>$E25/가정!$C$31</f>
        <v>8.3333333333333329E-2</v>
      </c>
      <c r="H25" s="144">
        <f>$E25/가정!$C$31</f>
        <v>8.3333333333333329E-2</v>
      </c>
      <c r="I25" s="144">
        <f>$E25/가정!$C$31</f>
        <v>8.3333333333333329E-2</v>
      </c>
      <c r="J25" s="144">
        <f>$E25/가정!$C$31</f>
        <v>8.3333333333333329E-2</v>
      </c>
      <c r="K25" s="144">
        <f>$E25/가정!$C$31</f>
        <v>8.3333333333333329E-2</v>
      </c>
      <c r="L25" s="144">
        <f>$E25/가정!$C$31</f>
        <v>8.3333333333333329E-2</v>
      </c>
      <c r="M25" s="144">
        <f>$E25/가정!$C$31</f>
        <v>8.3333333333333329E-2</v>
      </c>
      <c r="N25" s="144">
        <f>$E25/가정!$C$31</f>
        <v>8.3333333333333329E-2</v>
      </c>
      <c r="O25" s="144">
        <f>$E25/가정!$C$31</f>
        <v>8.3333333333333329E-2</v>
      </c>
      <c r="P25" s="144">
        <f>$E25/가정!$C$31</f>
        <v>8.3333333333333329E-2</v>
      </c>
      <c r="Q25" s="144">
        <f>$E25/가정!$C$31</f>
        <v>8.3333333333333329E-2</v>
      </c>
      <c r="R25" s="149">
        <f t="shared" si="15"/>
        <v>8.3333333333333329E-2</v>
      </c>
      <c r="S25" s="149">
        <f t="shared" si="15"/>
        <v>8.3333333333333329E-2</v>
      </c>
      <c r="T25" s="149">
        <f t="shared" si="15"/>
        <v>8.3333333333333329E-2</v>
      </c>
      <c r="U25" s="149">
        <f t="shared" si="15"/>
        <v>8.3333333333333329E-2</v>
      </c>
      <c r="V25" s="149">
        <f t="shared" si="15"/>
        <v>8.3333333333333329E-2</v>
      </c>
      <c r="W25" s="149">
        <f t="shared" si="15"/>
        <v>8.3333333333333329E-2</v>
      </c>
      <c r="X25" s="149">
        <f t="shared" si="15"/>
        <v>8.3333333333333329E-2</v>
      </c>
      <c r="Y25" s="149"/>
      <c r="Z25" s="149"/>
      <c r="AA25" s="149"/>
      <c r="AB25" s="149"/>
      <c r="AC25" s="149"/>
      <c r="AD25" s="144">
        <f t="shared" si="1"/>
        <v>0.58333333333333326</v>
      </c>
      <c r="AE25" s="143">
        <f t="shared" si="2"/>
        <v>0.58333333333333326</v>
      </c>
    </row>
    <row r="26" spans="1:31" ht="14.25" customHeight="1">
      <c r="A26" s="142">
        <v>22</v>
      </c>
      <c r="B26" s="142" t="s">
        <v>281</v>
      </c>
      <c r="C26" s="142" t="str">
        <f>CA_개요!C26</f>
        <v>ML 요구사항분석(ASW에 포함)</v>
      </c>
      <c r="D26" s="142" t="str">
        <f>CA_개요!E26</f>
        <v>ASW</v>
      </c>
      <c r="E26" s="144">
        <f>가정!$C$32*CA_개요!H26</f>
        <v>3.2195121951219514</v>
      </c>
      <c r="F26" s="144">
        <f>$E26/가정!$C$31</f>
        <v>0.26829268292682928</v>
      </c>
      <c r="G26" s="144">
        <f>$E26/가정!$C$31</f>
        <v>0.26829268292682928</v>
      </c>
      <c r="H26" s="144">
        <f>$E26/가정!$C$31</f>
        <v>0.26829268292682928</v>
      </c>
      <c r="I26" s="144">
        <f>$E26/가정!$C$31</f>
        <v>0.26829268292682928</v>
      </c>
      <c r="J26" s="144">
        <f>$E26/가정!$C$31</f>
        <v>0.26829268292682928</v>
      </c>
      <c r="K26" s="144">
        <f>$E26/가정!$C$31</f>
        <v>0.26829268292682928</v>
      </c>
      <c r="L26" s="144">
        <f>$E26/가정!$C$31</f>
        <v>0.26829268292682928</v>
      </c>
      <c r="M26" s="144">
        <f>$E26/가정!$C$31</f>
        <v>0.26829268292682928</v>
      </c>
      <c r="N26" s="144">
        <f>$E26/가정!$C$31</f>
        <v>0.26829268292682928</v>
      </c>
      <c r="O26" s="144">
        <f>$E26/가정!$C$31</f>
        <v>0.26829268292682928</v>
      </c>
      <c r="P26" s="144">
        <f>$E26/가정!$C$31</f>
        <v>0.26829268292682928</v>
      </c>
      <c r="Q26" s="144">
        <f>$E26/가정!$C$31</f>
        <v>0.26829268292682928</v>
      </c>
      <c r="R26" s="149">
        <f t="shared" si="15"/>
        <v>0.26829268292682928</v>
      </c>
      <c r="S26" s="149">
        <f t="shared" si="15"/>
        <v>0.26829268292682928</v>
      </c>
      <c r="T26" s="149">
        <f t="shared" si="15"/>
        <v>0.26829268292682928</v>
      </c>
      <c r="U26" s="149">
        <f t="shared" si="15"/>
        <v>0.26829268292682928</v>
      </c>
      <c r="V26" s="149">
        <f t="shared" si="15"/>
        <v>0.26829268292682928</v>
      </c>
      <c r="W26" s="149">
        <f t="shared" si="15"/>
        <v>0.26829268292682928</v>
      </c>
      <c r="X26" s="149">
        <f t="shared" si="15"/>
        <v>0.26829268292682928</v>
      </c>
      <c r="Y26" s="149"/>
      <c r="Z26" s="149"/>
      <c r="AA26" s="149"/>
      <c r="AB26" s="149"/>
      <c r="AC26" s="149"/>
      <c r="AD26" s="144">
        <f t="shared" si="1"/>
        <v>1.878048780487805</v>
      </c>
      <c r="AE26" s="143">
        <f t="shared" si="2"/>
        <v>0.58333333333333337</v>
      </c>
    </row>
    <row r="27" spans="1:31" ht="14.25" customHeight="1">
      <c r="A27" s="142">
        <v>23</v>
      </c>
      <c r="B27" s="142" t="s">
        <v>284</v>
      </c>
      <c r="C27" s="142" t="str">
        <f>CA_개요!C27</f>
        <v>ML 아키텍처설계(ASW에 포함)</v>
      </c>
      <c r="D27" s="142" t="str">
        <f>CA_개요!E27</f>
        <v>ASW</v>
      </c>
      <c r="E27" s="144">
        <f>가정!$C$32*CA_개요!H27</f>
        <v>3.7560975609756104</v>
      </c>
      <c r="F27" s="144">
        <f>$E27/가정!$C$31</f>
        <v>0.31300813008130085</v>
      </c>
      <c r="G27" s="144">
        <f>$E27/가정!$C$31</f>
        <v>0.31300813008130085</v>
      </c>
      <c r="H27" s="144">
        <f>$E27/가정!$C$31</f>
        <v>0.31300813008130085</v>
      </c>
      <c r="I27" s="144">
        <f>$E27/가정!$C$31</f>
        <v>0.31300813008130085</v>
      </c>
      <c r="J27" s="144">
        <f>$E27/가정!$C$31</f>
        <v>0.31300813008130085</v>
      </c>
      <c r="K27" s="144">
        <f>$E27/가정!$C$31</f>
        <v>0.31300813008130085</v>
      </c>
      <c r="L27" s="144">
        <f>$E27/가정!$C$31</f>
        <v>0.31300813008130085</v>
      </c>
      <c r="M27" s="144">
        <f>$E27/가정!$C$31</f>
        <v>0.31300813008130085</v>
      </c>
      <c r="N27" s="144">
        <f>$E27/가정!$C$31</f>
        <v>0.31300813008130085</v>
      </c>
      <c r="O27" s="144">
        <f>$E27/가정!$C$31</f>
        <v>0.31300813008130085</v>
      </c>
      <c r="P27" s="144">
        <f>$E27/가정!$C$31</f>
        <v>0.31300813008130085</v>
      </c>
      <c r="Q27" s="144">
        <f>$E27/가정!$C$31</f>
        <v>0.31300813008130085</v>
      </c>
      <c r="R27" s="149">
        <f t="shared" si="15"/>
        <v>0.31300813008130085</v>
      </c>
      <c r="S27" s="149">
        <f t="shared" si="15"/>
        <v>0.31300813008130085</v>
      </c>
      <c r="T27" s="149">
        <f t="shared" si="15"/>
        <v>0.31300813008130085</v>
      </c>
      <c r="U27" s="149">
        <f t="shared" si="15"/>
        <v>0.31300813008130085</v>
      </c>
      <c r="V27" s="149">
        <f t="shared" si="15"/>
        <v>0.31300813008130085</v>
      </c>
      <c r="W27" s="149">
        <f t="shared" si="15"/>
        <v>0.31300813008130085</v>
      </c>
      <c r="X27" s="149">
        <f t="shared" si="15"/>
        <v>0.31300813008130085</v>
      </c>
      <c r="Y27" s="149"/>
      <c r="Z27" s="149"/>
      <c r="AA27" s="149"/>
      <c r="AB27" s="149"/>
      <c r="AC27" s="149"/>
      <c r="AD27" s="144">
        <f t="shared" si="1"/>
        <v>2.191056910569106</v>
      </c>
      <c r="AE27" s="143">
        <f t="shared" si="2"/>
        <v>0.58333333333333326</v>
      </c>
    </row>
    <row r="28" spans="1:31" ht="14.25" customHeight="1">
      <c r="A28" s="142">
        <v>24</v>
      </c>
      <c r="B28" s="142" t="s">
        <v>286</v>
      </c>
      <c r="C28" s="142" t="str">
        <f>CA_개요!C28</f>
        <v>ML 훈련/검증(ASW에 포함)</v>
      </c>
      <c r="D28" s="142" t="str">
        <f>CA_개요!E28</f>
        <v>ASW</v>
      </c>
      <c r="E28" s="144">
        <f>가정!$C$32*CA_개요!H28</f>
        <v>2.6829268292682928</v>
      </c>
      <c r="F28" s="144">
        <f>$E28/가정!$C$31</f>
        <v>0.22357723577235775</v>
      </c>
      <c r="G28" s="144">
        <f>$E28/가정!$C$31</f>
        <v>0.22357723577235775</v>
      </c>
      <c r="H28" s="144">
        <f>$E28/가정!$C$31</f>
        <v>0.22357723577235775</v>
      </c>
      <c r="I28" s="144">
        <f>$E28/가정!$C$31</f>
        <v>0.22357723577235775</v>
      </c>
      <c r="J28" s="144">
        <f>$E28/가정!$C$31</f>
        <v>0.22357723577235775</v>
      </c>
      <c r="K28" s="144">
        <f>$E28/가정!$C$31</f>
        <v>0.22357723577235775</v>
      </c>
      <c r="L28" s="144">
        <f>$E28/가정!$C$31</f>
        <v>0.22357723577235775</v>
      </c>
      <c r="M28" s="144">
        <f>$E28/가정!$C$31</f>
        <v>0.22357723577235775</v>
      </c>
      <c r="N28" s="144">
        <f>$E28/가정!$C$31</f>
        <v>0.22357723577235775</v>
      </c>
      <c r="O28" s="144">
        <f>$E28/가정!$C$31</f>
        <v>0.22357723577235775</v>
      </c>
      <c r="P28" s="144">
        <f>$E28/가정!$C$31</f>
        <v>0.22357723577235775</v>
      </c>
      <c r="Q28" s="144">
        <f>$E28/가정!$C$31</f>
        <v>0.22357723577235775</v>
      </c>
      <c r="R28" s="149">
        <f t="shared" si="15"/>
        <v>0.22357723577235775</v>
      </c>
      <c r="S28" s="149">
        <f t="shared" si="15"/>
        <v>0.22357723577235775</v>
      </c>
      <c r="T28" s="149">
        <f t="shared" si="15"/>
        <v>0.22357723577235775</v>
      </c>
      <c r="U28" s="149">
        <f t="shared" si="15"/>
        <v>0.22357723577235775</v>
      </c>
      <c r="V28" s="149">
        <f t="shared" si="15"/>
        <v>0.22357723577235775</v>
      </c>
      <c r="W28" s="149">
        <f t="shared" si="15"/>
        <v>0.22357723577235775</v>
      </c>
      <c r="X28" s="149">
        <f t="shared" si="15"/>
        <v>0.22357723577235775</v>
      </c>
      <c r="Y28" s="149"/>
      <c r="Z28" s="149"/>
      <c r="AA28" s="149"/>
      <c r="AB28" s="149"/>
      <c r="AC28" s="149"/>
      <c r="AD28" s="144">
        <f t="shared" si="1"/>
        <v>1.5650406504065042</v>
      </c>
      <c r="AE28" s="143">
        <f t="shared" si="2"/>
        <v>0.58333333333333337</v>
      </c>
    </row>
    <row r="29" spans="1:31" ht="14.25" customHeight="1">
      <c r="A29" s="142">
        <v>25</v>
      </c>
      <c r="B29" s="142" t="s">
        <v>288</v>
      </c>
      <c r="C29" s="142" t="str">
        <f>CA_개요!C29</f>
        <v>ML 테스트(ASW에 포함)</v>
      </c>
      <c r="D29" s="142" t="str">
        <f>CA_개요!E29</f>
        <v>ASW</v>
      </c>
      <c r="E29" s="144">
        <f>가정!$C$32*CA_개요!H29</f>
        <v>3.7560975609756104</v>
      </c>
      <c r="F29" s="144">
        <f>$E29/가정!$C$31</f>
        <v>0.31300813008130085</v>
      </c>
      <c r="G29" s="144">
        <f>$E29/가정!$C$31</f>
        <v>0.31300813008130085</v>
      </c>
      <c r="H29" s="144">
        <f>$E29/가정!$C$31</f>
        <v>0.31300813008130085</v>
      </c>
      <c r="I29" s="144">
        <f>$E29/가정!$C$31</f>
        <v>0.31300813008130085</v>
      </c>
      <c r="J29" s="144">
        <f>$E29/가정!$C$31</f>
        <v>0.31300813008130085</v>
      </c>
      <c r="K29" s="144">
        <f>$E29/가정!$C$31</f>
        <v>0.31300813008130085</v>
      </c>
      <c r="L29" s="144">
        <f>$E29/가정!$C$31</f>
        <v>0.31300813008130085</v>
      </c>
      <c r="M29" s="144">
        <f>$E29/가정!$C$31</f>
        <v>0.31300813008130085</v>
      </c>
      <c r="N29" s="144">
        <f>$E29/가정!$C$31</f>
        <v>0.31300813008130085</v>
      </c>
      <c r="O29" s="144">
        <f>$E29/가정!$C$31</f>
        <v>0.31300813008130085</v>
      </c>
      <c r="P29" s="144">
        <f>$E29/가정!$C$31</f>
        <v>0.31300813008130085</v>
      </c>
      <c r="Q29" s="144">
        <f>$E29/가정!$C$31</f>
        <v>0.31300813008130085</v>
      </c>
      <c r="R29" s="149">
        <f t="shared" si="15"/>
        <v>0.31300813008130085</v>
      </c>
      <c r="S29" s="149">
        <f t="shared" si="15"/>
        <v>0.31300813008130085</v>
      </c>
      <c r="T29" s="149">
        <f t="shared" si="15"/>
        <v>0.31300813008130085</v>
      </c>
      <c r="U29" s="149">
        <f t="shared" si="15"/>
        <v>0.31300813008130085</v>
      </c>
      <c r="V29" s="149">
        <f t="shared" si="15"/>
        <v>0.31300813008130085</v>
      </c>
      <c r="W29" s="149">
        <f t="shared" si="15"/>
        <v>0.31300813008130085</v>
      </c>
      <c r="X29" s="149">
        <f t="shared" si="15"/>
        <v>0.31300813008130085</v>
      </c>
      <c r="Y29" s="149"/>
      <c r="Z29" s="149"/>
      <c r="AA29" s="149"/>
      <c r="AB29" s="149"/>
      <c r="AC29" s="149"/>
      <c r="AD29" s="144">
        <f t="shared" si="1"/>
        <v>2.191056910569106</v>
      </c>
      <c r="AE29" s="143">
        <f t="shared" si="2"/>
        <v>0.58333333333333326</v>
      </c>
    </row>
    <row r="30" spans="1:31" ht="14.25" customHeight="1">
      <c r="A30" s="142">
        <v>26</v>
      </c>
      <c r="B30" s="142" t="s">
        <v>290</v>
      </c>
      <c r="C30" s="142" t="str">
        <f>CA_개요!C30</f>
        <v>HW 요구사항분석</v>
      </c>
      <c r="D30" s="142" t="str">
        <f>CA_개요!E30</f>
        <v>HW</v>
      </c>
      <c r="E30" s="144">
        <f>가정!$C$32*CA_개요!H30</f>
        <v>1.5</v>
      </c>
      <c r="F30" s="144">
        <f>$E30/가정!$C$31</f>
        <v>0.125</v>
      </c>
      <c r="G30" s="144">
        <f>$E30/가정!$C$31</f>
        <v>0.125</v>
      </c>
      <c r="H30" s="144">
        <f>$E30/가정!$C$31</f>
        <v>0.125</v>
      </c>
      <c r="I30" s="144">
        <f>$E30/가정!$C$31</f>
        <v>0.125</v>
      </c>
      <c r="J30" s="144">
        <f>$E30/가정!$C$31</f>
        <v>0.125</v>
      </c>
      <c r="K30" s="144">
        <f>$E30/가정!$C$31</f>
        <v>0.125</v>
      </c>
      <c r="L30" s="144">
        <f>$E30/가정!$C$31</f>
        <v>0.125</v>
      </c>
      <c r="M30" s="144">
        <f>$E30/가정!$C$31</f>
        <v>0.125</v>
      </c>
      <c r="N30" s="144">
        <f>$E30/가정!$C$31</f>
        <v>0.125</v>
      </c>
      <c r="O30" s="144">
        <f>$E30/가정!$C$31</f>
        <v>0.125</v>
      </c>
      <c r="P30" s="144">
        <f>$E30/가정!$C$31</f>
        <v>0.125</v>
      </c>
      <c r="Q30" s="144">
        <f>$E30/가정!$C$31</f>
        <v>0.125</v>
      </c>
      <c r="R30" s="149">
        <f t="shared" ref="R30:X33" si="16">F30*0.95</f>
        <v>0.11874999999999999</v>
      </c>
      <c r="S30" s="149">
        <f t="shared" si="16"/>
        <v>0.11874999999999999</v>
      </c>
      <c r="T30" s="149">
        <f t="shared" si="16"/>
        <v>0.11874999999999999</v>
      </c>
      <c r="U30" s="149">
        <f t="shared" si="16"/>
        <v>0.11874999999999999</v>
      </c>
      <c r="V30" s="149">
        <f t="shared" si="16"/>
        <v>0.11874999999999999</v>
      </c>
      <c r="W30" s="149">
        <f t="shared" si="16"/>
        <v>0.11874999999999999</v>
      </c>
      <c r="X30" s="149">
        <f t="shared" si="16"/>
        <v>0.11874999999999999</v>
      </c>
      <c r="Y30" s="149"/>
      <c r="Z30" s="149"/>
      <c r="AA30" s="149"/>
      <c r="AB30" s="149"/>
      <c r="AC30" s="149"/>
      <c r="AD30" s="144">
        <f t="shared" si="1"/>
        <v>0.83125000000000004</v>
      </c>
      <c r="AE30" s="143">
        <f t="shared" si="2"/>
        <v>0.5541666666666667</v>
      </c>
    </row>
    <row r="31" spans="1:31" ht="14.25" customHeight="1">
      <c r="A31" s="142">
        <v>27</v>
      </c>
      <c r="B31" s="142" t="s">
        <v>294</v>
      </c>
      <c r="C31" s="142" t="str">
        <f>CA_개요!C31</f>
        <v>HW 아키텍처/상세설계</v>
      </c>
      <c r="D31" s="142" t="str">
        <f>CA_개요!E31</f>
        <v>HW</v>
      </c>
      <c r="E31" s="144">
        <f>가정!$C$32*CA_개요!H31</f>
        <v>1.5</v>
      </c>
      <c r="F31" s="144">
        <f>$E31/가정!$C$31</f>
        <v>0.125</v>
      </c>
      <c r="G31" s="144">
        <f>$E31/가정!$C$31</f>
        <v>0.125</v>
      </c>
      <c r="H31" s="144">
        <f>$E31/가정!$C$31</f>
        <v>0.125</v>
      </c>
      <c r="I31" s="144">
        <f>$E31/가정!$C$31</f>
        <v>0.125</v>
      </c>
      <c r="J31" s="144">
        <f>$E31/가정!$C$31</f>
        <v>0.125</v>
      </c>
      <c r="K31" s="144">
        <f>$E31/가정!$C$31</f>
        <v>0.125</v>
      </c>
      <c r="L31" s="144">
        <f>$E31/가정!$C$31</f>
        <v>0.125</v>
      </c>
      <c r="M31" s="144">
        <f>$E31/가정!$C$31</f>
        <v>0.125</v>
      </c>
      <c r="N31" s="144">
        <f>$E31/가정!$C$31</f>
        <v>0.125</v>
      </c>
      <c r="O31" s="144">
        <f>$E31/가정!$C$31</f>
        <v>0.125</v>
      </c>
      <c r="P31" s="144">
        <f>$E31/가정!$C$31</f>
        <v>0.125</v>
      </c>
      <c r="Q31" s="144">
        <f>$E31/가정!$C$31</f>
        <v>0.125</v>
      </c>
      <c r="R31" s="149">
        <f t="shared" si="16"/>
        <v>0.11874999999999999</v>
      </c>
      <c r="S31" s="149">
        <f t="shared" si="16"/>
        <v>0.11874999999999999</v>
      </c>
      <c r="T31" s="149">
        <f t="shared" si="16"/>
        <v>0.11874999999999999</v>
      </c>
      <c r="U31" s="149">
        <f t="shared" si="16"/>
        <v>0.11874999999999999</v>
      </c>
      <c r="V31" s="149">
        <f t="shared" si="16"/>
        <v>0.11874999999999999</v>
      </c>
      <c r="W31" s="149">
        <f t="shared" si="16"/>
        <v>0.11874999999999999</v>
      </c>
      <c r="X31" s="149">
        <f t="shared" si="16"/>
        <v>0.11874999999999999</v>
      </c>
      <c r="Y31" s="149"/>
      <c r="Z31" s="149"/>
      <c r="AA31" s="149"/>
      <c r="AB31" s="149"/>
      <c r="AC31" s="149"/>
      <c r="AD31" s="144">
        <f t="shared" si="1"/>
        <v>0.83125000000000004</v>
      </c>
      <c r="AE31" s="143">
        <f t="shared" si="2"/>
        <v>0.5541666666666667</v>
      </c>
    </row>
    <row r="32" spans="1:31" ht="14.25" customHeight="1">
      <c r="A32" s="142">
        <v>28</v>
      </c>
      <c r="B32" s="142" t="s">
        <v>296</v>
      </c>
      <c r="C32" s="142" t="str">
        <f>CA_개요!C32</f>
        <v>HW 설계검증</v>
      </c>
      <c r="D32" s="142" t="str">
        <f>CA_개요!E32</f>
        <v>HW</v>
      </c>
      <c r="E32" s="144">
        <f>가정!$C$32*CA_개요!H32</f>
        <v>1.5</v>
      </c>
      <c r="F32" s="144">
        <f>$E32/가정!$C$31</f>
        <v>0.125</v>
      </c>
      <c r="G32" s="144">
        <f>$E32/가정!$C$31</f>
        <v>0.125</v>
      </c>
      <c r="H32" s="144">
        <f>$E32/가정!$C$31</f>
        <v>0.125</v>
      </c>
      <c r="I32" s="144">
        <f>$E32/가정!$C$31</f>
        <v>0.125</v>
      </c>
      <c r="J32" s="144">
        <f>$E32/가정!$C$31</f>
        <v>0.125</v>
      </c>
      <c r="K32" s="144">
        <f>$E32/가정!$C$31</f>
        <v>0.125</v>
      </c>
      <c r="L32" s="144">
        <f>$E32/가정!$C$31</f>
        <v>0.125</v>
      </c>
      <c r="M32" s="144">
        <f>$E32/가정!$C$31</f>
        <v>0.125</v>
      </c>
      <c r="N32" s="144">
        <f>$E32/가정!$C$31</f>
        <v>0.125</v>
      </c>
      <c r="O32" s="144">
        <f>$E32/가정!$C$31</f>
        <v>0.125</v>
      </c>
      <c r="P32" s="144">
        <f>$E32/가정!$C$31</f>
        <v>0.125</v>
      </c>
      <c r="Q32" s="144">
        <f>$E32/가정!$C$31</f>
        <v>0.125</v>
      </c>
      <c r="R32" s="149">
        <f t="shared" si="16"/>
        <v>0.11874999999999999</v>
      </c>
      <c r="S32" s="149">
        <f t="shared" si="16"/>
        <v>0.11874999999999999</v>
      </c>
      <c r="T32" s="149">
        <f t="shared" si="16"/>
        <v>0.11874999999999999</v>
      </c>
      <c r="U32" s="149">
        <f t="shared" si="16"/>
        <v>0.11874999999999999</v>
      </c>
      <c r="V32" s="149">
        <f t="shared" si="16"/>
        <v>0.11874999999999999</v>
      </c>
      <c r="W32" s="149">
        <f t="shared" si="16"/>
        <v>0.11874999999999999</v>
      </c>
      <c r="X32" s="149">
        <f t="shared" si="16"/>
        <v>0.11874999999999999</v>
      </c>
      <c r="Y32" s="149"/>
      <c r="Z32" s="149"/>
      <c r="AA32" s="149"/>
      <c r="AB32" s="149"/>
      <c r="AC32" s="149"/>
      <c r="AD32" s="144">
        <f t="shared" si="1"/>
        <v>0.83125000000000004</v>
      </c>
      <c r="AE32" s="143">
        <f t="shared" si="2"/>
        <v>0.5541666666666667</v>
      </c>
    </row>
    <row r="33" spans="1:31" ht="14.25" customHeight="1">
      <c r="A33" s="142">
        <v>29</v>
      </c>
      <c r="B33" s="142" t="s">
        <v>298</v>
      </c>
      <c r="C33" s="142" t="str">
        <f>CA_개요!C33</f>
        <v>HW 요구사항검증</v>
      </c>
      <c r="D33" s="142" t="str">
        <f>CA_개요!E33</f>
        <v>HW</v>
      </c>
      <c r="E33" s="144">
        <f>가정!$C$32*CA_개요!H33</f>
        <v>1.5</v>
      </c>
      <c r="F33" s="144">
        <f>$E33/가정!$C$31</f>
        <v>0.125</v>
      </c>
      <c r="G33" s="144">
        <f>$E33/가정!$C$31</f>
        <v>0.125</v>
      </c>
      <c r="H33" s="144">
        <f>$E33/가정!$C$31</f>
        <v>0.125</v>
      </c>
      <c r="I33" s="144">
        <f>$E33/가정!$C$31</f>
        <v>0.125</v>
      </c>
      <c r="J33" s="144">
        <f>$E33/가정!$C$31</f>
        <v>0.125</v>
      </c>
      <c r="K33" s="144">
        <f>$E33/가정!$C$31</f>
        <v>0.125</v>
      </c>
      <c r="L33" s="144">
        <f>$E33/가정!$C$31</f>
        <v>0.125</v>
      </c>
      <c r="M33" s="144">
        <f>$E33/가정!$C$31</f>
        <v>0.125</v>
      </c>
      <c r="N33" s="144">
        <f>$E33/가정!$C$31</f>
        <v>0.125</v>
      </c>
      <c r="O33" s="144">
        <f>$E33/가정!$C$31</f>
        <v>0.125</v>
      </c>
      <c r="P33" s="144">
        <f>$E33/가정!$C$31</f>
        <v>0.125</v>
      </c>
      <c r="Q33" s="144">
        <f>$E33/가정!$C$31</f>
        <v>0.125</v>
      </c>
      <c r="R33" s="149">
        <f t="shared" si="16"/>
        <v>0.11874999999999999</v>
      </c>
      <c r="S33" s="149">
        <f t="shared" si="16"/>
        <v>0.11874999999999999</v>
      </c>
      <c r="T33" s="149">
        <f t="shared" si="16"/>
        <v>0.11874999999999999</v>
      </c>
      <c r="U33" s="149">
        <f t="shared" si="16"/>
        <v>0.11874999999999999</v>
      </c>
      <c r="V33" s="149">
        <f t="shared" si="16"/>
        <v>0.11874999999999999</v>
      </c>
      <c r="W33" s="149">
        <f t="shared" si="16"/>
        <v>0.11874999999999999</v>
      </c>
      <c r="X33" s="149">
        <f t="shared" si="16"/>
        <v>0.11874999999999999</v>
      </c>
      <c r="Y33" s="149"/>
      <c r="Z33" s="149"/>
      <c r="AA33" s="149"/>
      <c r="AB33" s="149"/>
      <c r="AC33" s="149"/>
      <c r="AD33" s="144">
        <f t="shared" si="1"/>
        <v>0.83125000000000004</v>
      </c>
      <c r="AE33" s="143">
        <f t="shared" si="2"/>
        <v>0.5541666666666667</v>
      </c>
    </row>
    <row r="34" spans="1:31" ht="14.2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row>
    <row r="35" spans="1:31" ht="14.25" customHeight="1">
      <c r="A35" s="23"/>
      <c r="B35" s="23"/>
      <c r="C35" s="98" t="s">
        <v>692</v>
      </c>
      <c r="D35" s="23"/>
      <c r="E35" s="99">
        <f>SUM(E5:E33)</f>
        <v>99.999999999999972</v>
      </c>
      <c r="F35" s="23"/>
      <c r="G35" s="23"/>
      <c r="H35" s="23"/>
      <c r="I35" s="23"/>
      <c r="J35" s="23"/>
      <c r="K35" s="23"/>
      <c r="L35" s="23"/>
      <c r="M35" s="23"/>
      <c r="N35" s="23"/>
      <c r="O35" s="23"/>
      <c r="P35" s="23"/>
      <c r="Q35" s="23"/>
      <c r="R35" s="23"/>
      <c r="S35" s="23"/>
      <c r="T35" s="23"/>
      <c r="U35" s="23"/>
      <c r="V35" s="23"/>
      <c r="W35" s="23"/>
      <c r="X35" s="23"/>
      <c r="Y35" s="23"/>
      <c r="Z35" s="23"/>
      <c r="AA35" s="23"/>
      <c r="AB35" s="23"/>
      <c r="AC35" s="23"/>
      <c r="AD35" s="99">
        <f>SUM(AD5:AD33)</f>
        <v>59.014540786556168</v>
      </c>
      <c r="AE35" s="23"/>
    </row>
  </sheetData>
  <phoneticPr fontId="50" type="noConversion"/>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4:S35"/>
  <sheetViews>
    <sheetView tabSelected="1" zoomScaleNormal="100" workbookViewId="0">
      <pane ySplit="4" topLeftCell="A5" activePane="bottomLeft" state="frozen"/>
      <selection pane="bottomLeft"/>
    </sheetView>
  </sheetViews>
  <sheetFormatPr defaultColWidth="8.6328125" defaultRowHeight="14.5"/>
  <cols>
    <col min="1" max="1" width="6" style="42" customWidth="1"/>
    <col min="2" max="2" width="10" style="42" customWidth="1"/>
    <col min="3" max="3" width="20" style="42" customWidth="1"/>
    <col min="4" max="4" width="15.54296875" style="42" customWidth="1"/>
    <col min="5" max="5" width="15.453125" style="42" customWidth="1"/>
    <col min="6" max="6" width="22.54296875" style="42" customWidth="1"/>
    <col min="7" max="7" width="15.6328125" style="42" customWidth="1"/>
    <col min="8" max="9" width="10" style="42" customWidth="1"/>
    <col min="10" max="11" width="8" style="42" customWidth="1"/>
    <col min="12" max="12" width="4" style="42" customWidth="1"/>
    <col min="13" max="13" width="20" style="42" customWidth="1"/>
    <col min="14" max="14" width="10" style="42" customWidth="1"/>
    <col min="15" max="15" width="19.08984375" style="42" customWidth="1"/>
    <col min="16" max="19" width="16" style="42" customWidth="1"/>
  </cols>
  <sheetData>
    <row r="4" spans="1:19" ht="15" customHeight="1">
      <c r="A4" s="71" t="s">
        <v>197</v>
      </c>
      <c r="B4" s="71" t="s">
        <v>664</v>
      </c>
      <c r="C4" s="71" t="s">
        <v>186</v>
      </c>
      <c r="D4" s="71" t="s">
        <v>693</v>
      </c>
      <c r="E4" s="71" t="s">
        <v>694</v>
      </c>
      <c r="F4" s="71" t="s">
        <v>695</v>
      </c>
      <c r="G4" s="71" t="s">
        <v>696</v>
      </c>
      <c r="H4" s="71" t="s">
        <v>137</v>
      </c>
      <c r="I4" s="71" t="s">
        <v>140</v>
      </c>
      <c r="J4" s="71" t="s">
        <v>143</v>
      </c>
      <c r="K4" s="71" t="s">
        <v>146</v>
      </c>
      <c r="L4" s="23"/>
      <c r="M4" s="150" t="s">
        <v>697</v>
      </c>
      <c r="N4" s="151">
        <v>7</v>
      </c>
      <c r="O4" s="152" t="s">
        <v>698</v>
      </c>
      <c r="P4" s="153" t="s">
        <v>699</v>
      </c>
      <c r="Q4" s="153" t="s">
        <v>700</v>
      </c>
      <c r="R4" s="153" t="s">
        <v>701</v>
      </c>
      <c r="S4" s="153" t="s">
        <v>702</v>
      </c>
    </row>
    <row r="5" spans="1:19" ht="15" customHeight="1">
      <c r="A5" s="139">
        <v>1</v>
      </c>
      <c r="B5" s="139" t="s">
        <v>206</v>
      </c>
      <c r="C5" s="139" t="str">
        <f>CA_개요!C5</f>
        <v>협약/공급자 모니터링</v>
      </c>
      <c r="D5" s="154">
        <f>실적MM_입력!E5</f>
        <v>8</v>
      </c>
      <c r="E5" s="154">
        <f>$D5*($N$4/가정!$C$31)</f>
        <v>4.666666666666667</v>
      </c>
      <c r="F5" s="154">
        <f>$D5*CA_개요!J5/100</f>
        <v>7.6</v>
      </c>
      <c r="G5" s="154">
        <f>SUMPRODUCT((실적MM_입력!$B$5:$B$33=B5)*실적MM_입력!$AD$5:$AD$33)</f>
        <v>4.6666666666666661</v>
      </c>
      <c r="H5" s="154">
        <f t="shared" ref="H5:H33" si="0">F5-E5</f>
        <v>2.9333333333333327</v>
      </c>
      <c r="I5" s="154">
        <f t="shared" ref="I5:I33" si="1">F5-G5</f>
        <v>2.9333333333333336</v>
      </c>
      <c r="J5" s="154">
        <f t="shared" ref="J5:J33" si="2">IFERROR(F5/E5,0)</f>
        <v>1.6285714285714283</v>
      </c>
      <c r="K5" s="154">
        <f t="shared" ref="K5:K33" si="3">IFERROR(F5/G5,0)</f>
        <v>1.6285714285714288</v>
      </c>
      <c r="L5" s="23"/>
      <c r="M5" s="2" t="s">
        <v>703</v>
      </c>
      <c r="N5" s="2"/>
      <c r="O5" s="23">
        <f t="shared" ref="O5:O33" si="4">K5+ROW()*0.0000001</f>
        <v>1.6285719285714289</v>
      </c>
      <c r="P5" s="155">
        <f>D5*가정!$C$42</f>
        <v>64000000</v>
      </c>
      <c r="Q5" s="155">
        <f>E5*가정!$C$42</f>
        <v>37333333.333333336</v>
      </c>
      <c r="R5" s="155">
        <f>F5*가정!$C$42</f>
        <v>60800000</v>
      </c>
      <c r="S5" s="155">
        <f>G5*가정!$C$42</f>
        <v>37333333.333333328</v>
      </c>
    </row>
    <row r="6" spans="1:19" ht="14.25" customHeight="1">
      <c r="A6" s="139">
        <v>2</v>
      </c>
      <c r="B6" s="139" t="s">
        <v>212</v>
      </c>
      <c r="C6" s="139" t="str">
        <f>CA_개요!C6</f>
        <v>제품 릴리스 관리</v>
      </c>
      <c r="D6" s="154">
        <f>실적MM_입력!E6</f>
        <v>4</v>
      </c>
      <c r="E6" s="154">
        <f>$D6*($N$4/가정!$C$31)</f>
        <v>2.3333333333333335</v>
      </c>
      <c r="F6" s="154">
        <f>$D6*CA_개요!J6/100</f>
        <v>2.8</v>
      </c>
      <c r="G6" s="154">
        <f>SUMPRODUCT((실적MM_입력!$B$5:$B$33=B6)*실적MM_입력!$AD$5:$AD$33)</f>
        <v>2.333333333333333</v>
      </c>
      <c r="H6" s="154">
        <f t="shared" si="0"/>
        <v>0.46666666666666634</v>
      </c>
      <c r="I6" s="154">
        <f t="shared" si="1"/>
        <v>0.46666666666666679</v>
      </c>
      <c r="J6" s="154">
        <f t="shared" si="2"/>
        <v>1.2</v>
      </c>
      <c r="K6" s="154">
        <f t="shared" si="3"/>
        <v>1.2000000000000002</v>
      </c>
      <c r="L6" s="23"/>
      <c r="M6" s="23"/>
      <c r="N6" s="23"/>
      <c r="O6" s="23">
        <f t="shared" si="4"/>
        <v>1.2000006000000001</v>
      </c>
      <c r="P6" s="155">
        <f>D6*가정!$C$42</f>
        <v>32000000</v>
      </c>
      <c r="Q6" s="155">
        <f>E6*가정!$C$42</f>
        <v>18666666.666666668</v>
      </c>
      <c r="R6" s="155">
        <f>F6*가정!$C$42</f>
        <v>22400000</v>
      </c>
      <c r="S6" s="155">
        <f>G6*가정!$C$42</f>
        <v>18666666.666666664</v>
      </c>
    </row>
    <row r="7" spans="1:19" ht="14.25" customHeight="1">
      <c r="A7" s="139">
        <v>3</v>
      </c>
      <c r="B7" s="139" t="s">
        <v>218</v>
      </c>
      <c r="C7" s="139" t="str">
        <f>CA_개요!C7</f>
        <v>프로젝트 관리</v>
      </c>
      <c r="D7" s="154">
        <f>실적MM_입력!E7</f>
        <v>4.7368421052631575</v>
      </c>
      <c r="E7" s="154">
        <f>$D7*($N$4/가정!$C$31)</f>
        <v>2.763157894736842</v>
      </c>
      <c r="F7" s="154">
        <f>$D7*CA_개요!J7/100</f>
        <v>4.4999999999999991</v>
      </c>
      <c r="G7" s="154">
        <f>SUMPRODUCT((실적MM_입력!$B$5:$B$33=B7)*실적MM_입력!$AD$5:$AD$33)</f>
        <v>2.9013157894736836</v>
      </c>
      <c r="H7" s="154">
        <f t="shared" si="0"/>
        <v>1.7368421052631571</v>
      </c>
      <c r="I7" s="154">
        <f t="shared" si="1"/>
        <v>1.5986842105263155</v>
      </c>
      <c r="J7" s="154">
        <f t="shared" si="2"/>
        <v>1.6285714285714283</v>
      </c>
      <c r="K7" s="154">
        <f t="shared" si="3"/>
        <v>1.5510204081632653</v>
      </c>
      <c r="L7" s="23"/>
      <c r="M7" s="23"/>
      <c r="N7" s="23"/>
      <c r="O7" s="23">
        <f t="shared" si="4"/>
        <v>1.5510211081632652</v>
      </c>
      <c r="P7" s="155">
        <f>D7*가정!$C$42</f>
        <v>37894736.842105262</v>
      </c>
      <c r="Q7" s="155">
        <f>E7*가정!$C$42</f>
        <v>22105263.157894738</v>
      </c>
      <c r="R7" s="155">
        <f>F7*가정!$C$42</f>
        <v>35999999.999999993</v>
      </c>
      <c r="S7" s="155">
        <f>G7*가정!$C$42</f>
        <v>23210526.315789469</v>
      </c>
    </row>
    <row r="8" spans="1:19" ht="14.25" customHeight="1">
      <c r="A8" s="139">
        <v>4</v>
      </c>
      <c r="B8" s="139" t="s">
        <v>223</v>
      </c>
      <c r="C8" s="139" t="str">
        <f>CA_개요!C8</f>
        <v>품질보증(QA)</v>
      </c>
      <c r="D8" s="154">
        <f>실적MM_입력!E8</f>
        <v>3.3157894736842102</v>
      </c>
      <c r="E8" s="154">
        <f>$D8*($N$4/가정!$C$31)</f>
        <v>1.9342105263157894</v>
      </c>
      <c r="F8" s="154">
        <f>$D8*CA_개요!J8/100</f>
        <v>2.9609999999999999</v>
      </c>
      <c r="G8" s="154">
        <f>SUMPRODUCT((실적MM_입력!$B$5:$B$33=B8)*실적MM_입력!$AD$5:$AD$33)</f>
        <v>1.9342105263157889</v>
      </c>
      <c r="H8" s="154">
        <f t="shared" si="0"/>
        <v>1.0267894736842105</v>
      </c>
      <c r="I8" s="154">
        <f t="shared" si="1"/>
        <v>1.0267894736842109</v>
      </c>
      <c r="J8" s="154">
        <f t="shared" si="2"/>
        <v>1.5308571428571429</v>
      </c>
      <c r="K8" s="154">
        <f t="shared" si="3"/>
        <v>1.5308571428571431</v>
      </c>
      <c r="L8" s="23"/>
      <c r="M8" s="23"/>
      <c r="N8" s="23"/>
      <c r="O8" s="23">
        <f t="shared" si="4"/>
        <v>1.5308579428571432</v>
      </c>
      <c r="P8" s="155">
        <f>D8*가정!$C$42</f>
        <v>26526315.789473683</v>
      </c>
      <c r="Q8" s="155">
        <f>E8*가정!$C$42</f>
        <v>15473684.210526315</v>
      </c>
      <c r="R8" s="155">
        <f>F8*가정!$C$42</f>
        <v>23688000</v>
      </c>
      <c r="S8" s="155">
        <f>G8*가정!$C$42</f>
        <v>15473684.210526312</v>
      </c>
    </row>
    <row r="9" spans="1:19" ht="14.25" customHeight="1">
      <c r="A9" s="139">
        <v>5</v>
      </c>
      <c r="B9" s="139" t="s">
        <v>226</v>
      </c>
      <c r="C9" s="139" t="str">
        <f>CA_개요!C9</f>
        <v>형상관리(CM)</v>
      </c>
      <c r="D9" s="154">
        <f>실적MM_입력!E9</f>
        <v>3.7894736842105257</v>
      </c>
      <c r="E9" s="154">
        <f>$D9*($N$4/가정!$C$31)</f>
        <v>2.2105263157894735</v>
      </c>
      <c r="F9" s="154">
        <f>$D9*CA_개요!J9/100</f>
        <v>3.4332631578947361</v>
      </c>
      <c r="G9" s="154">
        <f>SUMPRODUCT((실적MM_입력!$B$5:$B$33=B9)*실적MM_입력!$AD$5:$AD$33)</f>
        <v>2.210526315789473</v>
      </c>
      <c r="H9" s="154">
        <f t="shared" si="0"/>
        <v>1.2227368421052627</v>
      </c>
      <c r="I9" s="154">
        <f t="shared" si="1"/>
        <v>1.2227368421052631</v>
      </c>
      <c r="J9" s="154">
        <f t="shared" si="2"/>
        <v>1.5531428571428569</v>
      </c>
      <c r="K9" s="154">
        <f t="shared" si="3"/>
        <v>1.5531428571428574</v>
      </c>
      <c r="L9" s="23"/>
      <c r="M9" s="23"/>
      <c r="N9" s="23"/>
      <c r="O9" s="23">
        <f t="shared" si="4"/>
        <v>1.5531437571428575</v>
      </c>
      <c r="P9" s="155">
        <f>D9*가정!$C$42</f>
        <v>30315789.473684207</v>
      </c>
      <c r="Q9" s="155">
        <f>E9*가정!$C$42</f>
        <v>17684210.526315786</v>
      </c>
      <c r="R9" s="155">
        <f>F9*가정!$C$42</f>
        <v>27466105.263157889</v>
      </c>
      <c r="S9" s="155">
        <f>G9*가정!$C$42</f>
        <v>17684210.526315782</v>
      </c>
    </row>
    <row r="10" spans="1:19" ht="14.25" customHeight="1">
      <c r="A10" s="139">
        <v>6</v>
      </c>
      <c r="B10" s="139" t="s">
        <v>229</v>
      </c>
      <c r="C10" s="139" t="str">
        <f>CA_개요!C10</f>
        <v>문제해결관리</v>
      </c>
      <c r="D10" s="154">
        <f>실적MM_입력!E10</f>
        <v>3.3157894736842102</v>
      </c>
      <c r="E10" s="154">
        <f>$D10*($N$4/가정!$C$31)</f>
        <v>1.9342105263157894</v>
      </c>
      <c r="F10" s="154">
        <f>$D10*CA_개요!J10/100</f>
        <v>2.9609999999999999</v>
      </c>
      <c r="G10" s="154">
        <f>SUMPRODUCT((실적MM_입력!$B$5:$B$33=B10)*실적MM_입력!$AD$5:$AD$33)</f>
        <v>1.9342105263157889</v>
      </c>
      <c r="H10" s="154">
        <f t="shared" si="0"/>
        <v>1.0267894736842105</v>
      </c>
      <c r="I10" s="154">
        <f t="shared" si="1"/>
        <v>1.0267894736842109</v>
      </c>
      <c r="J10" s="154">
        <f t="shared" si="2"/>
        <v>1.5308571428571429</v>
      </c>
      <c r="K10" s="154">
        <f t="shared" si="3"/>
        <v>1.5308571428571431</v>
      </c>
      <c r="L10" s="23"/>
      <c r="M10" s="23"/>
      <c r="N10" s="23"/>
      <c r="O10" s="23">
        <f t="shared" si="4"/>
        <v>1.5308581428571431</v>
      </c>
      <c r="P10" s="155">
        <f>D10*가정!$C$42</f>
        <v>26526315.789473683</v>
      </c>
      <c r="Q10" s="155">
        <f>E10*가정!$C$42</f>
        <v>15473684.210526315</v>
      </c>
      <c r="R10" s="155">
        <f>F10*가정!$C$42</f>
        <v>23688000</v>
      </c>
      <c r="S10" s="155">
        <f>G10*가정!$C$42</f>
        <v>15473684.210526312</v>
      </c>
    </row>
    <row r="11" spans="1:19" ht="14.25" customHeight="1">
      <c r="A11" s="139">
        <v>7</v>
      </c>
      <c r="B11" s="139" t="s">
        <v>234</v>
      </c>
      <c r="C11" s="139" t="str">
        <f>CA_개요!C11</f>
        <v>변경요청관리</v>
      </c>
      <c r="D11" s="154">
        <f>실적MM_입력!E11</f>
        <v>2.8421052631578942</v>
      </c>
      <c r="E11" s="154">
        <f>$D11*($N$4/가정!$C$31)</f>
        <v>1.6578947368421051</v>
      </c>
      <c r="F11" s="154">
        <f>$D11*CA_개요!J11/100</f>
        <v>1.9184210526315786</v>
      </c>
      <c r="G11" s="154">
        <f>SUMPRODUCT((실적MM_입력!$B$5:$B$33=B11)*실적MM_입력!$AD$5:$AD$33)</f>
        <v>2.2381578947368417</v>
      </c>
      <c r="H11" s="154">
        <f t="shared" si="0"/>
        <v>0.26052631578947349</v>
      </c>
      <c r="I11" s="154">
        <f t="shared" si="1"/>
        <v>-0.3197368421052631</v>
      </c>
      <c r="J11" s="154">
        <f t="shared" si="2"/>
        <v>1.157142857142857</v>
      </c>
      <c r="K11" s="154">
        <f t="shared" si="3"/>
        <v>0.8571428571428571</v>
      </c>
      <c r="L11" s="23"/>
      <c r="M11" s="23"/>
      <c r="N11" s="23"/>
      <c r="O11" s="23">
        <f t="shared" si="4"/>
        <v>0.85714395714285707</v>
      </c>
      <c r="P11" s="155">
        <f>D11*가정!$C$42</f>
        <v>22736842.105263155</v>
      </c>
      <c r="Q11" s="155">
        <f>E11*가정!$C$42</f>
        <v>13263157.894736841</v>
      </c>
      <c r="R11" s="155">
        <f>F11*가정!$C$42</f>
        <v>15347368.421052629</v>
      </c>
      <c r="S11" s="155">
        <f>G11*가정!$C$42</f>
        <v>17905263.157894734</v>
      </c>
    </row>
    <row r="12" spans="1:19" ht="14.25" customHeight="1">
      <c r="A12" s="139">
        <v>8</v>
      </c>
      <c r="B12" s="139" t="s">
        <v>238</v>
      </c>
      <c r="C12" s="139" t="str">
        <f>CA_개요!C12</f>
        <v>ML 데이터관리(ASW에 포함)</v>
      </c>
      <c r="D12" s="154">
        <f>실적MM_입력!E12</f>
        <v>3.2195121951219514</v>
      </c>
      <c r="E12" s="154">
        <f>$D12*($N$4/가정!$C$31)</f>
        <v>1.8780487804878052</v>
      </c>
      <c r="F12" s="154">
        <f>$D12*CA_개요!J12/100</f>
        <v>2.9522926829268297</v>
      </c>
      <c r="G12" s="154">
        <f>SUMPRODUCT((실적MM_입력!$B$5:$B$33=B12)*실적MM_입력!$AD$5:$AD$33)</f>
        <v>1.878048780487805</v>
      </c>
      <c r="H12" s="154">
        <f t="shared" si="0"/>
        <v>1.0742439024390245</v>
      </c>
      <c r="I12" s="154">
        <f t="shared" si="1"/>
        <v>1.0742439024390247</v>
      </c>
      <c r="J12" s="154">
        <f t="shared" si="2"/>
        <v>1.5719999999999998</v>
      </c>
      <c r="K12" s="154">
        <f t="shared" si="3"/>
        <v>1.5720000000000001</v>
      </c>
      <c r="L12" s="23"/>
      <c r="M12" s="23"/>
      <c r="N12" s="23"/>
      <c r="O12" s="23">
        <f t="shared" si="4"/>
        <v>1.5720012000000001</v>
      </c>
      <c r="P12" s="155">
        <f>D12*가정!$C$42</f>
        <v>25756097.560975611</v>
      </c>
      <c r="Q12" s="155">
        <f>E12*가정!$C$42</f>
        <v>15024390.243902441</v>
      </c>
      <c r="R12" s="155">
        <f>F12*가정!$C$42</f>
        <v>23618341.463414636</v>
      </c>
      <c r="S12" s="155">
        <f>G12*가정!$C$42</f>
        <v>15024390.243902439</v>
      </c>
    </row>
    <row r="13" spans="1:19" ht="14.25" customHeight="1">
      <c r="A13" s="139">
        <v>9</v>
      </c>
      <c r="B13" s="139" t="s">
        <v>242</v>
      </c>
      <c r="C13" s="139" t="str">
        <f>CA_개요!C13</f>
        <v>시스템 요구사항분석</v>
      </c>
      <c r="D13" s="154">
        <f>실적MM_입력!E13</f>
        <v>2.2857142857142856</v>
      </c>
      <c r="E13" s="154">
        <f>$D13*($N$4/가정!$C$31)</f>
        <v>1.3333333333333333</v>
      </c>
      <c r="F13" s="154">
        <f>$D13*CA_개요!J13/100</f>
        <v>1.7142857142857142</v>
      </c>
      <c r="G13" s="154">
        <f>SUMPRODUCT((실적MM_입력!$B$5:$B$33=B13)*실적MM_입력!$AD$5:$AD$33)</f>
        <v>1.533333333333333</v>
      </c>
      <c r="H13" s="154">
        <f t="shared" si="0"/>
        <v>0.38095238095238093</v>
      </c>
      <c r="I13" s="154">
        <f t="shared" si="1"/>
        <v>0.1809523809523812</v>
      </c>
      <c r="J13" s="154">
        <f t="shared" si="2"/>
        <v>1.2857142857142858</v>
      </c>
      <c r="K13" s="154">
        <f t="shared" si="3"/>
        <v>1.1180124223602486</v>
      </c>
      <c r="L13" s="23"/>
      <c r="M13" s="23"/>
      <c r="N13" s="23"/>
      <c r="O13" s="23">
        <f t="shared" si="4"/>
        <v>1.1180137223602487</v>
      </c>
      <c r="P13" s="155">
        <f>D13*가정!$C$42</f>
        <v>18285714.285714284</v>
      </c>
      <c r="Q13" s="155">
        <f>E13*가정!$C$42</f>
        <v>10666666.666666666</v>
      </c>
      <c r="R13" s="155">
        <f>F13*가정!$C$42</f>
        <v>13714285.714285713</v>
      </c>
      <c r="S13" s="155">
        <f>G13*가정!$C$42</f>
        <v>12266666.666666664</v>
      </c>
    </row>
    <row r="14" spans="1:19" ht="14.25" customHeight="1">
      <c r="A14" s="139">
        <v>10</v>
      </c>
      <c r="B14" s="139" t="s">
        <v>246</v>
      </c>
      <c r="C14" s="139" t="str">
        <f>CA_개요!C14</f>
        <v>시스템 아키텍처설계</v>
      </c>
      <c r="D14" s="154">
        <f>실적MM_입력!E14</f>
        <v>1.9047619047619047</v>
      </c>
      <c r="E14" s="154">
        <f>$D14*($N$4/가정!$C$31)</f>
        <v>1.1111111111111112</v>
      </c>
      <c r="F14" s="154">
        <f>$D14*CA_개요!J14/100</f>
        <v>1.9047619047619044</v>
      </c>
      <c r="G14" s="154">
        <f>SUMPRODUCT((실적MM_입력!$B$5:$B$33=B14)*실적MM_입력!$AD$5:$AD$33)</f>
        <v>1.1111111111111112</v>
      </c>
      <c r="H14" s="154">
        <f t="shared" si="0"/>
        <v>0.79365079365079327</v>
      </c>
      <c r="I14" s="154">
        <f t="shared" si="1"/>
        <v>0.79365079365079327</v>
      </c>
      <c r="J14" s="154">
        <f t="shared" si="2"/>
        <v>1.714285714285714</v>
      </c>
      <c r="K14" s="154">
        <f t="shared" si="3"/>
        <v>1.714285714285714</v>
      </c>
      <c r="L14" s="23"/>
      <c r="M14" s="23"/>
      <c r="N14" s="23"/>
      <c r="O14" s="23">
        <f t="shared" si="4"/>
        <v>1.7142871142857139</v>
      </c>
      <c r="P14" s="155">
        <f>D14*가정!$C$42</f>
        <v>15238095.238095237</v>
      </c>
      <c r="Q14" s="155">
        <f>E14*가정!$C$42</f>
        <v>8888888.8888888899</v>
      </c>
      <c r="R14" s="155">
        <f>F14*가정!$C$42</f>
        <v>15238095.238095235</v>
      </c>
      <c r="S14" s="155">
        <f>G14*가정!$C$42</f>
        <v>8888888.8888888899</v>
      </c>
    </row>
    <row r="15" spans="1:19" ht="14.25" customHeight="1">
      <c r="A15" s="139">
        <v>11</v>
      </c>
      <c r="B15" s="139" t="s">
        <v>248</v>
      </c>
      <c r="C15" s="139" t="str">
        <f>CA_개요!C15</f>
        <v>시스템 통합/통합검증</v>
      </c>
      <c r="D15" s="154">
        <f>실적MM_입력!E15</f>
        <v>1.9047619047619047</v>
      </c>
      <c r="E15" s="154">
        <f>$D15*($N$4/가정!$C$31)</f>
        <v>1.1111111111111112</v>
      </c>
      <c r="F15" s="154">
        <f>$D15*CA_개요!J15/100</f>
        <v>1.6190476190476191</v>
      </c>
      <c r="G15" s="154">
        <f>SUMPRODUCT((실적MM_입력!$B$5:$B$33=B15)*실적MM_입력!$AD$5:$AD$33)</f>
        <v>1.1111111111111112</v>
      </c>
      <c r="H15" s="154">
        <f t="shared" si="0"/>
        <v>0.50793650793650791</v>
      </c>
      <c r="I15" s="154">
        <f t="shared" si="1"/>
        <v>0.50793650793650791</v>
      </c>
      <c r="J15" s="154">
        <f t="shared" si="2"/>
        <v>1.4571428571428571</v>
      </c>
      <c r="K15" s="154">
        <f t="shared" si="3"/>
        <v>1.4571428571428571</v>
      </c>
      <c r="L15" s="23"/>
      <c r="M15" s="23"/>
      <c r="N15" s="23"/>
      <c r="O15" s="23">
        <f t="shared" si="4"/>
        <v>1.4571443571428571</v>
      </c>
      <c r="P15" s="155">
        <f>D15*가정!$C$42</f>
        <v>15238095.238095237</v>
      </c>
      <c r="Q15" s="155">
        <f>E15*가정!$C$42</f>
        <v>8888888.8888888899</v>
      </c>
      <c r="R15" s="155">
        <f>F15*가정!$C$42</f>
        <v>12952380.952380953</v>
      </c>
      <c r="S15" s="155">
        <f>G15*가정!$C$42</f>
        <v>8888888.8888888899</v>
      </c>
    </row>
    <row r="16" spans="1:19" ht="14.25" customHeight="1">
      <c r="A16" s="139">
        <v>12</v>
      </c>
      <c r="B16" s="139" t="s">
        <v>250</v>
      </c>
      <c r="C16" s="139" t="str">
        <f>CA_개요!C16</f>
        <v>시스템 검증</v>
      </c>
      <c r="D16" s="154">
        <f>실적MM_입력!E16</f>
        <v>1.9047619047619047</v>
      </c>
      <c r="E16" s="154">
        <f>$D16*($N$4/가정!$C$31)</f>
        <v>1.1111111111111112</v>
      </c>
      <c r="F16" s="154">
        <f>$D16*CA_개요!J16/100</f>
        <v>0.5714285714285714</v>
      </c>
      <c r="G16" s="154">
        <f>SUMPRODUCT((실적MM_입력!$B$5:$B$33=B16)*실적MM_입력!$AD$5:$AD$33)</f>
        <v>1.1111111111111112</v>
      </c>
      <c r="H16" s="154">
        <f t="shared" si="0"/>
        <v>-0.53968253968253976</v>
      </c>
      <c r="I16" s="154">
        <f t="shared" si="1"/>
        <v>-0.53968253968253976</v>
      </c>
      <c r="J16" s="154">
        <f t="shared" si="2"/>
        <v>0.51428571428571423</v>
      </c>
      <c r="K16" s="154">
        <f t="shared" si="3"/>
        <v>0.51428571428571423</v>
      </c>
      <c r="L16" s="23"/>
      <c r="M16" s="23"/>
      <c r="N16" s="23"/>
      <c r="O16" s="23">
        <f t="shared" si="4"/>
        <v>0.51428731428571428</v>
      </c>
      <c r="P16" s="155">
        <f>D16*가정!$C$42</f>
        <v>15238095.238095237</v>
      </c>
      <c r="Q16" s="155">
        <f>E16*가정!$C$42</f>
        <v>8888888.8888888899</v>
      </c>
      <c r="R16" s="155">
        <f>F16*가정!$C$42</f>
        <v>4571428.5714285709</v>
      </c>
      <c r="S16" s="155">
        <f>G16*가정!$C$42</f>
        <v>8888888.8888888899</v>
      </c>
    </row>
    <row r="17" spans="1:19" ht="14.25" customHeight="1">
      <c r="A17" s="139">
        <v>13</v>
      </c>
      <c r="B17" s="139" t="s">
        <v>253</v>
      </c>
      <c r="C17" s="139" t="str">
        <f>CA_개요!C17</f>
        <v>SW 요구사항분석</v>
      </c>
      <c r="D17" s="154">
        <f>실적MM_입력!E17</f>
        <v>3.2727272727272725</v>
      </c>
      <c r="E17" s="154">
        <f>$D17*($N$4/가정!$C$31)</f>
        <v>1.9090909090909092</v>
      </c>
      <c r="F17" s="154">
        <f>$D17*CA_개요!J17/100</f>
        <v>2.4545454545454546</v>
      </c>
      <c r="G17" s="154">
        <f>SUMPRODUCT((실적MM_입력!$B$5:$B$33=B17)*실적MM_입력!$AD$5:$AD$33)</f>
        <v>2.1954545454545449</v>
      </c>
      <c r="H17" s="154">
        <f t="shared" si="0"/>
        <v>0.54545454545454541</v>
      </c>
      <c r="I17" s="154">
        <f t="shared" si="1"/>
        <v>0.2590909090909097</v>
      </c>
      <c r="J17" s="154">
        <f t="shared" si="2"/>
        <v>1.2857142857142856</v>
      </c>
      <c r="K17" s="154">
        <f t="shared" si="3"/>
        <v>1.1180124223602488</v>
      </c>
      <c r="L17" s="23"/>
      <c r="M17" s="23"/>
      <c r="N17" s="23"/>
      <c r="O17" s="23">
        <f t="shared" si="4"/>
        <v>1.1180141223602489</v>
      </c>
      <c r="P17" s="155">
        <f>D17*가정!$C$42</f>
        <v>26181818.18181818</v>
      </c>
      <c r="Q17" s="155">
        <f>E17*가정!$C$42</f>
        <v>15272727.272727273</v>
      </c>
      <c r="R17" s="155">
        <f>F17*가정!$C$42</f>
        <v>19636363.636363637</v>
      </c>
      <c r="S17" s="155">
        <f>G17*가정!$C$42</f>
        <v>17563636.36363636</v>
      </c>
    </row>
    <row r="18" spans="1:19" ht="14.25" customHeight="1">
      <c r="A18" s="139">
        <v>14</v>
      </c>
      <c r="B18" s="139" t="s">
        <v>256</v>
      </c>
      <c r="C18" s="139" t="str">
        <f>CA_개요!C18</f>
        <v>SW 아키텍처설계</v>
      </c>
      <c r="D18" s="154">
        <f>실적MM_입력!E18</f>
        <v>2.7272727272727271</v>
      </c>
      <c r="E18" s="154">
        <f>$D18*($N$4/가정!$C$31)</f>
        <v>1.5909090909090908</v>
      </c>
      <c r="F18" s="154">
        <f>$D18*CA_개요!J18/100</f>
        <v>2.7272727272727271</v>
      </c>
      <c r="G18" s="154">
        <f>SUMPRODUCT((실적MM_입력!$B$5:$B$33=B18)*실적MM_입력!$AD$5:$AD$33)</f>
        <v>1.5909090909090908</v>
      </c>
      <c r="H18" s="154">
        <f t="shared" si="0"/>
        <v>1.1363636363636362</v>
      </c>
      <c r="I18" s="154">
        <f t="shared" si="1"/>
        <v>1.1363636363636362</v>
      </c>
      <c r="J18" s="154">
        <f t="shared" si="2"/>
        <v>1.7142857142857142</v>
      </c>
      <c r="K18" s="154">
        <f t="shared" si="3"/>
        <v>1.7142857142857142</v>
      </c>
      <c r="L18" s="23"/>
      <c r="M18" s="23"/>
      <c r="N18" s="23"/>
      <c r="O18" s="23">
        <f t="shared" si="4"/>
        <v>1.7142875142857141</v>
      </c>
      <c r="P18" s="155">
        <f>D18*가정!$C$42</f>
        <v>21818181.818181816</v>
      </c>
      <c r="Q18" s="155">
        <f>E18*가정!$C$42</f>
        <v>12727272.727272727</v>
      </c>
      <c r="R18" s="155">
        <f>F18*가정!$C$42</f>
        <v>21818181.818181816</v>
      </c>
      <c r="S18" s="155">
        <f>G18*가정!$C$42</f>
        <v>12727272.727272727</v>
      </c>
    </row>
    <row r="19" spans="1:19" ht="14.25" customHeight="1">
      <c r="A19" s="139">
        <v>15</v>
      </c>
      <c r="B19" s="139" t="s">
        <v>258</v>
      </c>
      <c r="C19" s="139" t="str">
        <f>CA_개요!C19</f>
        <v>SW 상세설계/단위구현(ASW)</v>
      </c>
      <c r="D19" s="154">
        <f>실적MM_입력!E19</f>
        <v>2.6829268292682928</v>
      </c>
      <c r="E19" s="154">
        <f>$D19*($N$4/가정!$C$31)</f>
        <v>1.5650406504065042</v>
      </c>
      <c r="F19" s="154">
        <f>$D19*CA_개요!J19/100</f>
        <v>1.7439024390243905</v>
      </c>
      <c r="G19" s="154">
        <f>SUMPRODUCT((실적MM_입력!$B$5:$B$33=B19)*실적MM_입력!$AD$5:$AD$33)</f>
        <v>1.721544715447155</v>
      </c>
      <c r="H19" s="154">
        <f t="shared" si="0"/>
        <v>0.17886178861788626</v>
      </c>
      <c r="I19" s="154">
        <f t="shared" si="1"/>
        <v>2.2357723577235422E-2</v>
      </c>
      <c r="J19" s="154">
        <f t="shared" si="2"/>
        <v>1.1142857142857143</v>
      </c>
      <c r="K19" s="154">
        <f t="shared" si="3"/>
        <v>1.0129870129870129</v>
      </c>
      <c r="L19" s="23"/>
      <c r="M19" s="23"/>
      <c r="N19" s="23"/>
      <c r="O19" s="23">
        <f t="shared" si="4"/>
        <v>1.0129889129870129</v>
      </c>
      <c r="P19" s="155">
        <f>D19*가정!$C$42</f>
        <v>21463414.634146344</v>
      </c>
      <c r="Q19" s="155">
        <f>E19*가정!$C$42</f>
        <v>12520325.203252034</v>
      </c>
      <c r="R19" s="155">
        <f>F19*가정!$C$42</f>
        <v>13951219.512195123</v>
      </c>
      <c r="S19" s="155">
        <f>G19*가정!$C$42</f>
        <v>13772357.72357724</v>
      </c>
    </row>
    <row r="20" spans="1:19" ht="14.25" customHeight="1">
      <c r="A20" s="139">
        <v>16</v>
      </c>
      <c r="B20" s="139" t="s">
        <v>262</v>
      </c>
      <c r="C20" s="139" t="str">
        <f>CA_개요!C20</f>
        <v>SW 상세설계/단위구현(BSW)</v>
      </c>
      <c r="D20" s="154">
        <f>실적MM_입력!E20</f>
        <v>10</v>
      </c>
      <c r="E20" s="154">
        <f>$D20*($N$4/가정!$C$31)</f>
        <v>5.8333333333333339</v>
      </c>
      <c r="F20" s="154">
        <f>$D20*CA_개요!J20/100</f>
        <v>10</v>
      </c>
      <c r="G20" s="154">
        <f>SUMPRODUCT((실적MM_입력!$B$5:$B$33=B20)*실적MM_입력!$AD$5:$AD$33)</f>
        <v>5.541666666666667</v>
      </c>
      <c r="H20" s="154">
        <f t="shared" si="0"/>
        <v>4.1666666666666661</v>
      </c>
      <c r="I20" s="154">
        <f t="shared" si="1"/>
        <v>4.458333333333333</v>
      </c>
      <c r="J20" s="154">
        <f t="shared" si="2"/>
        <v>1.7142857142857142</v>
      </c>
      <c r="K20" s="154">
        <f t="shared" si="3"/>
        <v>1.8045112781954886</v>
      </c>
      <c r="L20" s="23"/>
      <c r="M20" s="23"/>
      <c r="N20" s="23"/>
      <c r="O20" s="23">
        <f t="shared" si="4"/>
        <v>1.8045132781954887</v>
      </c>
      <c r="P20" s="155">
        <f>D20*가정!$C$42</f>
        <v>80000000</v>
      </c>
      <c r="Q20" s="155">
        <f>E20*가정!$C$42</f>
        <v>46666666.666666672</v>
      </c>
      <c r="R20" s="155">
        <f>F20*가정!$C$42</f>
        <v>80000000</v>
      </c>
      <c r="S20" s="155">
        <f>G20*가정!$C$42</f>
        <v>44333333.333333336</v>
      </c>
    </row>
    <row r="21" spans="1:19" ht="14.25" customHeight="1">
      <c r="A21" s="139">
        <v>17</v>
      </c>
      <c r="B21" s="139" t="s">
        <v>266</v>
      </c>
      <c r="C21" s="139" t="str">
        <f>CA_개요!C21</f>
        <v>SW 단위검증(ASW)</v>
      </c>
      <c r="D21" s="154">
        <f>실적MM_입력!E21</f>
        <v>2.6829268292682928</v>
      </c>
      <c r="E21" s="154">
        <f>$D21*($N$4/가정!$C$31)</f>
        <v>1.5650406504065042</v>
      </c>
      <c r="F21" s="154">
        <f>$D21*CA_개요!J21/100</f>
        <v>1.7439024390243905</v>
      </c>
      <c r="G21" s="154">
        <f>SUMPRODUCT((실적MM_입력!$B$5:$B$33=B21)*실적MM_입력!$AD$5:$AD$33)</f>
        <v>1.6432926829268297</v>
      </c>
      <c r="H21" s="154">
        <f t="shared" si="0"/>
        <v>0.17886178861788626</v>
      </c>
      <c r="I21" s="154">
        <f t="shared" si="1"/>
        <v>0.10060975609756073</v>
      </c>
      <c r="J21" s="154">
        <f t="shared" si="2"/>
        <v>1.1142857142857143</v>
      </c>
      <c r="K21" s="154">
        <f t="shared" si="3"/>
        <v>1.0612244897959182</v>
      </c>
      <c r="L21" s="23"/>
      <c r="M21" s="23"/>
      <c r="N21" s="23"/>
      <c r="O21" s="23">
        <f t="shared" si="4"/>
        <v>1.0612265897959181</v>
      </c>
      <c r="P21" s="155">
        <f>D21*가정!$C$42</f>
        <v>21463414.634146344</v>
      </c>
      <c r="Q21" s="155">
        <f>E21*가정!$C$42</f>
        <v>12520325.203252034</v>
      </c>
      <c r="R21" s="155">
        <f>F21*가정!$C$42</f>
        <v>13951219.512195123</v>
      </c>
      <c r="S21" s="155">
        <f>G21*가정!$C$42</f>
        <v>13146341.463414637</v>
      </c>
    </row>
    <row r="22" spans="1:19" ht="14.25" customHeight="1">
      <c r="A22" s="139">
        <v>18</v>
      </c>
      <c r="B22" s="139" t="s">
        <v>269</v>
      </c>
      <c r="C22" s="139" t="str">
        <f>CA_개요!C22</f>
        <v>SW 단위검증(BSW)</v>
      </c>
      <c r="D22" s="154">
        <f>실적MM_입력!E22</f>
        <v>10</v>
      </c>
      <c r="E22" s="154">
        <f>$D22*($N$4/가정!$C$31)</f>
        <v>5.8333333333333339</v>
      </c>
      <c r="F22" s="154">
        <f>$D22*CA_개요!J22/100</f>
        <v>10</v>
      </c>
      <c r="G22" s="154">
        <f>SUMPRODUCT((실적MM_입력!$B$5:$B$33=B22)*실적MM_입력!$AD$5:$AD$33)</f>
        <v>5.541666666666667</v>
      </c>
      <c r="H22" s="154">
        <f t="shared" si="0"/>
        <v>4.1666666666666661</v>
      </c>
      <c r="I22" s="154">
        <f t="shared" si="1"/>
        <v>4.458333333333333</v>
      </c>
      <c r="J22" s="154">
        <f t="shared" si="2"/>
        <v>1.7142857142857142</v>
      </c>
      <c r="K22" s="154">
        <f t="shared" si="3"/>
        <v>1.8045112781954886</v>
      </c>
      <c r="L22" s="23"/>
      <c r="M22" s="23"/>
      <c r="N22" s="23"/>
      <c r="O22" s="23">
        <f t="shared" si="4"/>
        <v>1.8045134781954886</v>
      </c>
      <c r="P22" s="155">
        <f>D22*가정!$C$42</f>
        <v>80000000</v>
      </c>
      <c r="Q22" s="155">
        <f>E22*가정!$C$42</f>
        <v>46666666.666666672</v>
      </c>
      <c r="R22" s="155">
        <f>F22*가정!$C$42</f>
        <v>80000000</v>
      </c>
      <c r="S22" s="155">
        <f>G22*가정!$C$42</f>
        <v>44333333.333333336</v>
      </c>
    </row>
    <row r="23" spans="1:19" ht="14.25" customHeight="1">
      <c r="A23" s="139">
        <v>19</v>
      </c>
      <c r="B23" s="139" t="s">
        <v>272</v>
      </c>
      <c r="C23" s="139" t="str">
        <f>CA_개요!C23</f>
        <v>SW 통합/통합검증</v>
      </c>
      <c r="D23" s="154">
        <f>실적MM_입력!E23</f>
        <v>6</v>
      </c>
      <c r="E23" s="154">
        <f>$D23*($N$4/가정!$C$31)</f>
        <v>3.5</v>
      </c>
      <c r="F23" s="154">
        <f>$D23*CA_개요!J23/100</f>
        <v>5.1420000000000003</v>
      </c>
      <c r="G23" s="154">
        <f>SUMPRODUCT((실적MM_입력!$B$5:$B$33=B23)*실적MM_입력!$AD$5:$AD$33)</f>
        <v>3.5</v>
      </c>
      <c r="H23" s="154">
        <f t="shared" si="0"/>
        <v>1.6420000000000003</v>
      </c>
      <c r="I23" s="154">
        <f t="shared" si="1"/>
        <v>1.6420000000000003</v>
      </c>
      <c r="J23" s="154">
        <f t="shared" si="2"/>
        <v>1.4691428571428573</v>
      </c>
      <c r="K23" s="154">
        <f t="shared" si="3"/>
        <v>1.4691428571428573</v>
      </c>
      <c r="L23" s="23"/>
      <c r="M23" s="23"/>
      <c r="N23" s="23"/>
      <c r="O23" s="23">
        <f t="shared" si="4"/>
        <v>1.4691451571428573</v>
      </c>
      <c r="P23" s="155">
        <f>D23*가정!$C$42</f>
        <v>48000000</v>
      </c>
      <c r="Q23" s="155">
        <f>E23*가정!$C$42</f>
        <v>28000000</v>
      </c>
      <c r="R23" s="155">
        <f>F23*가정!$C$42</f>
        <v>41136000</v>
      </c>
      <c r="S23" s="155">
        <f>G23*가정!$C$42</f>
        <v>28000000</v>
      </c>
    </row>
    <row r="24" spans="1:19" ht="14.25" customHeight="1">
      <c r="A24" s="139">
        <v>20</v>
      </c>
      <c r="B24" s="139" t="s">
        <v>275</v>
      </c>
      <c r="C24" s="139" t="str">
        <f>CA_개요!C24</f>
        <v>SW 검증</v>
      </c>
      <c r="D24" s="154">
        <f>실적MM_입력!E24</f>
        <v>1</v>
      </c>
      <c r="E24" s="154">
        <f>$D24*($N$4/가정!$C$31)</f>
        <v>0.58333333333333337</v>
      </c>
      <c r="F24" s="154">
        <f>$D24*CA_개요!J24/100</f>
        <v>0.3</v>
      </c>
      <c r="G24" s="154">
        <f>SUMPRODUCT((실적MM_입력!$B$5:$B$33=B24)*실적MM_입력!$AD$5:$AD$33)</f>
        <v>0.58333333333333326</v>
      </c>
      <c r="H24" s="154">
        <f t="shared" si="0"/>
        <v>-0.28333333333333338</v>
      </c>
      <c r="I24" s="154">
        <f t="shared" si="1"/>
        <v>-0.28333333333333327</v>
      </c>
      <c r="J24" s="154">
        <f t="shared" si="2"/>
        <v>0.51428571428571423</v>
      </c>
      <c r="K24" s="154">
        <f t="shared" si="3"/>
        <v>0.51428571428571435</v>
      </c>
      <c r="L24" s="23"/>
      <c r="M24" s="23"/>
      <c r="N24" s="23"/>
      <c r="O24" s="23">
        <f t="shared" si="4"/>
        <v>0.5142881142857143</v>
      </c>
      <c r="P24" s="155">
        <f>D24*가정!$C$42</f>
        <v>8000000</v>
      </c>
      <c r="Q24" s="155">
        <f>E24*가정!$C$42</f>
        <v>4666666.666666667</v>
      </c>
      <c r="R24" s="155">
        <f>F24*가정!$C$42</f>
        <v>2400000</v>
      </c>
      <c r="S24" s="155">
        <f>G24*가정!$C$42</f>
        <v>4666666.666666666</v>
      </c>
    </row>
    <row r="25" spans="1:19" ht="14.25" customHeight="1">
      <c r="A25" s="139">
        <v>21</v>
      </c>
      <c r="B25" s="139" t="s">
        <v>278</v>
      </c>
      <c r="C25" s="139" t="str">
        <f>CA_개요!C25</f>
        <v>제품확인(Validation)</v>
      </c>
      <c r="D25" s="154">
        <f>실적MM_입력!E25</f>
        <v>1</v>
      </c>
      <c r="E25" s="154">
        <f>$D25*($N$4/가정!$C$31)</f>
        <v>0.58333333333333337</v>
      </c>
      <c r="F25" s="154">
        <f>$D25*CA_개요!J25/100</f>
        <v>0</v>
      </c>
      <c r="G25" s="154">
        <f>SUMPRODUCT((실적MM_입력!$B$5:$B$33=B25)*실적MM_입력!$AD$5:$AD$33)</f>
        <v>0.58333333333333326</v>
      </c>
      <c r="H25" s="154">
        <f t="shared" si="0"/>
        <v>-0.58333333333333337</v>
      </c>
      <c r="I25" s="154">
        <f t="shared" si="1"/>
        <v>-0.58333333333333326</v>
      </c>
      <c r="J25" s="154">
        <f t="shared" si="2"/>
        <v>0</v>
      </c>
      <c r="K25" s="154">
        <f t="shared" si="3"/>
        <v>0</v>
      </c>
      <c r="L25" s="23"/>
      <c r="M25" s="23"/>
      <c r="N25" s="23"/>
      <c r="O25" s="23">
        <f t="shared" si="4"/>
        <v>2.4999999999999998E-6</v>
      </c>
      <c r="P25" s="155">
        <f>D25*가정!$C$42</f>
        <v>8000000</v>
      </c>
      <c r="Q25" s="155">
        <f>E25*가정!$C$42</f>
        <v>4666666.666666667</v>
      </c>
      <c r="R25" s="155">
        <f>F25*가정!$C$42</f>
        <v>0</v>
      </c>
      <c r="S25" s="155">
        <f>G25*가정!$C$42</f>
        <v>4666666.666666666</v>
      </c>
    </row>
    <row r="26" spans="1:19" ht="14.25" customHeight="1">
      <c r="A26" s="139">
        <v>22</v>
      </c>
      <c r="B26" s="139" t="s">
        <v>281</v>
      </c>
      <c r="C26" s="139" t="str">
        <f>CA_개요!C26</f>
        <v>ML 요구사항분석(ASW에 포함)</v>
      </c>
      <c r="D26" s="154">
        <f>실적MM_입력!E26</f>
        <v>3.2195121951219514</v>
      </c>
      <c r="E26" s="154">
        <f>$D26*($N$4/가정!$C$31)</f>
        <v>1.8780487804878052</v>
      </c>
      <c r="F26" s="154">
        <f>$D26*CA_개요!J26/100</f>
        <v>3.2195121951219519</v>
      </c>
      <c r="G26" s="154">
        <f>SUMPRODUCT((실적MM_입력!$B$5:$B$33=B26)*실적MM_입력!$AD$5:$AD$33)</f>
        <v>1.878048780487805</v>
      </c>
      <c r="H26" s="154">
        <f t="shared" si="0"/>
        <v>1.3414634146341466</v>
      </c>
      <c r="I26" s="154">
        <f t="shared" si="1"/>
        <v>1.3414634146341469</v>
      </c>
      <c r="J26" s="154">
        <f t="shared" si="2"/>
        <v>1.7142857142857144</v>
      </c>
      <c r="K26" s="154">
        <f t="shared" si="3"/>
        <v>1.7142857142857144</v>
      </c>
      <c r="L26" s="23"/>
      <c r="M26" s="23"/>
      <c r="N26" s="23"/>
      <c r="O26" s="23">
        <f t="shared" si="4"/>
        <v>1.7142883142857144</v>
      </c>
      <c r="P26" s="155">
        <f>D26*가정!$C$42</f>
        <v>25756097.560975611</v>
      </c>
      <c r="Q26" s="155">
        <f>E26*가정!$C$42</f>
        <v>15024390.243902441</v>
      </c>
      <c r="R26" s="155">
        <f>F26*가정!$C$42</f>
        <v>25756097.560975615</v>
      </c>
      <c r="S26" s="155">
        <f>G26*가정!$C$42</f>
        <v>15024390.243902439</v>
      </c>
    </row>
    <row r="27" spans="1:19" ht="14.25" customHeight="1">
      <c r="A27" s="139">
        <v>23</v>
      </c>
      <c r="B27" s="139" t="s">
        <v>284</v>
      </c>
      <c r="C27" s="139" t="str">
        <f>CA_개요!C27</f>
        <v>ML 아키텍처설계(ASW에 포함)</v>
      </c>
      <c r="D27" s="154">
        <f>실적MM_입력!E27</f>
        <v>3.7560975609756104</v>
      </c>
      <c r="E27" s="154">
        <f>$D27*($N$4/가정!$C$31)</f>
        <v>2.191056910569106</v>
      </c>
      <c r="F27" s="154">
        <f>$D27*CA_개요!J27/100</f>
        <v>3.7560975609756104</v>
      </c>
      <c r="G27" s="154">
        <f>SUMPRODUCT((실적MM_입력!$B$5:$B$33=B27)*실적MM_입력!$AD$5:$AD$33)</f>
        <v>2.191056910569106</v>
      </c>
      <c r="H27" s="154">
        <f t="shared" si="0"/>
        <v>1.5650406504065044</v>
      </c>
      <c r="I27" s="154">
        <f t="shared" si="1"/>
        <v>1.5650406504065044</v>
      </c>
      <c r="J27" s="154">
        <f t="shared" si="2"/>
        <v>1.7142857142857144</v>
      </c>
      <c r="K27" s="154">
        <f t="shared" si="3"/>
        <v>1.7142857142857144</v>
      </c>
      <c r="L27" s="23"/>
      <c r="M27" s="23"/>
      <c r="N27" s="23"/>
      <c r="O27" s="23">
        <f t="shared" si="4"/>
        <v>1.7142884142857144</v>
      </c>
      <c r="P27" s="155">
        <f>D27*가정!$C$42</f>
        <v>30048780.487804882</v>
      </c>
      <c r="Q27" s="155">
        <f>E27*가정!$C$42</f>
        <v>17528455.28455285</v>
      </c>
      <c r="R27" s="155">
        <f>F27*가정!$C$42</f>
        <v>30048780.487804882</v>
      </c>
      <c r="S27" s="155">
        <f>G27*가정!$C$42</f>
        <v>17528455.28455285</v>
      </c>
    </row>
    <row r="28" spans="1:19" ht="14.25" customHeight="1">
      <c r="A28" s="139">
        <v>24</v>
      </c>
      <c r="B28" s="139" t="s">
        <v>286</v>
      </c>
      <c r="C28" s="139" t="str">
        <f>CA_개요!C28</f>
        <v>ML 훈련/검증(ASW에 포함)</v>
      </c>
      <c r="D28" s="154">
        <f>실적MM_입력!E28</f>
        <v>2.6829268292682928</v>
      </c>
      <c r="E28" s="154">
        <f>$D28*($N$4/가정!$C$31)</f>
        <v>1.5650406504065042</v>
      </c>
      <c r="F28" s="154">
        <f>$D28*CA_개요!J28/100</f>
        <v>2.280487804878049</v>
      </c>
      <c r="G28" s="154">
        <f>SUMPRODUCT((실적MM_입력!$B$5:$B$33=B28)*실적MM_입력!$AD$5:$AD$33)</f>
        <v>1.5650406504065042</v>
      </c>
      <c r="H28" s="154">
        <f t="shared" si="0"/>
        <v>0.71544715447154483</v>
      </c>
      <c r="I28" s="154">
        <f t="shared" si="1"/>
        <v>0.71544715447154483</v>
      </c>
      <c r="J28" s="154">
        <f t="shared" si="2"/>
        <v>1.4571428571428571</v>
      </c>
      <c r="K28" s="154">
        <f t="shared" si="3"/>
        <v>1.4571428571428571</v>
      </c>
      <c r="L28" s="23"/>
      <c r="M28" s="23"/>
      <c r="N28" s="23"/>
      <c r="O28" s="23">
        <f t="shared" si="4"/>
        <v>1.4571456571428572</v>
      </c>
      <c r="P28" s="155">
        <f>D28*가정!$C$42</f>
        <v>21463414.634146344</v>
      </c>
      <c r="Q28" s="155">
        <f>E28*가정!$C$42</f>
        <v>12520325.203252034</v>
      </c>
      <c r="R28" s="155">
        <f>F28*가정!$C$42</f>
        <v>18243902.439024393</v>
      </c>
      <c r="S28" s="155">
        <f>G28*가정!$C$42</f>
        <v>12520325.203252034</v>
      </c>
    </row>
    <row r="29" spans="1:19" ht="14.25" customHeight="1">
      <c r="A29" s="139">
        <v>25</v>
      </c>
      <c r="B29" s="139" t="s">
        <v>288</v>
      </c>
      <c r="C29" s="139" t="str">
        <f>CA_개요!C29</f>
        <v>ML 테스트(ASW에 포함)</v>
      </c>
      <c r="D29" s="154">
        <f>실적MM_입력!E29</f>
        <v>3.7560975609756104</v>
      </c>
      <c r="E29" s="154">
        <f>$D29*($N$4/가정!$C$31)</f>
        <v>2.191056910569106</v>
      </c>
      <c r="F29" s="154">
        <f>$D29*CA_개요!J29/100</f>
        <v>1.2057073170731709</v>
      </c>
      <c r="G29" s="154">
        <f>SUMPRODUCT((실적MM_입력!$B$5:$B$33=B29)*실적MM_입력!$AD$5:$AD$33)</f>
        <v>2.191056910569106</v>
      </c>
      <c r="H29" s="154">
        <f t="shared" si="0"/>
        <v>-0.98534959349593509</v>
      </c>
      <c r="I29" s="154">
        <f t="shared" si="1"/>
        <v>-0.98534959349593509</v>
      </c>
      <c r="J29" s="154">
        <f t="shared" si="2"/>
        <v>0.55028571428571427</v>
      </c>
      <c r="K29" s="154">
        <f t="shared" si="3"/>
        <v>0.55028571428571427</v>
      </c>
      <c r="L29" s="23"/>
      <c r="M29" s="23"/>
      <c r="N29" s="23"/>
      <c r="O29" s="23">
        <f t="shared" si="4"/>
        <v>0.55028861428571429</v>
      </c>
      <c r="P29" s="155">
        <f>D29*가정!$C$42</f>
        <v>30048780.487804882</v>
      </c>
      <c r="Q29" s="155">
        <f>E29*가정!$C$42</f>
        <v>17528455.28455285</v>
      </c>
      <c r="R29" s="155">
        <f>F29*가정!$C$42</f>
        <v>9645658.5365853682</v>
      </c>
      <c r="S29" s="155">
        <f>G29*가정!$C$42</f>
        <v>17528455.28455285</v>
      </c>
    </row>
    <row r="30" spans="1:19" ht="14.25" customHeight="1">
      <c r="A30" s="139">
        <v>26</v>
      </c>
      <c r="B30" s="139" t="s">
        <v>290</v>
      </c>
      <c r="C30" s="139" t="str">
        <f>CA_개요!C30</f>
        <v>HW 요구사항분석</v>
      </c>
      <c r="D30" s="154">
        <f>실적MM_입력!E30</f>
        <v>1.5</v>
      </c>
      <c r="E30" s="154">
        <f>$D30*($N$4/가정!$C$31)</f>
        <v>0.875</v>
      </c>
      <c r="F30" s="154">
        <f>$D30*CA_개요!J30/100</f>
        <v>1.5</v>
      </c>
      <c r="G30" s="154">
        <f>SUMPRODUCT((실적MM_입력!$B$5:$B$33=B30)*실적MM_입력!$AD$5:$AD$33)</f>
        <v>0.83125000000000004</v>
      </c>
      <c r="H30" s="154">
        <f t="shared" si="0"/>
        <v>0.625</v>
      </c>
      <c r="I30" s="154">
        <f t="shared" si="1"/>
        <v>0.66874999999999996</v>
      </c>
      <c r="J30" s="154">
        <f t="shared" si="2"/>
        <v>1.7142857142857142</v>
      </c>
      <c r="K30" s="154">
        <f t="shared" si="3"/>
        <v>1.8045112781954886</v>
      </c>
      <c r="L30" s="23"/>
      <c r="M30" s="23"/>
      <c r="N30" s="23"/>
      <c r="O30" s="23">
        <f t="shared" si="4"/>
        <v>1.8045142781954886</v>
      </c>
      <c r="P30" s="155">
        <f>D30*가정!$C$42</f>
        <v>12000000</v>
      </c>
      <c r="Q30" s="155">
        <f>E30*가정!$C$42</f>
        <v>7000000</v>
      </c>
      <c r="R30" s="155">
        <f>F30*가정!$C$42</f>
        <v>12000000</v>
      </c>
      <c r="S30" s="155">
        <f>G30*가정!$C$42</f>
        <v>6650000</v>
      </c>
    </row>
    <row r="31" spans="1:19" ht="14.25" customHeight="1">
      <c r="A31" s="139">
        <v>27</v>
      </c>
      <c r="B31" s="139" t="s">
        <v>294</v>
      </c>
      <c r="C31" s="139" t="str">
        <f>CA_개요!C31</f>
        <v>HW 아키텍처/상세설계</v>
      </c>
      <c r="D31" s="154">
        <f>실적MM_입력!E31</f>
        <v>1.5</v>
      </c>
      <c r="E31" s="154">
        <f>$D31*($N$4/가정!$C$31)</f>
        <v>0.875</v>
      </c>
      <c r="F31" s="154">
        <f>$D31*CA_개요!J31/100</f>
        <v>1.5</v>
      </c>
      <c r="G31" s="154">
        <f>SUMPRODUCT((실적MM_입력!$B$5:$B$33=B31)*실적MM_입력!$AD$5:$AD$33)</f>
        <v>0.83125000000000004</v>
      </c>
      <c r="H31" s="154">
        <f t="shared" si="0"/>
        <v>0.625</v>
      </c>
      <c r="I31" s="154">
        <f t="shared" si="1"/>
        <v>0.66874999999999996</v>
      </c>
      <c r="J31" s="154">
        <f t="shared" si="2"/>
        <v>1.7142857142857142</v>
      </c>
      <c r="K31" s="154">
        <f t="shared" si="3"/>
        <v>1.8045112781954886</v>
      </c>
      <c r="L31" s="23"/>
      <c r="M31" s="23"/>
      <c r="N31" s="23"/>
      <c r="O31" s="23">
        <f t="shared" si="4"/>
        <v>1.8045143781954887</v>
      </c>
      <c r="P31" s="155">
        <f>D31*가정!$C$42</f>
        <v>12000000</v>
      </c>
      <c r="Q31" s="155">
        <f>E31*가정!$C$42</f>
        <v>7000000</v>
      </c>
      <c r="R31" s="155">
        <f>F31*가정!$C$42</f>
        <v>12000000</v>
      </c>
      <c r="S31" s="155">
        <f>G31*가정!$C$42</f>
        <v>6650000</v>
      </c>
    </row>
    <row r="32" spans="1:19" ht="14.25" customHeight="1">
      <c r="A32" s="139">
        <v>28</v>
      </c>
      <c r="B32" s="139" t="s">
        <v>296</v>
      </c>
      <c r="C32" s="139" t="str">
        <f>CA_개요!C32</f>
        <v>HW 설계검증</v>
      </c>
      <c r="D32" s="154">
        <f>실적MM_입력!E32</f>
        <v>1.5</v>
      </c>
      <c r="E32" s="154">
        <f>$D32*($N$4/가정!$C$31)</f>
        <v>0.875</v>
      </c>
      <c r="F32" s="154">
        <f>$D32*CA_개요!J32/100</f>
        <v>1.35</v>
      </c>
      <c r="G32" s="154">
        <f>SUMPRODUCT((실적MM_입력!$B$5:$B$33=B32)*실적MM_입력!$AD$5:$AD$33)</f>
        <v>0.83125000000000004</v>
      </c>
      <c r="H32" s="154">
        <f t="shared" si="0"/>
        <v>0.47500000000000009</v>
      </c>
      <c r="I32" s="154">
        <f t="shared" si="1"/>
        <v>0.51875000000000004</v>
      </c>
      <c r="J32" s="154">
        <f t="shared" si="2"/>
        <v>1.5428571428571429</v>
      </c>
      <c r="K32" s="154">
        <f t="shared" si="3"/>
        <v>1.6240601503759398</v>
      </c>
      <c r="L32" s="23"/>
      <c r="M32" s="23"/>
      <c r="N32" s="23"/>
      <c r="O32" s="23">
        <f t="shared" si="4"/>
        <v>1.6240633503759399</v>
      </c>
      <c r="P32" s="155">
        <f>D32*가정!$C$42</f>
        <v>12000000</v>
      </c>
      <c r="Q32" s="155">
        <f>E32*가정!$C$42</f>
        <v>7000000</v>
      </c>
      <c r="R32" s="155">
        <f>F32*가정!$C$42</f>
        <v>10800000</v>
      </c>
      <c r="S32" s="155">
        <f>G32*가정!$C$42</f>
        <v>6650000</v>
      </c>
    </row>
    <row r="33" spans="1:19" ht="14.25" customHeight="1">
      <c r="A33" s="139">
        <v>29</v>
      </c>
      <c r="B33" s="139" t="s">
        <v>298</v>
      </c>
      <c r="C33" s="139" t="str">
        <f>CA_개요!C33</f>
        <v>HW 요구사항검증</v>
      </c>
      <c r="D33" s="154">
        <f>실적MM_입력!E33</f>
        <v>1.5</v>
      </c>
      <c r="E33" s="154">
        <f>$D33*($N$4/가정!$C$31)</f>
        <v>0.875</v>
      </c>
      <c r="F33" s="154">
        <f>$D33*CA_개요!J33/100</f>
        <v>0.63749999999999996</v>
      </c>
      <c r="G33" s="154">
        <f>SUMPRODUCT((실적MM_입력!$B$5:$B$33=B33)*실적MM_입력!$AD$5:$AD$33)</f>
        <v>0.83125000000000004</v>
      </c>
      <c r="H33" s="154">
        <f t="shared" si="0"/>
        <v>-0.23750000000000004</v>
      </c>
      <c r="I33" s="154">
        <f t="shared" si="1"/>
        <v>-0.19375000000000009</v>
      </c>
      <c r="J33" s="154">
        <f t="shared" si="2"/>
        <v>0.72857142857142854</v>
      </c>
      <c r="K33" s="154">
        <f t="shared" si="3"/>
        <v>0.76691729323308266</v>
      </c>
      <c r="L33" s="23"/>
      <c r="M33" s="23"/>
      <c r="N33" s="23"/>
      <c r="O33" s="23">
        <f t="shared" si="4"/>
        <v>0.7669205932330827</v>
      </c>
      <c r="P33" s="155">
        <f>D33*가정!$C$42</f>
        <v>12000000</v>
      </c>
      <c r="Q33" s="155">
        <f>E33*가정!$C$42</f>
        <v>7000000</v>
      </c>
      <c r="R33" s="155">
        <f>F33*가정!$C$42</f>
        <v>5100000</v>
      </c>
      <c r="S33" s="155">
        <f>G33*가정!$C$42</f>
        <v>6650000</v>
      </c>
    </row>
    <row r="34" spans="1:19" ht="14.25" customHeight="1">
      <c r="A34" s="23"/>
      <c r="B34" s="23"/>
      <c r="C34" s="23"/>
      <c r="D34" s="23"/>
      <c r="E34" s="23"/>
      <c r="F34" s="23"/>
      <c r="G34" s="23"/>
      <c r="H34" s="23"/>
      <c r="I34" s="23"/>
      <c r="J34" s="23"/>
      <c r="K34" s="23"/>
      <c r="L34" s="23"/>
      <c r="M34" s="23"/>
      <c r="N34" s="23"/>
      <c r="O34" s="23"/>
    </row>
    <row r="35" spans="1:19" ht="14.25" customHeight="1">
      <c r="A35" s="23"/>
      <c r="B35" s="23"/>
      <c r="C35" s="98" t="s">
        <v>704</v>
      </c>
      <c r="D35" s="156">
        <f>SUM(D5:D33)</f>
        <v>99.999999999999972</v>
      </c>
      <c r="E35" s="156">
        <f>SUM(E5:E33)</f>
        <v>58.333333333333329</v>
      </c>
      <c r="F35" s="156">
        <f>SUM(F5:F33)</f>
        <v>84.496428640892688</v>
      </c>
      <c r="G35" s="156">
        <f>SUM(G5:G33)</f>
        <v>59.014540786556168</v>
      </c>
      <c r="H35" s="68">
        <f>F35-E35</f>
        <v>26.16309530755936</v>
      </c>
      <c r="I35" s="68">
        <f>F35-G35</f>
        <v>25.48188785433652</v>
      </c>
      <c r="J35" s="68">
        <f>IFERROR(F35/E35,0)</f>
        <v>1.4485102052724461</v>
      </c>
      <c r="K35" s="68">
        <f>IFERROR(F35/G35,0)</f>
        <v>1.4317899879370311</v>
      </c>
      <c r="L35" s="23"/>
      <c r="M35" s="23"/>
      <c r="N35" s="23"/>
      <c r="O35" s="23"/>
      <c r="P35" s="157">
        <f>SUM(P5:P33)</f>
        <v>799999999.99999988</v>
      </c>
      <c r="Q35" s="157">
        <f>SUM(Q5:Q33)</f>
        <v>466666666.66666681</v>
      </c>
      <c r="R35" s="157">
        <f>SUM(R5:R33)</f>
        <v>675971429.12714159</v>
      </c>
      <c r="S35" s="157">
        <f>SUM(S5:S33)</f>
        <v>472116326.29244953</v>
      </c>
    </row>
  </sheetData>
  <mergeCells count="1">
    <mergeCell ref="M5:N5"/>
  </mergeCells>
  <phoneticPr fontId="50" type="noConversion"/>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4:Q24"/>
  <sheetViews>
    <sheetView zoomScaleNormal="100" workbookViewId="0">
      <pane ySplit="4" topLeftCell="A5" activePane="bottomLeft" state="frozen"/>
      <selection pane="bottomLeft"/>
    </sheetView>
  </sheetViews>
  <sheetFormatPr defaultColWidth="8.6328125" defaultRowHeight="14.5"/>
  <cols>
    <col min="1" max="1" width="10" style="42" customWidth="1"/>
    <col min="2" max="2" width="8" style="42" customWidth="1"/>
    <col min="3" max="3" width="6" style="42" customWidth="1"/>
    <col min="4" max="4" width="40" style="42" customWidth="1"/>
    <col min="5" max="5" width="10" style="42" customWidth="1"/>
    <col min="6" max="6" width="12" style="42" customWidth="1"/>
    <col min="7" max="8" width="10" style="42" customWidth="1"/>
    <col min="9" max="9" width="9" style="42" customWidth="1"/>
    <col min="10" max="10" width="8" style="42" customWidth="1"/>
    <col min="11" max="11" width="7" style="42" customWidth="1"/>
    <col min="12" max="12" width="20" style="42" customWidth="1"/>
    <col min="13" max="13" width="3" style="42" customWidth="1"/>
    <col min="14" max="14" width="6" style="42" customWidth="1"/>
    <col min="15" max="16" width="10" style="42" customWidth="1"/>
    <col min="17" max="17" width="30" style="42" customWidth="1"/>
  </cols>
  <sheetData>
    <row r="4" spans="1:17" ht="39" customHeight="1">
      <c r="A4" s="71" t="s">
        <v>664</v>
      </c>
      <c r="B4" s="64" t="s">
        <v>705</v>
      </c>
      <c r="C4" s="71" t="s">
        <v>303</v>
      </c>
      <c r="D4" s="64" t="s">
        <v>706</v>
      </c>
      <c r="E4" s="64" t="s">
        <v>707</v>
      </c>
      <c r="F4" s="64" t="s">
        <v>708</v>
      </c>
      <c r="G4" s="64" t="s">
        <v>709</v>
      </c>
      <c r="H4" s="64" t="s">
        <v>710</v>
      </c>
      <c r="I4" s="71" t="s">
        <v>711</v>
      </c>
      <c r="J4" s="64" t="s">
        <v>544</v>
      </c>
      <c r="K4" s="64" t="s">
        <v>712</v>
      </c>
      <c r="L4" s="64" t="s">
        <v>10</v>
      </c>
      <c r="M4" s="23"/>
      <c r="N4" s="174" t="s">
        <v>713</v>
      </c>
      <c r="O4" s="174"/>
      <c r="P4" s="174"/>
      <c r="Q4" s="174"/>
    </row>
    <row r="5" spans="1:17" ht="22.5" customHeight="1">
      <c r="A5" s="139" t="s">
        <v>714</v>
      </c>
      <c r="B5" s="158" t="s">
        <v>240</v>
      </c>
      <c r="C5" s="158">
        <v>1</v>
      </c>
      <c r="D5" s="159" t="s">
        <v>450</v>
      </c>
      <c r="E5" s="160"/>
      <c r="F5" s="160"/>
      <c r="G5" s="160"/>
      <c r="H5" s="160"/>
      <c r="I5" s="160"/>
      <c r="J5" s="158">
        <f t="shared" ref="J5:J24" si="0">SUM(E5:I5)</f>
        <v>0</v>
      </c>
      <c r="K5" s="158" t="str">
        <f t="shared" ref="K5:K24" si="1">IF(J5&gt;=95,"S",IF(J5&gt;=80,"A",IF(J5&gt;=60,"B",IF(J5&gt;=35,"C","D"))))</f>
        <v>D</v>
      </c>
      <c r="L5" s="139"/>
      <c r="M5" s="23"/>
      <c r="N5" s="139" t="s">
        <v>715</v>
      </c>
      <c r="O5" s="139" t="s">
        <v>716</v>
      </c>
      <c r="P5" s="175" t="s">
        <v>717</v>
      </c>
      <c r="Q5" s="175"/>
    </row>
    <row r="6" spans="1:17" ht="22.5" customHeight="1">
      <c r="A6" s="139" t="s">
        <v>714</v>
      </c>
      <c r="B6" s="158" t="s">
        <v>264</v>
      </c>
      <c r="C6" s="158">
        <v>1</v>
      </c>
      <c r="D6" s="159" t="s">
        <v>450</v>
      </c>
      <c r="E6" s="160"/>
      <c r="F6" s="160"/>
      <c r="G6" s="160"/>
      <c r="H6" s="160"/>
      <c r="I6" s="160"/>
      <c r="J6" s="158">
        <f t="shared" si="0"/>
        <v>0</v>
      </c>
      <c r="K6" s="158" t="str">
        <f t="shared" si="1"/>
        <v>D</v>
      </c>
      <c r="L6" s="139"/>
      <c r="M6" s="23"/>
      <c r="N6" s="139" t="s">
        <v>718</v>
      </c>
      <c r="O6" s="139" t="s">
        <v>719</v>
      </c>
      <c r="P6" s="175" t="s">
        <v>720</v>
      </c>
      <c r="Q6" s="175"/>
    </row>
    <row r="7" spans="1:17" ht="22.5" customHeight="1">
      <c r="A7" s="139" t="s">
        <v>714</v>
      </c>
      <c r="B7" s="158" t="s">
        <v>240</v>
      </c>
      <c r="C7" s="158">
        <v>2</v>
      </c>
      <c r="D7" s="159" t="s">
        <v>452</v>
      </c>
      <c r="E7" s="160"/>
      <c r="F7" s="160"/>
      <c r="G7" s="160"/>
      <c r="H7" s="160"/>
      <c r="I7" s="160"/>
      <c r="J7" s="158">
        <f t="shared" si="0"/>
        <v>0</v>
      </c>
      <c r="K7" s="158" t="str">
        <f t="shared" si="1"/>
        <v>D</v>
      </c>
      <c r="L7" s="139"/>
      <c r="M7" s="23"/>
      <c r="N7" s="139" t="s">
        <v>721</v>
      </c>
      <c r="O7" s="139" t="s">
        <v>722</v>
      </c>
      <c r="P7" s="175" t="s">
        <v>723</v>
      </c>
      <c r="Q7" s="175"/>
    </row>
    <row r="8" spans="1:17" ht="22.5" customHeight="1">
      <c r="A8" s="139" t="s">
        <v>714</v>
      </c>
      <c r="B8" s="158" t="s">
        <v>264</v>
      </c>
      <c r="C8" s="158">
        <v>2</v>
      </c>
      <c r="D8" s="159" t="s">
        <v>452</v>
      </c>
      <c r="E8" s="160"/>
      <c r="F8" s="160"/>
      <c r="G8" s="160"/>
      <c r="H8" s="160"/>
      <c r="I8" s="160"/>
      <c r="J8" s="158">
        <f t="shared" si="0"/>
        <v>0</v>
      </c>
      <c r="K8" s="158" t="str">
        <f t="shared" si="1"/>
        <v>D</v>
      </c>
      <c r="L8" s="139"/>
      <c r="M8" s="23"/>
      <c r="N8" s="139" t="s">
        <v>724</v>
      </c>
      <c r="O8" s="139" t="s">
        <v>725</v>
      </c>
      <c r="P8" s="175" t="s">
        <v>726</v>
      </c>
      <c r="Q8" s="175"/>
    </row>
    <row r="9" spans="1:17" ht="14.25" customHeight="1">
      <c r="A9" s="139" t="s">
        <v>714</v>
      </c>
      <c r="B9" s="158" t="s">
        <v>240</v>
      </c>
      <c r="C9" s="158">
        <v>3</v>
      </c>
      <c r="D9" s="159" t="s">
        <v>453</v>
      </c>
      <c r="E9" s="160"/>
      <c r="F9" s="160"/>
      <c r="G9" s="160"/>
      <c r="H9" s="160"/>
      <c r="I9" s="160"/>
      <c r="J9" s="158">
        <f t="shared" si="0"/>
        <v>0</v>
      </c>
      <c r="K9" s="158" t="str">
        <f t="shared" si="1"/>
        <v>D</v>
      </c>
      <c r="L9" s="139"/>
      <c r="M9" s="23"/>
      <c r="N9" s="139" t="s">
        <v>727</v>
      </c>
      <c r="O9" s="139" t="s">
        <v>728</v>
      </c>
      <c r="P9" s="175" t="s">
        <v>729</v>
      </c>
      <c r="Q9" s="175"/>
    </row>
    <row r="10" spans="1:17" ht="14.25" customHeight="1">
      <c r="A10" s="139" t="s">
        <v>714</v>
      </c>
      <c r="B10" s="158" t="s">
        <v>264</v>
      </c>
      <c r="C10" s="158">
        <v>3</v>
      </c>
      <c r="D10" s="159" t="s">
        <v>453</v>
      </c>
      <c r="E10" s="160"/>
      <c r="F10" s="160"/>
      <c r="G10" s="160"/>
      <c r="H10" s="160"/>
      <c r="I10" s="160"/>
      <c r="J10" s="158">
        <f t="shared" si="0"/>
        <v>0</v>
      </c>
      <c r="K10" s="158" t="str">
        <f t="shared" si="1"/>
        <v>D</v>
      </c>
      <c r="L10" s="139"/>
      <c r="M10" s="23"/>
      <c r="N10" s="23"/>
      <c r="O10" s="23"/>
      <c r="P10" s="23"/>
      <c r="Q10" s="23"/>
    </row>
    <row r="11" spans="1:17" ht="22.5" customHeight="1">
      <c r="A11" s="139" t="s">
        <v>714</v>
      </c>
      <c r="B11" s="158" t="s">
        <v>240</v>
      </c>
      <c r="C11" s="158">
        <v>4</v>
      </c>
      <c r="D11" s="159" t="s">
        <v>454</v>
      </c>
      <c r="E11" s="160"/>
      <c r="F11" s="160"/>
      <c r="G11" s="160"/>
      <c r="H11" s="160"/>
      <c r="I11" s="160"/>
      <c r="J11" s="158">
        <f t="shared" si="0"/>
        <v>0</v>
      </c>
      <c r="K11" s="158" t="str">
        <f t="shared" si="1"/>
        <v>D</v>
      </c>
      <c r="L11" s="139"/>
      <c r="M11" s="23"/>
      <c r="N11" s="23"/>
      <c r="O11" s="23"/>
      <c r="P11" s="23"/>
      <c r="Q11" s="23"/>
    </row>
    <row r="12" spans="1:17" ht="22.5" customHeight="1">
      <c r="A12" s="139" t="s">
        <v>714</v>
      </c>
      <c r="B12" s="158" t="s">
        <v>264</v>
      </c>
      <c r="C12" s="158">
        <v>4</v>
      </c>
      <c r="D12" s="159" t="s">
        <v>454</v>
      </c>
      <c r="E12" s="160"/>
      <c r="F12" s="160"/>
      <c r="G12" s="160"/>
      <c r="H12" s="160"/>
      <c r="I12" s="160"/>
      <c r="J12" s="158">
        <f t="shared" si="0"/>
        <v>0</v>
      </c>
      <c r="K12" s="158" t="str">
        <f t="shared" si="1"/>
        <v>D</v>
      </c>
      <c r="L12" s="139"/>
      <c r="M12" s="23"/>
      <c r="N12" s="23"/>
      <c r="O12" s="23"/>
      <c r="P12" s="23"/>
      <c r="Q12" s="23"/>
    </row>
    <row r="13" spans="1:17" ht="22.5" customHeight="1">
      <c r="A13" s="139" t="s">
        <v>714</v>
      </c>
      <c r="B13" s="158" t="s">
        <v>240</v>
      </c>
      <c r="C13" s="158">
        <v>5</v>
      </c>
      <c r="D13" s="159" t="s">
        <v>455</v>
      </c>
      <c r="E13" s="160"/>
      <c r="F13" s="160"/>
      <c r="G13" s="160"/>
      <c r="H13" s="160"/>
      <c r="I13" s="160"/>
      <c r="J13" s="158">
        <f t="shared" si="0"/>
        <v>0</v>
      </c>
      <c r="K13" s="158" t="str">
        <f t="shared" si="1"/>
        <v>D</v>
      </c>
      <c r="L13" s="139"/>
      <c r="M13" s="23"/>
      <c r="N13" s="23"/>
      <c r="O13" s="23"/>
      <c r="P13" s="23"/>
      <c r="Q13" s="23"/>
    </row>
    <row r="14" spans="1:17" ht="22.5" customHeight="1">
      <c r="A14" s="139" t="s">
        <v>714</v>
      </c>
      <c r="B14" s="158" t="s">
        <v>264</v>
      </c>
      <c r="C14" s="158">
        <v>5</v>
      </c>
      <c r="D14" s="159" t="s">
        <v>455</v>
      </c>
      <c r="E14" s="160"/>
      <c r="F14" s="160"/>
      <c r="G14" s="160"/>
      <c r="H14" s="160"/>
      <c r="I14" s="160"/>
      <c r="J14" s="158">
        <f t="shared" si="0"/>
        <v>0</v>
      </c>
      <c r="K14" s="158" t="str">
        <f t="shared" si="1"/>
        <v>D</v>
      </c>
      <c r="L14" s="139"/>
      <c r="M14" s="23"/>
      <c r="N14" s="23"/>
      <c r="O14" s="23"/>
      <c r="P14" s="23"/>
      <c r="Q14" s="23"/>
    </row>
    <row r="15" spans="1:17" ht="14.25" customHeight="1">
      <c r="A15" s="139" t="s">
        <v>730</v>
      </c>
      <c r="B15" s="158" t="s">
        <v>240</v>
      </c>
      <c r="C15" s="158">
        <v>1</v>
      </c>
      <c r="D15" s="159" t="s">
        <v>457</v>
      </c>
      <c r="E15" s="160"/>
      <c r="F15" s="160"/>
      <c r="G15" s="160"/>
      <c r="H15" s="160"/>
      <c r="I15" s="160"/>
      <c r="J15" s="158">
        <f t="shared" si="0"/>
        <v>0</v>
      </c>
      <c r="K15" s="158" t="str">
        <f t="shared" si="1"/>
        <v>D</v>
      </c>
      <c r="L15" s="139"/>
      <c r="M15" s="23"/>
      <c r="N15" s="23"/>
      <c r="O15" s="23"/>
      <c r="P15" s="23"/>
      <c r="Q15" s="23"/>
    </row>
    <row r="16" spans="1:17" ht="14.25" customHeight="1">
      <c r="A16" s="139" t="s">
        <v>730</v>
      </c>
      <c r="B16" s="158" t="s">
        <v>264</v>
      </c>
      <c r="C16" s="158">
        <v>1</v>
      </c>
      <c r="D16" s="159" t="s">
        <v>457</v>
      </c>
      <c r="E16" s="160"/>
      <c r="F16" s="160"/>
      <c r="G16" s="160"/>
      <c r="H16" s="160"/>
      <c r="I16" s="160"/>
      <c r="J16" s="158">
        <f t="shared" si="0"/>
        <v>0</v>
      </c>
      <c r="K16" s="158" t="str">
        <f t="shared" si="1"/>
        <v>D</v>
      </c>
      <c r="L16" s="139"/>
      <c r="M16" s="23"/>
      <c r="N16" s="23"/>
      <c r="O16" s="23"/>
      <c r="P16" s="23"/>
      <c r="Q16" s="23"/>
    </row>
    <row r="17" spans="1:17" ht="22.5" customHeight="1">
      <c r="A17" s="139" t="s">
        <v>730</v>
      </c>
      <c r="B17" s="158" t="s">
        <v>240</v>
      </c>
      <c r="C17" s="158">
        <v>2</v>
      </c>
      <c r="D17" s="159" t="s">
        <v>459</v>
      </c>
      <c r="E17" s="160"/>
      <c r="F17" s="160"/>
      <c r="G17" s="160"/>
      <c r="H17" s="160"/>
      <c r="I17" s="160"/>
      <c r="J17" s="158">
        <f t="shared" si="0"/>
        <v>0</v>
      </c>
      <c r="K17" s="158" t="str">
        <f t="shared" si="1"/>
        <v>D</v>
      </c>
      <c r="L17" s="139"/>
      <c r="M17" s="23"/>
      <c r="N17" s="23"/>
      <c r="O17" s="23"/>
      <c r="P17" s="23"/>
      <c r="Q17" s="23"/>
    </row>
    <row r="18" spans="1:17" ht="22.5" customHeight="1">
      <c r="A18" s="139" t="s">
        <v>730</v>
      </c>
      <c r="B18" s="158" t="s">
        <v>264</v>
      </c>
      <c r="C18" s="158">
        <v>2</v>
      </c>
      <c r="D18" s="159" t="s">
        <v>459</v>
      </c>
      <c r="E18" s="160"/>
      <c r="F18" s="160"/>
      <c r="G18" s="160"/>
      <c r="H18" s="160"/>
      <c r="I18" s="160"/>
      <c r="J18" s="158">
        <f t="shared" si="0"/>
        <v>0</v>
      </c>
      <c r="K18" s="158" t="str">
        <f t="shared" si="1"/>
        <v>D</v>
      </c>
      <c r="L18" s="139"/>
      <c r="M18" s="23"/>
      <c r="N18" s="23"/>
      <c r="O18" s="23"/>
      <c r="P18" s="23"/>
      <c r="Q18" s="23"/>
    </row>
    <row r="19" spans="1:17" ht="14.25" customHeight="1">
      <c r="A19" s="139" t="s">
        <v>730</v>
      </c>
      <c r="B19" s="158" t="s">
        <v>240</v>
      </c>
      <c r="C19" s="158">
        <v>3</v>
      </c>
      <c r="D19" s="159" t="s">
        <v>460</v>
      </c>
      <c r="E19" s="160"/>
      <c r="F19" s="160"/>
      <c r="G19" s="160"/>
      <c r="H19" s="160"/>
      <c r="I19" s="160"/>
      <c r="J19" s="158">
        <f t="shared" si="0"/>
        <v>0</v>
      </c>
      <c r="K19" s="158" t="str">
        <f t="shared" si="1"/>
        <v>D</v>
      </c>
      <c r="L19" s="139"/>
      <c r="M19" s="23"/>
      <c r="N19" s="23"/>
      <c r="O19" s="23"/>
      <c r="P19" s="23"/>
      <c r="Q19" s="23"/>
    </row>
    <row r="20" spans="1:17" ht="14.25" customHeight="1">
      <c r="A20" s="139" t="s">
        <v>730</v>
      </c>
      <c r="B20" s="158" t="s">
        <v>264</v>
      </c>
      <c r="C20" s="158">
        <v>3</v>
      </c>
      <c r="D20" s="159" t="s">
        <v>460</v>
      </c>
      <c r="E20" s="160"/>
      <c r="F20" s="160"/>
      <c r="G20" s="160"/>
      <c r="H20" s="160"/>
      <c r="I20" s="160"/>
      <c r="J20" s="158">
        <f t="shared" si="0"/>
        <v>0</v>
      </c>
      <c r="K20" s="158" t="str">
        <f t="shared" si="1"/>
        <v>D</v>
      </c>
      <c r="L20" s="139"/>
      <c r="M20" s="23"/>
      <c r="N20" s="23"/>
      <c r="O20" s="23"/>
      <c r="P20" s="23"/>
      <c r="Q20" s="23"/>
    </row>
    <row r="21" spans="1:17" ht="22.5" customHeight="1">
      <c r="A21" s="139" t="s">
        <v>730</v>
      </c>
      <c r="B21" s="158" t="s">
        <v>240</v>
      </c>
      <c r="C21" s="158">
        <v>4</v>
      </c>
      <c r="D21" s="159" t="s">
        <v>461</v>
      </c>
      <c r="E21" s="160"/>
      <c r="F21" s="160"/>
      <c r="G21" s="160"/>
      <c r="H21" s="160"/>
      <c r="I21" s="160"/>
      <c r="J21" s="158">
        <f t="shared" si="0"/>
        <v>0</v>
      </c>
      <c r="K21" s="158" t="str">
        <f t="shared" si="1"/>
        <v>D</v>
      </c>
      <c r="L21" s="139"/>
      <c r="M21" s="23"/>
      <c r="N21" s="23"/>
      <c r="O21" s="23"/>
      <c r="P21" s="23"/>
      <c r="Q21" s="23"/>
    </row>
    <row r="22" spans="1:17" ht="22.5" customHeight="1">
      <c r="A22" s="139" t="s">
        <v>730</v>
      </c>
      <c r="B22" s="158" t="s">
        <v>264</v>
      </c>
      <c r="C22" s="158">
        <v>4</v>
      </c>
      <c r="D22" s="159" t="s">
        <v>461</v>
      </c>
      <c r="E22" s="160"/>
      <c r="F22" s="160"/>
      <c r="G22" s="160"/>
      <c r="H22" s="160"/>
      <c r="I22" s="160"/>
      <c r="J22" s="158">
        <f t="shared" si="0"/>
        <v>0</v>
      </c>
      <c r="K22" s="158" t="str">
        <f t="shared" si="1"/>
        <v>D</v>
      </c>
      <c r="L22" s="139"/>
      <c r="M22" s="23"/>
      <c r="N22" s="23"/>
      <c r="O22" s="23"/>
      <c r="P22" s="23"/>
      <c r="Q22" s="23"/>
    </row>
    <row r="23" spans="1:17" ht="14.25" customHeight="1">
      <c r="A23" s="139" t="s">
        <v>730</v>
      </c>
      <c r="B23" s="158" t="s">
        <v>240</v>
      </c>
      <c r="C23" s="158">
        <v>5</v>
      </c>
      <c r="D23" s="159" t="s">
        <v>462</v>
      </c>
      <c r="E23" s="160"/>
      <c r="F23" s="160"/>
      <c r="G23" s="160"/>
      <c r="H23" s="160"/>
      <c r="I23" s="160"/>
      <c r="J23" s="158">
        <f t="shared" si="0"/>
        <v>0</v>
      </c>
      <c r="K23" s="158" t="str">
        <f t="shared" si="1"/>
        <v>D</v>
      </c>
      <c r="L23" s="139"/>
      <c r="M23" s="23"/>
      <c r="N23" s="23"/>
      <c r="O23" s="23"/>
      <c r="P23" s="23"/>
      <c r="Q23" s="23"/>
    </row>
    <row r="24" spans="1:17" ht="14.25" customHeight="1">
      <c r="A24" s="139" t="s">
        <v>730</v>
      </c>
      <c r="B24" s="158" t="s">
        <v>264</v>
      </c>
      <c r="C24" s="158">
        <v>5</v>
      </c>
      <c r="D24" s="159" t="s">
        <v>462</v>
      </c>
      <c r="E24" s="160"/>
      <c r="F24" s="160"/>
      <c r="G24" s="160"/>
      <c r="H24" s="160"/>
      <c r="I24" s="160"/>
      <c r="J24" s="158">
        <f t="shared" si="0"/>
        <v>0</v>
      </c>
      <c r="K24" s="158" t="str">
        <f t="shared" si="1"/>
        <v>D</v>
      </c>
      <c r="L24" s="139"/>
      <c r="M24" s="23"/>
      <c r="N24" s="23"/>
      <c r="O24" s="23"/>
      <c r="P24" s="23"/>
      <c r="Q24" s="23"/>
    </row>
  </sheetData>
  <mergeCells count="6">
    <mergeCell ref="P9:Q9"/>
    <mergeCell ref="N4:Q4"/>
    <mergeCell ref="P5:Q5"/>
    <mergeCell ref="P6:Q6"/>
    <mergeCell ref="P7:Q7"/>
    <mergeCell ref="P8:Q8"/>
  </mergeCells>
  <phoneticPr fontId="50" type="noConversion"/>
  <dataValidations count="4">
    <dataValidation type="list" allowBlank="1" sqref="E5:E24">
      <formula1>"0,5,10"</formula1>
      <formula2>0</formula2>
    </dataValidation>
    <dataValidation type="list" allowBlank="1" sqref="F5:F24">
      <formula1>"0,10,20,30,40"</formula1>
      <formula2>0</formula2>
    </dataValidation>
    <dataValidation type="list" allowBlank="1" sqref="G5:H24">
      <formula1>"0,10,20"</formula1>
      <formula2>0</formula2>
    </dataValidation>
    <dataValidation type="list" allowBlank="1" sqref="I5:I24">
      <formula1>"0,5,10"</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4:H28"/>
  <sheetViews>
    <sheetView zoomScaleNormal="100" workbookViewId="0">
      <pane ySplit="4" topLeftCell="A5" activePane="bottomLeft" state="frozen"/>
      <selection pane="bottomLeft"/>
    </sheetView>
  </sheetViews>
  <sheetFormatPr defaultColWidth="8.6328125" defaultRowHeight="14.5"/>
  <cols>
    <col min="1" max="1" width="6" style="42" customWidth="1"/>
    <col min="2" max="2" width="20" style="42" customWidth="1"/>
    <col min="3" max="5" width="14" style="42" customWidth="1"/>
    <col min="6" max="6" width="30" style="42" customWidth="1"/>
    <col min="7" max="7" width="12" style="42" customWidth="1"/>
    <col min="8" max="8" width="24" style="42" customWidth="1"/>
  </cols>
  <sheetData>
    <row r="4" spans="1:8" ht="25.5" customHeight="1">
      <c r="A4" s="64" t="s">
        <v>731</v>
      </c>
      <c r="B4" s="64" t="s">
        <v>732</v>
      </c>
      <c r="C4" s="64" t="s">
        <v>733</v>
      </c>
      <c r="D4" s="64" t="s">
        <v>734</v>
      </c>
      <c r="E4" s="64" t="s">
        <v>735</v>
      </c>
      <c r="F4" s="64" t="s">
        <v>736</v>
      </c>
      <c r="G4" s="64" t="s">
        <v>737</v>
      </c>
      <c r="H4" s="64" t="s">
        <v>738</v>
      </c>
    </row>
    <row r="5" spans="1:8" ht="14.25" customHeight="1">
      <c r="A5" s="139" t="s">
        <v>739</v>
      </c>
      <c r="B5" s="139">
        <f>COUNTIF(WP_상세!$H$5:$H$500,"Discrete")</f>
        <v>153</v>
      </c>
      <c r="C5" s="139">
        <f t="shared" ref="C5:C16" si="0">$D$18</f>
        <v>46</v>
      </c>
      <c r="D5" s="161"/>
      <c r="E5" s="161">
        <v>1</v>
      </c>
      <c r="F5" s="162" t="s">
        <v>740</v>
      </c>
      <c r="G5" s="162" t="s">
        <v>741</v>
      </c>
      <c r="H5" s="161"/>
    </row>
    <row r="6" spans="1:8" ht="14.25" customHeight="1">
      <c r="A6" s="139" t="s">
        <v>742</v>
      </c>
      <c r="B6" s="139">
        <f>COUNTIF(WP_상세!$H$5:$H$500,"Discrete")</f>
        <v>153</v>
      </c>
      <c r="C6" s="139">
        <f t="shared" si="0"/>
        <v>46</v>
      </c>
      <c r="D6" s="161"/>
      <c r="E6" s="161">
        <v>2</v>
      </c>
      <c r="F6" s="162" t="s">
        <v>743</v>
      </c>
      <c r="G6" s="162" t="s">
        <v>741</v>
      </c>
      <c r="H6" s="161"/>
    </row>
    <row r="7" spans="1:8" ht="14.25" customHeight="1">
      <c r="A7" s="139" t="s">
        <v>744</v>
      </c>
      <c r="B7" s="139">
        <f>COUNTIF(WP_상세!$H$5:$H$500,"Discrete")</f>
        <v>153</v>
      </c>
      <c r="C7" s="139">
        <f t="shared" si="0"/>
        <v>46</v>
      </c>
      <c r="D7" s="161"/>
      <c r="E7" s="161">
        <v>2</v>
      </c>
      <c r="F7" s="161" t="s">
        <v>745</v>
      </c>
      <c r="G7" s="162" t="s">
        <v>741</v>
      </c>
      <c r="H7" s="162" t="s">
        <v>746</v>
      </c>
    </row>
    <row r="8" spans="1:8" ht="14.25" customHeight="1">
      <c r="A8" s="139" t="s">
        <v>747</v>
      </c>
      <c r="B8" s="139">
        <f>COUNTIF(WP_상세!$H$5:$H$500,"Discrete")</f>
        <v>153</v>
      </c>
      <c r="C8" s="139">
        <f t="shared" si="0"/>
        <v>46</v>
      </c>
      <c r="D8" s="161"/>
      <c r="E8" s="161">
        <v>3</v>
      </c>
      <c r="F8" s="161" t="s">
        <v>748</v>
      </c>
      <c r="G8" s="162" t="s">
        <v>741</v>
      </c>
      <c r="H8" s="161"/>
    </row>
    <row r="9" spans="1:8" ht="14.25" customHeight="1">
      <c r="A9" s="139" t="s">
        <v>749</v>
      </c>
      <c r="B9" s="139">
        <f>COUNTIF(WP_상세!$H$5:$H$500,"Discrete")</f>
        <v>153</v>
      </c>
      <c r="C9" s="139">
        <f t="shared" si="0"/>
        <v>46</v>
      </c>
      <c r="D9" s="161"/>
      <c r="E9" s="161">
        <v>3</v>
      </c>
      <c r="F9" s="161" t="s">
        <v>750</v>
      </c>
      <c r="G9" s="162" t="s">
        <v>741</v>
      </c>
      <c r="H9" s="161" t="s">
        <v>751</v>
      </c>
    </row>
    <row r="10" spans="1:8" ht="14.25" customHeight="1">
      <c r="A10" s="139" t="s">
        <v>752</v>
      </c>
      <c r="B10" s="139">
        <f>COUNTIF(WP_상세!$H$5:$H$500,"Discrete")</f>
        <v>153</v>
      </c>
      <c r="C10" s="139">
        <f t="shared" si="0"/>
        <v>46</v>
      </c>
      <c r="D10" s="161"/>
      <c r="E10" s="161">
        <v>4</v>
      </c>
      <c r="F10" s="161" t="s">
        <v>753</v>
      </c>
      <c r="G10" s="162" t="s">
        <v>741</v>
      </c>
      <c r="H10" s="161"/>
    </row>
    <row r="11" spans="1:8" ht="14.25" customHeight="1">
      <c r="A11" s="139" t="s">
        <v>754</v>
      </c>
      <c r="B11" s="139">
        <f>COUNTIF(WP_상세!$H$5:$H$500,"Discrete")</f>
        <v>153</v>
      </c>
      <c r="C11" s="139">
        <f t="shared" si="0"/>
        <v>46</v>
      </c>
      <c r="D11" s="161"/>
      <c r="E11" s="161">
        <v>4</v>
      </c>
      <c r="F11" s="162" t="s">
        <v>755</v>
      </c>
      <c r="G11" s="162" t="s">
        <v>741</v>
      </c>
      <c r="H11" s="161" t="s">
        <v>756</v>
      </c>
    </row>
    <row r="12" spans="1:8" ht="14.25" customHeight="1">
      <c r="A12" s="139" t="s">
        <v>757</v>
      </c>
      <c r="B12" s="139">
        <f>COUNTIF(WP_상세!$H$5:$H$500,"Discrete")</f>
        <v>153</v>
      </c>
      <c r="C12" s="139">
        <f t="shared" si="0"/>
        <v>46</v>
      </c>
      <c r="D12" s="161"/>
      <c r="E12" s="161"/>
      <c r="F12" s="161"/>
      <c r="G12" s="161"/>
      <c r="H12" s="161"/>
    </row>
    <row r="13" spans="1:8" ht="14.25" customHeight="1">
      <c r="A13" s="139" t="s">
        <v>758</v>
      </c>
      <c r="B13" s="139">
        <f>COUNTIF(WP_상세!$H$5:$H$500,"Discrete")</f>
        <v>153</v>
      </c>
      <c r="C13" s="139">
        <f t="shared" si="0"/>
        <v>46</v>
      </c>
      <c r="D13" s="161"/>
      <c r="E13" s="161"/>
      <c r="F13" s="161"/>
      <c r="G13" s="161"/>
      <c r="H13" s="161"/>
    </row>
    <row r="14" spans="1:8" ht="14.25" customHeight="1">
      <c r="A14" s="139" t="s">
        <v>759</v>
      </c>
      <c r="B14" s="139">
        <f>COUNTIF(WP_상세!$H$5:$H$500,"Discrete")</f>
        <v>153</v>
      </c>
      <c r="C14" s="139">
        <f t="shared" si="0"/>
        <v>46</v>
      </c>
      <c r="D14" s="161"/>
      <c r="E14" s="161"/>
      <c r="F14" s="161"/>
      <c r="G14" s="161"/>
      <c r="H14" s="161"/>
    </row>
    <row r="15" spans="1:8" ht="14.25" customHeight="1">
      <c r="A15" s="139" t="s">
        <v>760</v>
      </c>
      <c r="B15" s="139">
        <f>COUNTIF(WP_상세!$H$5:$H$500,"Discrete")</f>
        <v>153</v>
      </c>
      <c r="C15" s="139">
        <f t="shared" si="0"/>
        <v>46</v>
      </c>
      <c r="D15" s="161"/>
      <c r="E15" s="161"/>
      <c r="F15" s="161"/>
      <c r="G15" s="161"/>
      <c r="H15" s="161"/>
    </row>
    <row r="16" spans="1:8" ht="14.25" customHeight="1">
      <c r="A16" s="139" t="s">
        <v>761</v>
      </c>
      <c r="B16" s="139">
        <f>COUNTIF(WP_상세!$H$5:$H$500,"Discrete")</f>
        <v>153</v>
      </c>
      <c r="C16" s="139">
        <f t="shared" si="0"/>
        <v>46</v>
      </c>
      <c r="D16" s="161"/>
      <c r="E16" s="161"/>
      <c r="F16" s="161"/>
      <c r="G16" s="161"/>
      <c r="H16" s="161"/>
    </row>
    <row r="17" spans="1:8" ht="14.25" customHeight="1">
      <c r="A17" s="23"/>
      <c r="B17" s="23"/>
      <c r="C17" s="23"/>
      <c r="D17" s="23"/>
      <c r="E17" s="23"/>
      <c r="F17" s="23"/>
      <c r="G17" s="23"/>
      <c r="H17" s="23"/>
    </row>
    <row r="18" spans="1:8" ht="15" customHeight="1">
      <c r="A18" s="23"/>
      <c r="B18" s="98" t="s">
        <v>762</v>
      </c>
      <c r="C18" s="23"/>
      <c r="D18" s="163">
        <f>ROUNDUP(COUNTIF(WP_상세!$H$5:$H$500,"Discrete")*0.3,0)</f>
        <v>46</v>
      </c>
      <c r="E18" s="23"/>
      <c r="F18" s="23"/>
      <c r="G18" s="23"/>
      <c r="H18" s="23"/>
    </row>
    <row r="19" spans="1:8" ht="14.25" customHeight="1">
      <c r="A19" s="23"/>
      <c r="B19" s="23"/>
      <c r="C19" s="23"/>
      <c r="D19" s="23"/>
      <c r="E19" s="23"/>
      <c r="F19" s="23"/>
      <c r="G19" s="23"/>
      <c r="H19" s="23"/>
    </row>
    <row r="20" spans="1:8" ht="14.25" customHeight="1">
      <c r="A20" s="23"/>
      <c r="B20" s="98" t="s">
        <v>763</v>
      </c>
      <c r="C20" s="23"/>
      <c r="D20" s="23"/>
      <c r="E20" s="23"/>
      <c r="F20" s="23"/>
      <c r="G20" s="23"/>
      <c r="H20" s="23"/>
    </row>
    <row r="21" spans="1:8" ht="27.75" customHeight="1">
      <c r="A21" s="23"/>
      <c r="B21" s="23" t="s">
        <v>193</v>
      </c>
      <c r="C21" s="176" t="s">
        <v>764</v>
      </c>
      <c r="D21" s="176"/>
      <c r="E21" s="176"/>
      <c r="F21" s="176"/>
      <c r="G21" s="176"/>
      <c r="H21" s="176"/>
    </row>
    <row r="22" spans="1:8" ht="27.75" customHeight="1">
      <c r="A22" s="23"/>
      <c r="B22" s="23" t="s">
        <v>193</v>
      </c>
      <c r="C22" s="176" t="s">
        <v>765</v>
      </c>
      <c r="D22" s="176"/>
      <c r="E22" s="176"/>
      <c r="F22" s="176"/>
      <c r="G22" s="176"/>
      <c r="H22" s="176"/>
    </row>
    <row r="23" spans="1:8" ht="27.75" customHeight="1">
      <c r="A23" s="23"/>
      <c r="B23" s="23" t="s">
        <v>193</v>
      </c>
      <c r="C23" s="176" t="s">
        <v>766</v>
      </c>
      <c r="D23" s="176"/>
      <c r="E23" s="176"/>
      <c r="F23" s="176"/>
      <c r="G23" s="176"/>
      <c r="H23" s="176"/>
    </row>
    <row r="24" spans="1:8" ht="14.25" customHeight="1">
      <c r="A24" s="23"/>
      <c r="B24" s="23"/>
      <c r="C24" s="23"/>
      <c r="D24" s="23"/>
      <c r="E24" s="23"/>
      <c r="F24" s="23"/>
      <c r="G24" s="23"/>
      <c r="H24" s="23"/>
    </row>
    <row r="25" spans="1:8" ht="16.5" customHeight="1">
      <c r="A25" s="23"/>
      <c r="B25" s="98" t="s">
        <v>767</v>
      </c>
      <c r="C25" s="23"/>
      <c r="D25" s="23"/>
      <c r="E25" s="23"/>
      <c r="F25" s="23"/>
      <c r="G25" s="23"/>
      <c r="H25" s="23"/>
    </row>
    <row r="26" spans="1:8" ht="27.75" customHeight="1">
      <c r="A26" s="23"/>
      <c r="B26" s="23" t="s">
        <v>193</v>
      </c>
      <c r="C26" s="176" t="s">
        <v>768</v>
      </c>
      <c r="D26" s="176"/>
      <c r="E26" s="176"/>
      <c r="F26" s="176"/>
      <c r="G26" s="176"/>
      <c r="H26" s="176"/>
    </row>
    <row r="27" spans="1:8" ht="27.75" customHeight="1">
      <c r="A27" s="23"/>
      <c r="B27" s="23" t="s">
        <v>193</v>
      </c>
      <c r="C27" s="176" t="s">
        <v>769</v>
      </c>
      <c r="D27" s="176"/>
      <c r="E27" s="176"/>
      <c r="F27" s="176"/>
      <c r="G27" s="176"/>
      <c r="H27" s="176"/>
    </row>
    <row r="28" spans="1:8" ht="27.75" customHeight="1">
      <c r="A28" s="23"/>
      <c r="B28" s="23" t="s">
        <v>193</v>
      </c>
      <c r="C28" s="176" t="s">
        <v>770</v>
      </c>
      <c r="D28" s="176"/>
      <c r="E28" s="176"/>
      <c r="F28" s="176"/>
      <c r="G28" s="176"/>
      <c r="H28" s="176"/>
    </row>
  </sheetData>
  <mergeCells count="6">
    <mergeCell ref="C28:H28"/>
    <mergeCell ref="C21:H21"/>
    <mergeCell ref="C22:H22"/>
    <mergeCell ref="C23:H23"/>
    <mergeCell ref="C26:H26"/>
    <mergeCell ref="C27:H27"/>
  </mergeCells>
  <phoneticPr fontId="50" type="noConversion"/>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4:J14"/>
  <sheetViews>
    <sheetView zoomScaleNormal="100" workbookViewId="0"/>
  </sheetViews>
  <sheetFormatPr defaultColWidth="8.6328125" defaultRowHeight="14.5"/>
  <cols>
    <col min="1" max="1" width="10" style="42" customWidth="1"/>
    <col min="2" max="3" width="12" style="42" customWidth="1"/>
    <col min="4" max="4" width="30" style="42" customWidth="1"/>
    <col min="5" max="6" width="16" style="42" customWidth="1"/>
    <col min="7" max="9" width="12" style="42" customWidth="1"/>
    <col min="10" max="10" width="20" style="42" customWidth="1"/>
  </cols>
  <sheetData>
    <row r="4" spans="1:10" ht="25.5" customHeight="1">
      <c r="A4" s="64" t="s">
        <v>771</v>
      </c>
      <c r="B4" s="64" t="s">
        <v>772</v>
      </c>
      <c r="C4" s="64" t="s">
        <v>773</v>
      </c>
      <c r="D4" s="64" t="s">
        <v>774</v>
      </c>
      <c r="E4" s="64" t="s">
        <v>775</v>
      </c>
      <c r="F4" s="64" t="s">
        <v>776</v>
      </c>
      <c r="G4" s="64" t="s">
        <v>777</v>
      </c>
      <c r="H4" s="64" t="s">
        <v>778</v>
      </c>
      <c r="I4" s="64" t="s">
        <v>779</v>
      </c>
      <c r="J4" s="64" t="s">
        <v>10</v>
      </c>
    </row>
    <row r="5" spans="1:10" ht="14.25" customHeight="1">
      <c r="A5" s="158" t="s">
        <v>780</v>
      </c>
      <c r="B5" s="164" t="s">
        <v>781</v>
      </c>
      <c r="C5" s="162" t="s">
        <v>741</v>
      </c>
      <c r="D5" s="162" t="s">
        <v>782</v>
      </c>
      <c r="E5" s="161" t="s">
        <v>783</v>
      </c>
      <c r="F5" s="162" t="s">
        <v>784</v>
      </c>
      <c r="G5" s="162" t="s">
        <v>785</v>
      </c>
      <c r="H5" s="161" t="s">
        <v>781</v>
      </c>
      <c r="I5" s="161">
        <f>COUNTA($A$5:A5)</f>
        <v>1</v>
      </c>
      <c r="J5" s="161" t="s">
        <v>786</v>
      </c>
    </row>
    <row r="6" spans="1:10" ht="14.25" customHeight="1">
      <c r="A6" s="158" t="s">
        <v>787</v>
      </c>
      <c r="B6" s="161"/>
      <c r="C6" s="161"/>
      <c r="D6" s="161"/>
      <c r="E6" s="161"/>
      <c r="F6" s="162"/>
      <c r="G6" s="161"/>
      <c r="H6" s="161"/>
      <c r="I6" s="161">
        <f>COUNTA($A$5:A6)</f>
        <v>2</v>
      </c>
      <c r="J6" s="161"/>
    </row>
    <row r="7" spans="1:10" ht="14.25" customHeight="1">
      <c r="A7" s="158" t="s">
        <v>788</v>
      </c>
      <c r="B7" s="161"/>
      <c r="C7" s="161"/>
      <c r="D7" s="161"/>
      <c r="E7" s="161"/>
      <c r="F7" s="162"/>
      <c r="G7" s="161"/>
      <c r="H7" s="161"/>
      <c r="I7" s="161">
        <f>COUNTA($A$5:A7)</f>
        <v>3</v>
      </c>
      <c r="J7" s="161"/>
    </row>
    <row r="8" spans="1:10" ht="14.25" customHeight="1">
      <c r="A8" s="158" t="s">
        <v>789</v>
      </c>
      <c r="B8" s="161"/>
      <c r="C8" s="161"/>
      <c r="D8" s="161"/>
      <c r="E8" s="161"/>
      <c r="F8" s="162"/>
      <c r="G8" s="161"/>
      <c r="H8" s="161"/>
      <c r="I8" s="161">
        <f>COUNTA($A$5:A8)</f>
        <v>4</v>
      </c>
      <c r="J8" s="161"/>
    </row>
    <row r="9" spans="1:10" ht="14.25" customHeight="1">
      <c r="A9" s="158" t="s">
        <v>790</v>
      </c>
      <c r="B9" s="161"/>
      <c r="C9" s="161"/>
      <c r="D9" s="161"/>
      <c r="E9" s="161"/>
      <c r="F9" s="162"/>
      <c r="G9" s="161"/>
      <c r="H9" s="161"/>
      <c r="I9" s="161">
        <f>COUNTA($A$5:A9)</f>
        <v>5</v>
      </c>
      <c r="J9" s="161"/>
    </row>
    <row r="10" spans="1:10" ht="14.25" customHeight="1">
      <c r="A10" s="158" t="s">
        <v>791</v>
      </c>
      <c r="B10" s="161"/>
      <c r="C10" s="161"/>
      <c r="D10" s="161"/>
      <c r="E10" s="161"/>
      <c r="F10" s="162"/>
      <c r="G10" s="161"/>
      <c r="H10" s="161"/>
      <c r="I10" s="161">
        <f>COUNTA($A$5:A10)</f>
        <v>6</v>
      </c>
      <c r="J10" s="161"/>
    </row>
    <row r="11" spans="1:10" ht="14.25" customHeight="1">
      <c r="A11" s="158" t="s">
        <v>792</v>
      </c>
      <c r="B11" s="161"/>
      <c r="C11" s="161"/>
      <c r="D11" s="161"/>
      <c r="E11" s="161"/>
      <c r="F11" s="162"/>
      <c r="G11" s="161"/>
      <c r="H11" s="161"/>
      <c r="I11" s="161">
        <f>COUNTA($A$5:A11)</f>
        <v>7</v>
      </c>
      <c r="J11" s="161"/>
    </row>
    <row r="12" spans="1:10" ht="14.25" customHeight="1">
      <c r="A12" s="158" t="s">
        <v>793</v>
      </c>
      <c r="B12" s="161"/>
      <c r="C12" s="161"/>
      <c r="D12" s="161"/>
      <c r="E12" s="161"/>
      <c r="F12" s="162"/>
      <c r="G12" s="161"/>
      <c r="H12" s="161"/>
      <c r="I12" s="161">
        <f>COUNTA($A$5:A12)</f>
        <v>8</v>
      </c>
      <c r="J12" s="161"/>
    </row>
    <row r="13" spans="1:10" ht="14.25" customHeight="1">
      <c r="A13" s="158" t="s">
        <v>794</v>
      </c>
      <c r="B13" s="161"/>
      <c r="C13" s="161"/>
      <c r="D13" s="161"/>
      <c r="E13" s="161"/>
      <c r="F13" s="162"/>
      <c r="G13" s="161"/>
      <c r="H13" s="161"/>
      <c r="I13" s="161">
        <f>COUNTA($A$5:A13)</f>
        <v>9</v>
      </c>
      <c r="J13" s="161"/>
    </row>
    <row r="14" spans="1:10" ht="14.25" customHeight="1">
      <c r="A14" s="158" t="s">
        <v>795</v>
      </c>
      <c r="B14" s="161"/>
      <c r="C14" s="161"/>
      <c r="D14" s="161"/>
      <c r="E14" s="161"/>
      <c r="F14" s="162"/>
      <c r="G14" s="161"/>
      <c r="H14" s="161"/>
      <c r="I14" s="161">
        <f>COUNTA($A$5:A14)</f>
        <v>10</v>
      </c>
      <c r="J14" s="161"/>
    </row>
  </sheetData>
  <phoneticPr fontId="50" type="noConversion"/>
  <dataValidations count="1">
    <dataValidation type="list" allowBlank="1" sqref="F5:F14">
      <formula1>"일정,원가,스코프,일정+원가,일정+스코프,원가+스코프,전체"</formula1>
      <formula2>0</formula2>
    </dataValidation>
  </dataValidation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4:F10"/>
  <sheetViews>
    <sheetView zoomScaleNormal="100" workbookViewId="0"/>
  </sheetViews>
  <sheetFormatPr defaultColWidth="8.6328125" defaultRowHeight="14.5"/>
  <cols>
    <col min="1" max="1" width="30" style="42" customWidth="1"/>
    <col min="2" max="3" width="12" style="42" customWidth="1"/>
    <col min="4" max="4" width="14" style="42" customWidth="1"/>
    <col min="5" max="5" width="12" style="42" customWidth="1"/>
    <col min="6" max="6" width="24" style="42" customWidth="1"/>
  </cols>
  <sheetData>
    <row r="4" spans="1:6" ht="15" customHeight="1">
      <c r="A4" s="64" t="s">
        <v>796</v>
      </c>
      <c r="B4" s="64" t="s">
        <v>797</v>
      </c>
      <c r="C4" s="64" t="s">
        <v>311</v>
      </c>
      <c r="D4" s="64" t="s">
        <v>187</v>
      </c>
      <c r="E4" s="64" t="s">
        <v>798</v>
      </c>
      <c r="F4" s="64" t="s">
        <v>10</v>
      </c>
    </row>
    <row r="5" spans="1:6" ht="14.25" customHeight="1">
      <c r="A5" s="79" t="s">
        <v>799</v>
      </c>
      <c r="B5" s="127">
        <v>0.2</v>
      </c>
      <c r="C5" s="165" t="s">
        <v>340</v>
      </c>
      <c r="D5" s="165" t="s">
        <v>800</v>
      </c>
      <c r="E5" s="165"/>
      <c r="F5" s="166" t="s">
        <v>801</v>
      </c>
    </row>
    <row r="6" spans="1:6" ht="14.25" customHeight="1">
      <c r="A6" s="79" t="s">
        <v>802</v>
      </c>
      <c r="B6" s="127">
        <v>0.3</v>
      </c>
      <c r="C6" s="165" t="s">
        <v>803</v>
      </c>
      <c r="D6" s="165"/>
      <c r="E6" s="165"/>
      <c r="F6" s="112"/>
    </row>
    <row r="7" spans="1:6" ht="15" customHeight="1">
      <c r="A7" s="79" t="s">
        <v>804</v>
      </c>
      <c r="B7" s="127">
        <v>0.2</v>
      </c>
      <c r="C7" s="165" t="s">
        <v>803</v>
      </c>
      <c r="D7" s="165"/>
      <c r="E7" s="165"/>
      <c r="F7" s="112"/>
    </row>
    <row r="8" spans="1:6" ht="15" customHeight="1">
      <c r="A8" s="112" t="s">
        <v>805</v>
      </c>
      <c r="B8" s="127">
        <v>0.1</v>
      </c>
      <c r="C8" s="165" t="s">
        <v>340</v>
      </c>
      <c r="D8" s="165" t="s">
        <v>806</v>
      </c>
      <c r="E8" s="165"/>
      <c r="F8" s="112" t="s">
        <v>807</v>
      </c>
    </row>
    <row r="9" spans="1:6" ht="14.25" customHeight="1">
      <c r="A9" s="79" t="s">
        <v>808</v>
      </c>
      <c r="B9" s="127">
        <v>0.2</v>
      </c>
      <c r="C9" s="165" t="s">
        <v>803</v>
      </c>
      <c r="D9" s="165"/>
      <c r="E9" s="165"/>
      <c r="F9" s="112"/>
    </row>
    <row r="10" spans="1:6" ht="14.25" customHeight="1">
      <c r="A10" s="68" t="s">
        <v>544</v>
      </c>
      <c r="B10" s="146">
        <f>SUM(B5:B9)</f>
        <v>1</v>
      </c>
      <c r="C10" s="23"/>
      <c r="D10" s="23"/>
      <c r="E10" s="23"/>
      <c r="F10" s="23"/>
    </row>
  </sheetData>
  <phoneticPr fontId="50" type="noConversion"/>
  <dataValidations count="1">
    <dataValidation type="list" allowBlank="1" sqref="C5:C9">
      <formula1>"미완료,진행중,완료"</formula1>
      <formula2>0</formula2>
    </dataValidation>
  </dataValidation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4:N11"/>
  <sheetViews>
    <sheetView zoomScaleNormal="100" workbookViewId="0">
      <pane ySplit="4" topLeftCell="A5" activePane="bottomLeft" state="frozen"/>
      <selection pane="bottomLeft"/>
    </sheetView>
  </sheetViews>
  <sheetFormatPr defaultColWidth="8.6328125" defaultRowHeight="14.5"/>
  <cols>
    <col min="1" max="1" width="28" style="42" customWidth="1"/>
    <col min="2" max="2" width="12" style="42" customWidth="1"/>
    <col min="3" max="3" width="14" style="42" customWidth="1"/>
    <col min="4" max="4" width="16" style="42" customWidth="1"/>
    <col min="6" max="6" width="14" style="42" customWidth="1"/>
    <col min="7" max="7" width="16" style="42" customWidth="1"/>
    <col min="9" max="9" width="14" style="42" customWidth="1"/>
    <col min="10" max="10" width="10" style="42" customWidth="1"/>
    <col min="11" max="13" width="14" style="42" customWidth="1"/>
  </cols>
  <sheetData>
    <row r="4" spans="1:14" ht="43.5" customHeight="1">
      <c r="A4" s="64" t="s">
        <v>809</v>
      </c>
      <c r="B4" s="64" t="s">
        <v>561</v>
      </c>
      <c r="C4" s="64" t="s">
        <v>810</v>
      </c>
      <c r="D4" s="64" t="s">
        <v>811</v>
      </c>
      <c r="E4" s="64" t="s">
        <v>812</v>
      </c>
      <c r="F4" s="64" t="s">
        <v>813</v>
      </c>
      <c r="G4" s="153" t="s">
        <v>701</v>
      </c>
      <c r="H4" s="64" t="s">
        <v>814</v>
      </c>
      <c r="I4" s="153" t="s">
        <v>815</v>
      </c>
      <c r="J4" s="64" t="s">
        <v>816</v>
      </c>
      <c r="K4" s="153" t="s">
        <v>700</v>
      </c>
      <c r="L4" s="153" t="s">
        <v>817</v>
      </c>
      <c r="M4" s="153" t="s">
        <v>143</v>
      </c>
      <c r="N4" s="64" t="s">
        <v>10</v>
      </c>
    </row>
    <row r="5" spans="1:14" ht="29.25" customHeight="1">
      <c r="A5" s="132" t="s">
        <v>818</v>
      </c>
      <c r="B5" s="79" t="s">
        <v>819</v>
      </c>
      <c r="C5" s="131" t="s">
        <v>262</v>
      </c>
      <c r="D5" s="133">
        <v>150000000</v>
      </c>
      <c r="E5" s="131" t="str">
        <f>IFERROR(IF(ISNUMBER(SEARCH("~",INDEX(CA_개요!$F$5:$F$33,MATCH(C5,CA_개요!$B$5:$B$33,0)))),MID(INDEX(CA_개요!$F$5:$F$33,MATCH(C5,CA_개요!$B$5:$B$33,0)),SEARCH("~",INDEX(CA_개요!$F$5:$F$33,MATCH(C5,CA_개요!$B$5:$B$33,0)))+1,20),INDEX(CA_개요!$F$5:$F$33,MATCH(C5,CA_개요!$B$5:$B$33,0))),"")</f>
        <v>roto</v>
      </c>
      <c r="F5" s="167">
        <f>IFERROR(INDEX(CA_개요!$J$5:$J$33,MATCH(C5,CA_개요!$B$5:$B$33,0))/100,0)</f>
        <v>1</v>
      </c>
      <c r="G5" s="135">
        <f>D5*F5</f>
        <v>150000000</v>
      </c>
      <c r="H5" s="168">
        <v>142500000</v>
      </c>
      <c r="I5" s="135">
        <f>G5-H5</f>
        <v>7500000</v>
      </c>
      <c r="J5" s="167">
        <f>IFERROR(H5/D5,0)</f>
        <v>0.95</v>
      </c>
      <c r="K5" s="135">
        <f>IFERROR(IF(IFERROR(EVMS_대시보드!$N$4/가정!$C$31,0)&gt;=INDEX(가정!$C$46:$C$50,MATCH(E5,가정!$B$46:$B$50,0)),D5,0),0)</f>
        <v>0</v>
      </c>
      <c r="L5" s="135">
        <f>G5-K5</f>
        <v>150000000</v>
      </c>
      <c r="M5" s="167">
        <f>IFERROR(G5/K5,0)</f>
        <v>0</v>
      </c>
      <c r="N5" s="121" t="s">
        <v>820</v>
      </c>
    </row>
    <row r="6" spans="1:14" ht="29.25" customHeight="1">
      <c r="A6" s="132" t="s">
        <v>821</v>
      </c>
      <c r="B6" s="79" t="s">
        <v>819</v>
      </c>
      <c r="C6" s="131" t="s">
        <v>269</v>
      </c>
      <c r="D6" s="133">
        <v>80000000</v>
      </c>
      <c r="E6" s="131" t="str">
        <f>IFERROR(IF(ISNUMBER(SEARCH("~",INDEX(CA_개요!$F$5:$F$33,MATCH(C6,CA_개요!$B$5:$B$33,0)))),MID(INDEX(CA_개요!$F$5:$F$33,MATCH(C6,CA_개요!$B$5:$B$33,0)),SEARCH("~",INDEX(CA_개요!$F$5:$F$33,MATCH(C6,CA_개요!$B$5:$B$33,0)))+1,20),INDEX(CA_개요!$F$5:$F$33,MATCH(C6,CA_개요!$B$5:$B$33,0))),"")</f>
        <v>roto</v>
      </c>
      <c r="F6" s="167">
        <f>IFERROR(INDEX(CA_개요!$J$5:$J$33,MATCH(C6,CA_개요!$B$5:$B$33,0))/100,0)</f>
        <v>1</v>
      </c>
      <c r="G6" s="135">
        <f>D6*F6</f>
        <v>80000000</v>
      </c>
      <c r="H6" s="168">
        <v>76000000</v>
      </c>
      <c r="I6" s="135">
        <f>G6-H6</f>
        <v>4000000</v>
      </c>
      <c r="J6" s="167">
        <f>IFERROR(H6/D6,0)</f>
        <v>0.95</v>
      </c>
      <c r="K6" s="135">
        <f>IFERROR(IF(IFERROR(EVMS_대시보드!$N$4/가정!$C$31,0)&gt;=INDEX(가정!$C$46:$C$50,MATCH(E6,가정!$B$46:$B$50,0)),D6,0),0)</f>
        <v>0</v>
      </c>
      <c r="L6" s="135">
        <f>G6-K6</f>
        <v>80000000</v>
      </c>
      <c r="M6" s="167">
        <f>IFERROR(G6/K6,0)</f>
        <v>0</v>
      </c>
      <c r="N6" s="132" t="s">
        <v>822</v>
      </c>
    </row>
    <row r="7" spans="1:14" ht="15" customHeight="1">
      <c r="A7" s="121" t="s">
        <v>823</v>
      </c>
      <c r="B7" s="79" t="s">
        <v>819</v>
      </c>
      <c r="C7" s="131" t="s">
        <v>206</v>
      </c>
      <c r="D7" s="133">
        <v>60000000</v>
      </c>
      <c r="E7" s="131" t="str">
        <f>IFERROR(IF(ISNUMBER(SEARCH("~",INDEX(CA_개요!$F$5:$F$33,MATCH(C7,CA_개요!$B$5:$B$33,0)))),MID(INDEX(CA_개요!$F$5:$F$33,MATCH(C7,CA_개요!$B$5:$B$33,0)),SEARCH("~",INDEX(CA_개요!$F$5:$F$33,MATCH(C7,CA_개요!$B$5:$B$33,0)))+1,20),INDEX(CA_개요!$F$5:$F$33,MATCH(C7,CA_개요!$B$5:$B$33,0))),"")</f>
        <v>-Car~P1</v>
      </c>
      <c r="F7" s="167">
        <f>IFERROR(INDEX(CA_개요!$J$5:$J$33,MATCH(C7,CA_개요!$B$5:$B$33,0))/100,0)</f>
        <v>0.95</v>
      </c>
      <c r="G7" s="135">
        <f>D7*F7</f>
        <v>57000000</v>
      </c>
      <c r="H7" s="168">
        <v>0</v>
      </c>
      <c r="I7" s="135">
        <f>G7-H7</f>
        <v>57000000</v>
      </c>
      <c r="J7" s="167">
        <f>IFERROR(H7/D7,0)</f>
        <v>0</v>
      </c>
      <c r="K7" s="135">
        <f>IFERROR(IF(IFERROR(EVMS_대시보드!$N$4/가정!$C$31,0)&gt;=INDEX(가정!$C$46:$C$50,MATCH(E7,가정!$B$46:$B$50,0)),D7,0),0)</f>
        <v>0</v>
      </c>
      <c r="L7" s="135">
        <f>G7-K7</f>
        <v>57000000</v>
      </c>
      <c r="M7" s="167">
        <f>IFERROR(G7/K7,0)</f>
        <v>0</v>
      </c>
      <c r="N7" s="121" t="s">
        <v>824</v>
      </c>
    </row>
    <row r="8" spans="1:14" ht="15" customHeight="1">
      <c r="A8" s="121" t="s">
        <v>825</v>
      </c>
      <c r="B8" s="79" t="s">
        <v>826</v>
      </c>
      <c r="C8" s="131" t="s">
        <v>294</v>
      </c>
      <c r="D8" s="133">
        <v>40000000</v>
      </c>
      <c r="E8" s="131" t="str">
        <f>IFERROR(IF(ISNUMBER(SEARCH("~",INDEX(CA_개요!$F$5:$F$33,MATCH(C8,CA_개요!$B$5:$B$33,0)))),MID(INDEX(CA_개요!$F$5:$F$33,MATCH(C8,CA_개요!$B$5:$B$33,0)),SEARCH("~",INDEX(CA_개요!$F$5:$F$33,MATCH(C8,CA_개요!$B$5:$B$33,0)))+1,20),INDEX(CA_개요!$F$5:$F$33,MATCH(C8,CA_개요!$B$5:$B$33,0))),"")</f>
        <v>-Car</v>
      </c>
      <c r="F8" s="167">
        <f>IFERROR(INDEX(CA_개요!$J$5:$J$33,MATCH(C8,CA_개요!$B$5:$B$33,0))/100,0)</f>
        <v>1</v>
      </c>
      <c r="G8" s="135">
        <f>D8*F8</f>
        <v>40000000</v>
      </c>
      <c r="H8" s="168">
        <v>38000000</v>
      </c>
      <c r="I8" s="135">
        <f>G8-H8</f>
        <v>2000000</v>
      </c>
      <c r="J8" s="167">
        <f>IFERROR(H8/D8,0)</f>
        <v>0.95</v>
      </c>
      <c r="K8" s="135">
        <f>IFERROR(IF(IFERROR(EVMS_대시보드!$N$4/가정!$C$31,0)&gt;=INDEX(가정!$C$46:$C$50,MATCH(E8,가정!$B$46:$B$50,0)),D8,0),0)</f>
        <v>0</v>
      </c>
      <c r="L8" s="135">
        <f>G8-K8</f>
        <v>40000000</v>
      </c>
      <c r="M8" s="167">
        <f>IFERROR(G8/K8,0)</f>
        <v>0</v>
      </c>
      <c r="N8" s="132" t="s">
        <v>827</v>
      </c>
    </row>
    <row r="9" spans="1:14" ht="15" customHeight="1">
      <c r="A9" s="121" t="s">
        <v>828</v>
      </c>
      <c r="B9" s="79" t="s">
        <v>826</v>
      </c>
      <c r="C9" s="131" t="s">
        <v>298</v>
      </c>
      <c r="D9" s="133">
        <v>50000000</v>
      </c>
      <c r="E9" s="131" t="str">
        <f>IFERROR(IF(ISNUMBER(SEARCH("~",INDEX(CA_개요!$F$5:$F$33,MATCH(C9,CA_개요!$B$5:$B$33,0)))),MID(INDEX(CA_개요!$F$5:$F$33,MATCH(C9,CA_개요!$B$5:$B$33,0)),SEARCH("~",INDEX(CA_개요!$F$5:$F$33,MATCH(C9,CA_개요!$B$5:$B$33,0)))+1,20),INDEX(CA_개요!$F$5:$F$33,MATCH(C9,CA_개요!$B$5:$B$33,0))),"")</f>
        <v>1~P2</v>
      </c>
      <c r="F9" s="167">
        <f>IFERROR(INDEX(CA_개요!$J$5:$J$33,MATCH(C9,CA_개요!$B$5:$B$33,0))/100,0)</f>
        <v>0.42499999999999999</v>
      </c>
      <c r="G9" s="135">
        <f>D9*F9</f>
        <v>21250000</v>
      </c>
      <c r="H9" s="168">
        <v>0</v>
      </c>
      <c r="I9" s="135">
        <f>G9-H9</f>
        <v>21250000</v>
      </c>
      <c r="J9" s="167">
        <f>IFERROR(H9/D9,0)</f>
        <v>0</v>
      </c>
      <c r="K9" s="135">
        <f>IFERROR(IF(IFERROR(EVMS_대시보드!$N$4/가정!$C$31,0)&gt;=INDEX(가정!$C$46:$C$50,MATCH(E9,가정!$B$46:$B$50,0)),D9,0),0)</f>
        <v>0</v>
      </c>
      <c r="L9" s="135">
        <f>G9-K9</f>
        <v>21250000</v>
      </c>
      <c r="M9" s="167">
        <f>IFERROR(G9/K9,0)</f>
        <v>0</v>
      </c>
      <c r="N9" s="132" t="s">
        <v>829</v>
      </c>
    </row>
    <row r="11" spans="1:14" ht="16.5" customHeight="1">
      <c r="A11" s="98" t="s">
        <v>830</v>
      </c>
      <c r="D11" s="157">
        <f>SUM(D5:D9)</f>
        <v>380000000</v>
      </c>
      <c r="G11" s="157">
        <f>SUM(G5:G9)</f>
        <v>348250000</v>
      </c>
      <c r="H11" s="157">
        <f>SUM(H5:H9)</f>
        <v>256500000</v>
      </c>
      <c r="I11" s="157">
        <f>SUM(I5:I9)</f>
        <v>91750000</v>
      </c>
      <c r="J11" s="169">
        <f>IFERROR(H11/D11,0)</f>
        <v>0.67500000000000004</v>
      </c>
      <c r="K11" s="157">
        <f>SUM(K5:K9)</f>
        <v>0</v>
      </c>
      <c r="L11" s="157">
        <f>G11-K11</f>
        <v>348250000</v>
      </c>
      <c r="M11" s="169">
        <f>IFERROR(G11/K11,0)</f>
        <v>0</v>
      </c>
    </row>
  </sheetData>
  <phoneticPr fontId="50"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18</vt:i4>
      </vt:variant>
    </vt:vector>
  </HeadingPairs>
  <TitlesOfParts>
    <vt:vector size="18" baseType="lpstr">
      <vt:lpstr>wsList</vt:lpstr>
      <vt:lpstr>Encrypt</vt:lpstr>
      <vt:lpstr>안내</vt:lpstr>
      <vt:lpstr>경영보고_요약</vt:lpstr>
      <vt:lpstr>CA_개요</vt:lpstr>
      <vt:lpstr>WP_상세</vt:lpstr>
      <vt:lpstr>마일스톤_요약</vt:lpstr>
      <vt:lpstr>LOE_계정</vt:lpstr>
      <vt:lpstr>가정</vt:lpstr>
      <vt:lpstr>계획곡선_후보</vt:lpstr>
      <vt:lpstr>계획곡선_보정</vt:lpstr>
      <vt:lpstr>실적MM_입력</vt:lpstr>
      <vt:lpstr>EVMS_대시보드</vt:lpstr>
      <vt:lpstr>SWE34_계층별_채점보충</vt:lpstr>
      <vt:lpstr>수기채점_가이드</vt:lpstr>
      <vt:lpstr>재기준선_변경로그</vt:lpstr>
      <vt:lpstr>배포게이트_체크리스트</vt:lpstr>
      <vt:lpstr>프로젝트예산_현금성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apple</cp:lastModifiedBy>
  <cp:revision>0</cp:revision>
  <dcterms:created xsi:type="dcterms:W3CDTF">2026-08-28T19:30:41Z</dcterms:created>
  <dcterms:modified xsi:type="dcterms:W3CDTF">2026-09-08T03:53:24Z</dcterms:modified>
  <dc:language>en-US</dc:language>
</cp:coreProperties>
</file>